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eceuropaeu.sharepoint.com/teams/GRP-UnitA6280/Shared Documents/B_School_and_Academic_Calendars/2025_2026 update/PowerBIDevelopments/OpenData/"/>
    </mc:Choice>
  </mc:AlternateContent>
  <xr:revisionPtr revIDLastSave="472" documentId="13_ncr:1_{3E2F6A8E-BB3B-468C-93B3-3404A9902000}" xr6:coauthVersionLast="47" xr6:coauthVersionMax="47" xr10:uidLastSave="{9FF977DE-9A2E-4534-9264-47B68E829067}"/>
  <bookViews>
    <workbookView xWindow="-120" yWindow="-120" windowWidth="29040" windowHeight="15720" xr2:uid="{FB736440-6F4C-46D7-8E2F-295CBAF4FB47}"/>
  </bookViews>
  <sheets>
    <sheet name="Data" sheetId="62" r:id="rId1"/>
    <sheet name="Test_Month" sheetId="60" state="hidden" r:id="rId2"/>
    <sheet name="Test_WE" sheetId="55" state="hidden" r:id="rId3"/>
    <sheet name="DaB" sheetId="37" state="hidden" r:id="rId4"/>
    <sheet name="Illust" sheetId="15" state="hidden" r:id="rId5"/>
    <sheet name="WE" sheetId="44" state="hidden" r:id="rId6"/>
  </sheets>
  <definedNames>
    <definedName name="_xlnm._FilterDatabase" localSheetId="0" hidden="1">Data!$A$7:$D$47</definedName>
    <definedName name="Cat1a">#REF!</definedName>
    <definedName name="Cat2a">#REF!</definedName>
    <definedName name="Cat3a">#REF!</definedName>
    <definedName name="Liste_01">#REF!</definedName>
    <definedName name="Liste_07">#REF!</definedName>
    <definedName name="Liste_08">#REF!</definedName>
    <definedName name="Liste_09">#REF!</definedName>
    <definedName name="Note">#REF!</definedName>
    <definedName name="NoteApp">#REF!</definedName>
    <definedName name="NUcode">#REF!</definedName>
    <definedName name="_xlnm.Print_Area" localSheetId="0">Data!$A$7:$D$47</definedName>
    <definedName name="_xlnm.Print_Titles" localSheetId="0">Data!$1:$7</definedName>
    <definedName name="Yes">#REF!</definedName>
  </definedNames>
  <calcPr calcId="191029"/>
  <customWorkbookViews>
    <customWorkbookView name="dernier" guid="{DDEB736A-B1E5-4264-A8F3-A2685B0B4EEB}" maximized="1" xWindow="-8" yWindow="-8" windowWidth="1936" windowHeight="1056" activeSheetId="17"/>
    <customWorkbookView name="School calendar" guid="{9A8FD2B6-2858-4C09-9320-6AA22D95851B}" maximized="1" xWindow="-8" yWindow="-8" windowWidth="1936" windowHeight="1056" activeSheetId="17"/>
    <customWorkbookView name="holidays" guid="{D725C49D-9002-4D8B-BF6D-723EC3EF39E8}" xWindow="9" yWindow="463" windowWidth="2110" windowHeight="286" activeSheetId="15"/>
    <customWorkbookView name="calendrier" guid="{BCDED53A-3445-11D3-916B-00609762D647}" maximized="1" windowWidth="1020" windowHeight="579" tabRatio="604" activeSheetId="11"/>
    <customWorkbookView name="nombre" guid="{BCDED53B-3445-11D3-916B-00609762D647}" maximized="1" windowWidth="1020" windowHeight="579" tabRatio="604" activeSheetId="1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1" i="37" l="1"/>
  <c r="A81" i="37"/>
  <c r="D83" i="37"/>
  <c r="A83" i="37"/>
  <c r="DE89" i="15"/>
  <c r="DE88" i="15"/>
  <c r="EK10" i="37"/>
  <c r="ED10" i="37"/>
  <c r="DW10" i="37"/>
  <c r="DP10" i="37"/>
  <c r="DI10" i="37"/>
  <c r="DB10" i="37"/>
  <c r="CU10" i="37"/>
  <c r="CN10" i="37"/>
  <c r="CG10" i="37"/>
  <c r="BZ10" i="37"/>
  <c r="BS10" i="37"/>
  <c r="BL10" i="37"/>
  <c r="BE10" i="37"/>
  <c r="AX10" i="37"/>
  <c r="AQ10" i="37"/>
  <c r="AJ10" i="37"/>
  <c r="AC10" i="37"/>
  <c r="V10" i="37"/>
  <c r="C89" i="55"/>
  <c r="E89" i="55" s="1"/>
  <c r="C94" i="55" s="1"/>
  <c r="E94" i="55" s="1"/>
  <c r="C99" i="55" s="1"/>
  <c r="E99" i="55" s="1"/>
  <c r="C104" i="55" s="1"/>
  <c r="E104" i="55" s="1"/>
  <c r="C109" i="55" s="1"/>
  <c r="E109" i="55" s="1"/>
  <c r="C114" i="55" s="1"/>
  <c r="E114" i="55" s="1"/>
  <c r="C119" i="55" s="1"/>
  <c r="E119" i="55" s="1"/>
  <c r="C124" i="55" s="1"/>
  <c r="E124" i="55" s="1"/>
  <c r="I29" i="55" s="1"/>
  <c r="K29" i="55" s="1"/>
  <c r="I34" i="55" s="1"/>
  <c r="K34" i="55" s="1"/>
  <c r="I39" i="55" s="1"/>
  <c r="K39" i="55" s="1"/>
  <c r="I44" i="55" s="1"/>
  <c r="K44" i="55" s="1"/>
  <c r="I49" i="55" s="1"/>
  <c r="K49" i="55" s="1"/>
  <c r="I54" i="55" s="1"/>
  <c r="K54" i="55" s="1"/>
  <c r="I59" i="55" s="1"/>
  <c r="K59" i="55" s="1"/>
  <c r="I64" i="55" s="1"/>
  <c r="K64" i="55" s="1"/>
  <c r="I69" i="55" s="1"/>
  <c r="K69" i="55" s="1"/>
  <c r="I74" i="55" s="1"/>
  <c r="K74" i="55" s="1"/>
  <c r="I79" i="55" s="1"/>
  <c r="K79" i="55" s="1"/>
  <c r="I84" i="55" s="1"/>
  <c r="K84" i="55" s="1"/>
  <c r="I89" i="55" s="1"/>
  <c r="K89" i="55" s="1"/>
  <c r="I94" i="55" s="1"/>
  <c r="K94" i="55" s="1"/>
  <c r="I99" i="55" s="1"/>
  <c r="K99" i="55" s="1"/>
  <c r="I104" i="55" s="1"/>
  <c r="K104" i="55" s="1"/>
  <c r="I109" i="55" s="1"/>
  <c r="K109" i="55" s="1"/>
  <c r="I114" i="55" s="1"/>
  <c r="K114" i="55" s="1"/>
  <c r="I119" i="55" s="1"/>
  <c r="K119" i="55" s="1"/>
  <c r="I124" i="55" s="1"/>
  <c r="K124" i="55" s="1"/>
  <c r="C79" i="55"/>
  <c r="E79" i="55" s="1"/>
  <c r="C74" i="55"/>
  <c r="E74" i="55" s="1"/>
  <c r="C34" i="55"/>
  <c r="E34" i="55" s="1"/>
  <c r="C39" i="55" s="1"/>
  <c r="E39" i="55" s="1"/>
  <c r="C44" i="55" s="1"/>
  <c r="E44" i="55" s="1"/>
  <c r="C49" i="55" s="1"/>
  <c r="E49" i="55" s="1"/>
  <c r="C54" i="55" s="1"/>
  <c r="E54" i="55" s="1"/>
  <c r="C59" i="55" s="1"/>
  <c r="E59" i="55" s="1"/>
  <c r="C64" i="55" s="1"/>
  <c r="E64" i="55" s="1"/>
  <c r="EU82" i="37"/>
  <c r="EU83" i="37"/>
  <c r="H80" i="37"/>
  <c r="FB83" i="37"/>
  <c r="FB82" i="37"/>
  <c r="EZ81" i="37"/>
  <c r="DM81" i="15" s="1"/>
  <c r="FB81" i="37"/>
  <c r="DO81" i="15" s="1"/>
  <c r="FC81" i="37"/>
  <c r="DP81" i="15" s="1"/>
  <c r="FC80" i="37"/>
  <c r="FD80" i="37" s="1"/>
  <c r="FB80" i="37"/>
  <c r="DO80" i="15" s="1"/>
  <c r="EZ80" i="37"/>
  <c r="DM80" i="15" s="1"/>
  <c r="K22" i="60"/>
  <c r="FU81" i="37" s="1"/>
  <c r="EV80" i="37"/>
  <c r="EW80" i="37" s="1"/>
  <c r="C81" i="15"/>
  <c r="DF81" i="15" s="1"/>
  <c r="DD81" i="15" s="1"/>
  <c r="B81" i="15"/>
  <c r="DA80" i="15"/>
  <c r="CM80" i="15"/>
  <c r="CN80" i="15" s="1"/>
  <c r="C80" i="15"/>
  <c r="DF80" i="15" s="1"/>
  <c r="H37" i="60"/>
  <c r="H81" i="37"/>
  <c r="FR81" i="37"/>
  <c r="FQ81" i="37"/>
  <c r="FP81" i="37"/>
  <c r="FN81" i="37"/>
  <c r="FK81" i="37"/>
  <c r="FJ81" i="37"/>
  <c r="FI81" i="37"/>
  <c r="FG81" i="37"/>
  <c r="EV81" i="37"/>
  <c r="EW81" i="37" s="1"/>
  <c r="EU81" i="37"/>
  <c r="EN81" i="37"/>
  <c r="EM81" i="37"/>
  <c r="EL81" i="37"/>
  <c r="EK81" i="37"/>
  <c r="CW81" i="15" s="1"/>
  <c r="CY81" i="15" s="1"/>
  <c r="EJ81" i="37"/>
  <c r="EI81" i="37"/>
  <c r="EG81" i="37"/>
  <c r="EF81" i="37"/>
  <c r="EE81" i="37"/>
  <c r="ED81" i="37"/>
  <c r="EC81" i="37"/>
  <c r="EB81" i="37"/>
  <c r="DZ81" i="37"/>
  <c r="DY81" i="37"/>
  <c r="DX81" i="37"/>
  <c r="DW81" i="37"/>
  <c r="DV81" i="37"/>
  <c r="DU81" i="37"/>
  <c r="DS81" i="37"/>
  <c r="DR81" i="37"/>
  <c r="DQ81" i="37"/>
  <c r="DP81" i="37"/>
  <c r="DO81" i="37"/>
  <c r="CH81" i="15" s="1"/>
  <c r="DN81" i="37"/>
  <c r="DL81" i="37"/>
  <c r="DK81" i="37"/>
  <c r="DJ81" i="37"/>
  <c r="DI81" i="37"/>
  <c r="DH81" i="37"/>
  <c r="DG81" i="37"/>
  <c r="DE81" i="37"/>
  <c r="DD81" i="37"/>
  <c r="DC81" i="37"/>
  <c r="DB81" i="37"/>
  <c r="DA81" i="37"/>
  <c r="BX81" i="15" s="1"/>
  <c r="BZ81" i="15" s="1"/>
  <c r="CZ81" i="37"/>
  <c r="CX81" i="37"/>
  <c r="CW81" i="37"/>
  <c r="CV81" i="37"/>
  <c r="CU81" i="37"/>
  <c r="BS81" i="15" s="1"/>
  <c r="BU81" i="15" s="1"/>
  <c r="CT81" i="37"/>
  <c r="CS81" i="37"/>
  <c r="CQ81" i="37"/>
  <c r="CP81" i="37"/>
  <c r="CO81" i="37"/>
  <c r="CN81" i="37"/>
  <c r="CM81" i="37"/>
  <c r="CL81" i="37"/>
  <c r="CJ81" i="37"/>
  <c r="CI81" i="37"/>
  <c r="CH81" i="37"/>
  <c r="CG81" i="37"/>
  <c r="BI81" i="15" s="1"/>
  <c r="BJ81" i="15" s="1"/>
  <c r="CF81" i="37"/>
  <c r="CE81" i="37"/>
  <c r="CC81" i="37"/>
  <c r="CB81" i="37"/>
  <c r="CA81" i="37"/>
  <c r="BZ81" i="37"/>
  <c r="BY81" i="37"/>
  <c r="BD81" i="15" s="1"/>
  <c r="BF81" i="15" s="1"/>
  <c r="BX81" i="37"/>
  <c r="BV81" i="37"/>
  <c r="BU81" i="37"/>
  <c r="BT81" i="37"/>
  <c r="BS81" i="37"/>
  <c r="BR81" i="37"/>
  <c r="BQ81" i="37"/>
  <c r="BO81" i="37"/>
  <c r="BN81" i="37"/>
  <c r="BM81" i="37"/>
  <c r="BL81" i="37"/>
  <c r="BK81" i="37"/>
  <c r="AT81" i="15" s="1"/>
  <c r="BJ81" i="37"/>
  <c r="BH81" i="37"/>
  <c r="BG81" i="37"/>
  <c r="BF81" i="37"/>
  <c r="BE81" i="37"/>
  <c r="BD81" i="37"/>
  <c r="BC81" i="37"/>
  <c r="BA81" i="37"/>
  <c r="AZ81" i="37"/>
  <c r="AY81" i="37"/>
  <c r="AX81" i="37"/>
  <c r="AW81" i="37"/>
  <c r="AV81" i="37"/>
  <c r="AT81" i="37"/>
  <c r="AS81" i="37"/>
  <c r="AR81" i="37"/>
  <c r="AQ81" i="37"/>
  <c r="AE81" i="15" s="1"/>
  <c r="AP81" i="37"/>
  <c r="AO81" i="37"/>
  <c r="AM81" i="37"/>
  <c r="AL81" i="37"/>
  <c r="AK81" i="37"/>
  <c r="AJ81" i="37"/>
  <c r="AI81" i="37"/>
  <c r="Z81" i="15" s="1"/>
  <c r="AH81" i="37"/>
  <c r="AF81" i="37"/>
  <c r="AE81" i="37"/>
  <c r="AD81" i="37"/>
  <c r="AC81" i="37"/>
  <c r="AB81" i="37"/>
  <c r="AA81" i="37"/>
  <c r="Y81" i="37"/>
  <c r="X81" i="37"/>
  <c r="W81" i="37"/>
  <c r="V81" i="37"/>
  <c r="U81" i="37"/>
  <c r="P81" i="15" s="1"/>
  <c r="T81" i="37"/>
  <c r="R81" i="37"/>
  <c r="Q81" i="37"/>
  <c r="P81" i="37"/>
  <c r="O81" i="37"/>
  <c r="K81" i="15" s="1"/>
  <c r="N81" i="37"/>
  <c r="M81" i="37"/>
  <c r="K81" i="37"/>
  <c r="J81" i="37"/>
  <c r="I81" i="37"/>
  <c r="G81" i="37"/>
  <c r="F81" i="37"/>
  <c r="E81" i="37"/>
  <c r="C81" i="37" a="1"/>
  <c r="C81" i="37" s="1"/>
  <c r="A81" i="15"/>
  <c r="FU80" i="37"/>
  <c r="FR80" i="37"/>
  <c r="FQ80" i="37"/>
  <c r="FP80" i="37"/>
  <c r="FN80" i="37"/>
  <c r="FK80" i="37"/>
  <c r="FJ80" i="37"/>
  <c r="FI80" i="37"/>
  <c r="FG80" i="37"/>
  <c r="EU80" i="37"/>
  <c r="EN80" i="37"/>
  <c r="EM80" i="37"/>
  <c r="EL80" i="37"/>
  <c r="EK80" i="37"/>
  <c r="CW80" i="15" s="1"/>
  <c r="EJ80" i="37"/>
  <c r="EI80" i="37"/>
  <c r="EG80" i="37"/>
  <c r="EF80" i="37"/>
  <c r="EE80" i="37"/>
  <c r="ED80" i="37"/>
  <c r="EC80" i="37"/>
  <c r="EB80" i="37"/>
  <c r="DZ80" i="37"/>
  <c r="DY80" i="37"/>
  <c r="DX80" i="37"/>
  <c r="DW80" i="37"/>
  <c r="DV80" i="37"/>
  <c r="DU80" i="37"/>
  <c r="DS80" i="37"/>
  <c r="DR80" i="37"/>
  <c r="DQ80" i="37"/>
  <c r="DP80" i="37"/>
  <c r="DO80" i="37"/>
  <c r="DN80" i="37"/>
  <c r="DL80" i="37"/>
  <c r="DK80" i="37"/>
  <c r="DJ80" i="37"/>
  <c r="DI80" i="37"/>
  <c r="CC80" i="15" s="1"/>
  <c r="DH80" i="37"/>
  <c r="DG80" i="37"/>
  <c r="DE80" i="37"/>
  <c r="DD80" i="37"/>
  <c r="DC80" i="37"/>
  <c r="DB80" i="37"/>
  <c r="DA80" i="37"/>
  <c r="CZ80" i="37"/>
  <c r="CX80" i="37"/>
  <c r="CW80" i="37"/>
  <c r="CV80" i="37"/>
  <c r="CU80" i="37"/>
  <c r="BS80" i="15" s="1"/>
  <c r="CT80" i="37"/>
  <c r="CS80" i="37"/>
  <c r="CQ80" i="37"/>
  <c r="CP80" i="37"/>
  <c r="CO80" i="37"/>
  <c r="CN80" i="37"/>
  <c r="CM80" i="37"/>
  <c r="CL80" i="37"/>
  <c r="CJ80" i="37"/>
  <c r="CI80" i="37"/>
  <c r="CH80" i="37"/>
  <c r="CG80" i="37"/>
  <c r="CF80" i="37"/>
  <c r="CE80" i="37"/>
  <c r="CC80" i="37"/>
  <c r="CB80" i="37"/>
  <c r="CA80" i="37"/>
  <c r="BZ80" i="37"/>
  <c r="BY80" i="37"/>
  <c r="BX80" i="37"/>
  <c r="BV80" i="37"/>
  <c r="BU80" i="37"/>
  <c r="BT80" i="37"/>
  <c r="BS80" i="37"/>
  <c r="AY80" i="15" s="1"/>
  <c r="BR80" i="37"/>
  <c r="BQ80" i="37"/>
  <c r="BO80" i="37"/>
  <c r="BN80" i="37"/>
  <c r="BM80" i="37"/>
  <c r="BL80" i="37"/>
  <c r="BK80" i="37"/>
  <c r="BJ80" i="37"/>
  <c r="BH80" i="37"/>
  <c r="BG80" i="37"/>
  <c r="BF80" i="37"/>
  <c r="BE80" i="37"/>
  <c r="AO80" i="15" s="1"/>
  <c r="BD80" i="37"/>
  <c r="BC80" i="37"/>
  <c r="BA80" i="37"/>
  <c r="AZ80" i="37"/>
  <c r="AY80" i="37"/>
  <c r="AX80" i="37"/>
  <c r="AW80" i="37"/>
  <c r="AV80" i="37"/>
  <c r="AT80" i="37"/>
  <c r="AS80" i="37"/>
  <c r="AR80" i="37"/>
  <c r="AQ80" i="37"/>
  <c r="AE80" i="15" s="1"/>
  <c r="AF80" i="15" s="1"/>
  <c r="AP80" i="37"/>
  <c r="AO80" i="37"/>
  <c r="AM80" i="37"/>
  <c r="AL80" i="37"/>
  <c r="AK80" i="37"/>
  <c r="AJ80" i="37"/>
  <c r="AI80" i="37"/>
  <c r="AH80" i="37"/>
  <c r="AF80" i="37"/>
  <c r="AE80" i="37"/>
  <c r="AD80" i="37"/>
  <c r="AC80" i="37"/>
  <c r="U80" i="15" s="1"/>
  <c r="AB80" i="37"/>
  <c r="AA80" i="37"/>
  <c r="Y80" i="37"/>
  <c r="X80" i="37"/>
  <c r="W80" i="37"/>
  <c r="V80" i="37"/>
  <c r="U80" i="37"/>
  <c r="T80" i="37"/>
  <c r="R80" i="37"/>
  <c r="Q80" i="37"/>
  <c r="P80" i="37"/>
  <c r="O80" i="37"/>
  <c r="K80" i="15" s="1"/>
  <c r="N80" i="37"/>
  <c r="M80" i="37"/>
  <c r="K80" i="37"/>
  <c r="J80" i="37"/>
  <c r="I80" i="37"/>
  <c r="G80" i="37"/>
  <c r="F80" i="37"/>
  <c r="E80" i="37"/>
  <c r="D80" i="37"/>
  <c r="C80" i="37" a="1"/>
  <c r="C80" i="37" s="1"/>
  <c r="A80" i="37"/>
  <c r="H122" i="60"/>
  <c r="B122" i="60"/>
  <c r="H117" i="60"/>
  <c r="B117" i="60"/>
  <c r="B112" i="60"/>
  <c r="H112" i="60"/>
  <c r="B107" i="60"/>
  <c r="H107" i="60"/>
  <c r="B102" i="60"/>
  <c r="H102" i="60"/>
  <c r="B97" i="60"/>
  <c r="H97" i="60"/>
  <c r="B92" i="60"/>
  <c r="H92" i="60"/>
  <c r="B87" i="60"/>
  <c r="H87" i="60"/>
  <c r="H82" i="60"/>
  <c r="B82" i="60"/>
  <c r="H77" i="60"/>
  <c r="B77" i="60"/>
  <c r="H72" i="60"/>
  <c r="B72" i="60"/>
  <c r="H67" i="60"/>
  <c r="B67" i="60"/>
  <c r="H62" i="60"/>
  <c r="B62" i="60"/>
  <c r="H57" i="60"/>
  <c r="B57" i="60"/>
  <c r="H52" i="60"/>
  <c r="B52" i="60"/>
  <c r="H47" i="60"/>
  <c r="B47" i="60"/>
  <c r="H42" i="60"/>
  <c r="B42" i="60"/>
  <c r="B37" i="60"/>
  <c r="H32" i="60"/>
  <c r="B32" i="60"/>
  <c r="K26" i="60"/>
  <c r="J26" i="60"/>
  <c r="I26" i="60"/>
  <c r="H26" i="60"/>
  <c r="F26" i="60"/>
  <c r="E26" i="60"/>
  <c r="D26" i="60"/>
  <c r="C26" i="60"/>
  <c r="B26" i="60"/>
  <c r="H25" i="60"/>
  <c r="B25" i="60"/>
  <c r="A3" i="60"/>
  <c r="G1" i="60" a="1"/>
  <c r="G1" i="60" s="1"/>
  <c r="B1" i="60"/>
  <c r="C7" i="15"/>
  <c r="DF7" i="15" s="1"/>
  <c r="B7" i="15"/>
  <c r="DA6" i="15"/>
  <c r="C6" i="15"/>
  <c r="DF6" i="15" s="1"/>
  <c r="EV5" i="37"/>
  <c r="DI5" i="15" s="1"/>
  <c r="FU11" i="37"/>
  <c r="FR11" i="37"/>
  <c r="FQ11" i="37"/>
  <c r="FP11" i="37"/>
  <c r="FN11" i="37"/>
  <c r="FK11" i="37"/>
  <c r="FJ11" i="37"/>
  <c r="FI11" i="37"/>
  <c r="FG11" i="37"/>
  <c r="FC11" i="37"/>
  <c r="DP11" i="15" s="1"/>
  <c r="FB11" i="37"/>
  <c r="DO11" i="15" s="1"/>
  <c r="EZ11" i="37"/>
  <c r="DM11" i="15" s="1"/>
  <c r="EV11" i="37"/>
  <c r="DI11" i="15" s="1"/>
  <c r="EU11" i="37"/>
  <c r="EN11" i="37"/>
  <c r="EM11" i="37"/>
  <c r="EL11" i="37"/>
  <c r="EK11" i="37"/>
  <c r="EJ11" i="37"/>
  <c r="EI11" i="37"/>
  <c r="EG11" i="37"/>
  <c r="EF11" i="37"/>
  <c r="EE11" i="37"/>
  <c r="ED11" i="37"/>
  <c r="EC11" i="37"/>
  <c r="EB11" i="37"/>
  <c r="DZ11" i="37"/>
  <c r="DY11" i="37"/>
  <c r="DX11" i="37"/>
  <c r="DW11" i="37"/>
  <c r="DV11" i="37"/>
  <c r="DU11" i="37"/>
  <c r="DS11" i="37"/>
  <c r="DR11" i="37"/>
  <c r="DQ11" i="37"/>
  <c r="DP11" i="37"/>
  <c r="DO11" i="37"/>
  <c r="DN11" i="37"/>
  <c r="DL11" i="37"/>
  <c r="DK11" i="37"/>
  <c r="DJ11" i="37"/>
  <c r="DI11" i="37"/>
  <c r="DH11" i="37"/>
  <c r="DG11" i="37"/>
  <c r="DE11" i="37"/>
  <c r="DD11" i="37"/>
  <c r="DC11" i="37"/>
  <c r="DB11" i="37"/>
  <c r="DA11" i="37"/>
  <c r="CZ11" i="37"/>
  <c r="CX11" i="37"/>
  <c r="CW11" i="37"/>
  <c r="CV11" i="37"/>
  <c r="CU11" i="37"/>
  <c r="CT11" i="37"/>
  <c r="CS11" i="37"/>
  <c r="CQ11" i="37"/>
  <c r="CP11" i="37"/>
  <c r="CO11" i="37"/>
  <c r="CN11" i="37"/>
  <c r="CM11" i="37"/>
  <c r="CL11" i="37"/>
  <c r="CJ11" i="37"/>
  <c r="CI11" i="37"/>
  <c r="CH11" i="37"/>
  <c r="CG11" i="37"/>
  <c r="CF11" i="37"/>
  <c r="CE11" i="37"/>
  <c r="CC11" i="37"/>
  <c r="CB11" i="37"/>
  <c r="CA11" i="37"/>
  <c r="BX11" i="37"/>
  <c r="BV11" i="37"/>
  <c r="BU11" i="37"/>
  <c r="BT11" i="37"/>
  <c r="BQ11" i="37"/>
  <c r="BO11" i="37"/>
  <c r="BN11" i="37"/>
  <c r="BM11" i="37"/>
  <c r="BJ11" i="37"/>
  <c r="BH11" i="37"/>
  <c r="BG11" i="37"/>
  <c r="BF11" i="37"/>
  <c r="BC11" i="37"/>
  <c r="BA11" i="37"/>
  <c r="AZ11" i="37"/>
  <c r="AY11" i="37"/>
  <c r="AV11" i="37"/>
  <c r="AT11" i="37"/>
  <c r="AS11" i="37"/>
  <c r="AR11" i="37"/>
  <c r="AO11" i="37"/>
  <c r="AM11" i="37"/>
  <c r="AL11" i="37"/>
  <c r="AK11" i="37"/>
  <c r="AH11" i="37"/>
  <c r="AF11" i="37"/>
  <c r="AE11" i="37"/>
  <c r="AD11" i="37"/>
  <c r="AA11" i="37"/>
  <c r="Y11" i="37"/>
  <c r="X11" i="37"/>
  <c r="W11" i="37"/>
  <c r="T11" i="37"/>
  <c r="R11" i="37"/>
  <c r="Q11" i="37"/>
  <c r="P11" i="37"/>
  <c r="M11" i="37"/>
  <c r="K11" i="37"/>
  <c r="J11" i="37"/>
  <c r="I11" i="37"/>
  <c r="G11" i="37"/>
  <c r="F11" i="37"/>
  <c r="E11" i="37"/>
  <c r="D11" i="37"/>
  <c r="C11" i="37" a="1"/>
  <c r="C11" i="37" s="1"/>
  <c r="A11" i="37"/>
  <c r="FU10" i="37"/>
  <c r="FR10" i="37"/>
  <c r="FQ10" i="37"/>
  <c r="FP10" i="37"/>
  <c r="FN10" i="37"/>
  <c r="FK10" i="37"/>
  <c r="FJ10" i="37"/>
  <c r="FI10" i="37"/>
  <c r="FG10" i="37"/>
  <c r="FC10" i="37"/>
  <c r="DP10" i="15" s="1"/>
  <c r="FB10" i="37"/>
  <c r="DO10" i="15" s="1"/>
  <c r="EZ10" i="37"/>
  <c r="DM10" i="15" s="1"/>
  <c r="EV10" i="37"/>
  <c r="DI10" i="15" s="1"/>
  <c r="EU10" i="37"/>
  <c r="EN10" i="37"/>
  <c r="EM10" i="37"/>
  <c r="EL10" i="37"/>
  <c r="EJ10" i="37"/>
  <c r="EI10" i="37"/>
  <c r="EG10" i="37"/>
  <c r="EF10" i="37"/>
  <c r="EE10" i="37"/>
  <c r="EC10" i="37"/>
  <c r="EB10" i="37"/>
  <c r="DZ10" i="37"/>
  <c r="DY10" i="37"/>
  <c r="DX10" i="37"/>
  <c r="DV10" i="37"/>
  <c r="DU10" i="37"/>
  <c r="DS10" i="37"/>
  <c r="DR10" i="37"/>
  <c r="DQ10" i="37"/>
  <c r="DO10" i="37"/>
  <c r="DN10" i="37"/>
  <c r="DL10" i="37"/>
  <c r="DK10" i="37"/>
  <c r="DJ10" i="37"/>
  <c r="DH10" i="37"/>
  <c r="DG10" i="37"/>
  <c r="DE10" i="37"/>
  <c r="DD10" i="37"/>
  <c r="DC10" i="37"/>
  <c r="DA10" i="37"/>
  <c r="CZ10" i="37"/>
  <c r="CX10" i="37"/>
  <c r="CW10" i="37"/>
  <c r="CV10" i="37"/>
  <c r="CT10" i="37"/>
  <c r="CS10" i="37"/>
  <c r="CQ10" i="37"/>
  <c r="CP10" i="37"/>
  <c r="CO10" i="37"/>
  <c r="CM10" i="37"/>
  <c r="CL10" i="37"/>
  <c r="CJ10" i="37"/>
  <c r="CI10" i="37"/>
  <c r="CH10" i="37"/>
  <c r="CF10" i="37"/>
  <c r="CE10" i="37"/>
  <c r="CC10" i="37"/>
  <c r="CB10" i="37"/>
  <c r="CA10" i="37"/>
  <c r="BY10" i="37"/>
  <c r="BX10" i="37"/>
  <c r="BV10" i="37"/>
  <c r="BU10" i="37"/>
  <c r="BT10" i="37"/>
  <c r="BR10" i="37"/>
  <c r="BQ10" i="37"/>
  <c r="BO10" i="37"/>
  <c r="BN10" i="37"/>
  <c r="BM10" i="37"/>
  <c r="BK10" i="37"/>
  <c r="BJ10" i="37"/>
  <c r="BH10" i="37"/>
  <c r="BG10" i="37"/>
  <c r="BF10" i="37"/>
  <c r="BD10" i="37"/>
  <c r="BC10" i="37"/>
  <c r="BA10" i="37"/>
  <c r="AZ10" i="37"/>
  <c r="AY10" i="37"/>
  <c r="AW10" i="37"/>
  <c r="AV10" i="37"/>
  <c r="AT10" i="37"/>
  <c r="AS10" i="37"/>
  <c r="AR10" i="37"/>
  <c r="AP10" i="37"/>
  <c r="AO10" i="37"/>
  <c r="AM10" i="37"/>
  <c r="AL10" i="37"/>
  <c r="AK10" i="37"/>
  <c r="AI10" i="37"/>
  <c r="AH10" i="37"/>
  <c r="AF10" i="37"/>
  <c r="AE10" i="37"/>
  <c r="AD10" i="37"/>
  <c r="AB10" i="37"/>
  <c r="AA10" i="37"/>
  <c r="Y10" i="37"/>
  <c r="X10" i="37"/>
  <c r="W10" i="37"/>
  <c r="U10" i="37"/>
  <c r="T10" i="37"/>
  <c r="R10" i="37"/>
  <c r="Q10" i="37"/>
  <c r="P10" i="37"/>
  <c r="O10" i="37"/>
  <c r="N10" i="37"/>
  <c r="M10" i="37"/>
  <c r="K10" i="37"/>
  <c r="J10" i="37"/>
  <c r="I10" i="37"/>
  <c r="H10" i="37"/>
  <c r="G10" i="37"/>
  <c r="F10" i="37"/>
  <c r="E10" i="37"/>
  <c r="D10" i="37"/>
  <c r="C10" i="37" a="1"/>
  <c r="C10" i="37" s="1"/>
  <c r="A10" i="37"/>
  <c r="FD11" i="37"/>
  <c r="FU9" i="37"/>
  <c r="FR9" i="37"/>
  <c r="FQ9" i="37"/>
  <c r="FP9" i="37"/>
  <c r="FN9" i="37"/>
  <c r="FK9" i="37"/>
  <c r="FJ9" i="37"/>
  <c r="FI9" i="37"/>
  <c r="FG9" i="37"/>
  <c r="FC9" i="37"/>
  <c r="DP9" i="15" s="1"/>
  <c r="FB9" i="37"/>
  <c r="DO9" i="15" s="1"/>
  <c r="EZ9" i="37"/>
  <c r="DM9" i="15" s="1"/>
  <c r="EV9" i="37"/>
  <c r="DI9" i="15" s="1"/>
  <c r="EU9" i="37"/>
  <c r="EN9" i="37"/>
  <c r="EM9" i="37"/>
  <c r="EL9" i="37"/>
  <c r="EK9" i="37"/>
  <c r="EJ9" i="37"/>
  <c r="EI9" i="37"/>
  <c r="EG9" i="37"/>
  <c r="EF9" i="37"/>
  <c r="EE9" i="37"/>
  <c r="ED9" i="37"/>
  <c r="EC9" i="37"/>
  <c r="EB9" i="37"/>
  <c r="DZ9" i="37"/>
  <c r="DY9" i="37"/>
  <c r="DX9" i="37"/>
  <c r="DW9" i="37"/>
  <c r="DV9" i="37"/>
  <c r="DU9" i="37"/>
  <c r="DS9" i="37"/>
  <c r="DR9" i="37"/>
  <c r="DQ9" i="37"/>
  <c r="DP9" i="37"/>
  <c r="DO9" i="37"/>
  <c r="DN9" i="37"/>
  <c r="DL9" i="37"/>
  <c r="DK9" i="37"/>
  <c r="DJ9" i="37"/>
  <c r="DI9" i="37"/>
  <c r="DH9" i="37"/>
  <c r="DG9" i="37"/>
  <c r="DE9" i="37"/>
  <c r="DD9" i="37"/>
  <c r="DC9" i="37"/>
  <c r="DB9" i="37"/>
  <c r="DA9" i="37"/>
  <c r="CZ9" i="37"/>
  <c r="CX9" i="37"/>
  <c r="CW9" i="37"/>
  <c r="CV9" i="37"/>
  <c r="CU9" i="37"/>
  <c r="CT9" i="37"/>
  <c r="CS9" i="37"/>
  <c r="CQ9" i="37"/>
  <c r="CP9" i="37"/>
  <c r="CO9" i="37"/>
  <c r="CN9" i="37"/>
  <c r="CM9" i="37"/>
  <c r="CL9" i="37"/>
  <c r="CJ9" i="37"/>
  <c r="CI9" i="37"/>
  <c r="CH9" i="37"/>
  <c r="CG9" i="37"/>
  <c r="CF9" i="37"/>
  <c r="CE9" i="37"/>
  <c r="CC9" i="37"/>
  <c r="CB9" i="37"/>
  <c r="CA9" i="37"/>
  <c r="BZ9" i="37"/>
  <c r="BY9" i="37"/>
  <c r="BX9" i="37"/>
  <c r="BV9" i="37"/>
  <c r="BU9" i="37"/>
  <c r="BT9" i="37"/>
  <c r="BS9" i="37"/>
  <c r="BR9" i="37"/>
  <c r="BQ9" i="37"/>
  <c r="BO9" i="37"/>
  <c r="BN9" i="37"/>
  <c r="BM9" i="37"/>
  <c r="BL9" i="37"/>
  <c r="BK9" i="37"/>
  <c r="BJ9" i="37"/>
  <c r="BH9" i="37"/>
  <c r="BG9" i="37"/>
  <c r="BF9" i="37"/>
  <c r="BE9" i="37"/>
  <c r="BD9" i="37"/>
  <c r="BC9" i="37"/>
  <c r="BA9" i="37"/>
  <c r="AZ9" i="37"/>
  <c r="AY9" i="37"/>
  <c r="AX9" i="37"/>
  <c r="AW9" i="37"/>
  <c r="AV9" i="37"/>
  <c r="AT9" i="37"/>
  <c r="AS9" i="37"/>
  <c r="AR9" i="37"/>
  <c r="AQ9" i="37"/>
  <c r="AP9" i="37"/>
  <c r="AO9" i="37"/>
  <c r="AM9" i="37"/>
  <c r="AL9" i="37"/>
  <c r="AK9" i="37"/>
  <c r="AJ9" i="37"/>
  <c r="AI9" i="37"/>
  <c r="AH9" i="37"/>
  <c r="AF9" i="37"/>
  <c r="AE9" i="37"/>
  <c r="AD9" i="37"/>
  <c r="AC9" i="37"/>
  <c r="AB9" i="37"/>
  <c r="AA9" i="37"/>
  <c r="Y9" i="37"/>
  <c r="X9" i="37"/>
  <c r="W9" i="37"/>
  <c r="V9" i="37"/>
  <c r="U9" i="37"/>
  <c r="T9" i="37"/>
  <c r="R9" i="37"/>
  <c r="Q9" i="37"/>
  <c r="P9" i="37"/>
  <c r="O9" i="37"/>
  <c r="N9" i="37"/>
  <c r="M9" i="37"/>
  <c r="K9" i="37"/>
  <c r="J9" i="37"/>
  <c r="I9" i="37"/>
  <c r="H9" i="37"/>
  <c r="G9" i="37"/>
  <c r="F9" i="37"/>
  <c r="E9" i="37"/>
  <c r="D9" i="37"/>
  <c r="C9" i="37" a="1"/>
  <c r="C9" i="37" s="1"/>
  <c r="A9" i="37"/>
  <c r="FU8" i="37"/>
  <c r="FR8" i="37"/>
  <c r="FQ8" i="37"/>
  <c r="FP8" i="37"/>
  <c r="FN8" i="37"/>
  <c r="FK8" i="37"/>
  <c r="FJ8" i="37"/>
  <c r="FI8" i="37"/>
  <c r="FG8" i="37"/>
  <c r="FC8" i="37"/>
  <c r="DP8" i="15" s="1"/>
  <c r="FB8" i="37"/>
  <c r="DO8" i="15" s="1"/>
  <c r="EZ8" i="37"/>
  <c r="DM8" i="15" s="1"/>
  <c r="EV8" i="37"/>
  <c r="DH8" i="15" s="1"/>
  <c r="EU8" i="37"/>
  <c r="EN8" i="37"/>
  <c r="EM8" i="37"/>
  <c r="EL8" i="37"/>
  <c r="EK8" i="37"/>
  <c r="EJ8" i="37"/>
  <c r="EI8" i="37"/>
  <c r="EG8" i="37"/>
  <c r="EF8" i="37"/>
  <c r="EE8" i="37"/>
  <c r="ED8" i="37"/>
  <c r="EC8" i="37"/>
  <c r="EB8" i="37"/>
  <c r="DZ8" i="37"/>
  <c r="DY8" i="37"/>
  <c r="DX8" i="37"/>
  <c r="DW8" i="37"/>
  <c r="DV8" i="37"/>
  <c r="DU8" i="37"/>
  <c r="DS8" i="37"/>
  <c r="DR8" i="37"/>
  <c r="DQ8" i="37"/>
  <c r="DP8" i="37"/>
  <c r="DO8" i="37"/>
  <c r="DN8" i="37"/>
  <c r="DL8" i="37"/>
  <c r="DK8" i="37"/>
  <c r="DJ8" i="37"/>
  <c r="DI8" i="37"/>
  <c r="DH8" i="37"/>
  <c r="DG8" i="37"/>
  <c r="DE8" i="37"/>
  <c r="DD8" i="37"/>
  <c r="DC8" i="37"/>
  <c r="DB8" i="37"/>
  <c r="DA8" i="37"/>
  <c r="CZ8" i="37"/>
  <c r="CX8" i="37"/>
  <c r="CW8" i="37"/>
  <c r="CV8" i="37"/>
  <c r="CU8" i="37"/>
  <c r="CT8" i="37"/>
  <c r="CS8" i="37"/>
  <c r="CQ8" i="37"/>
  <c r="CP8" i="37"/>
  <c r="CO8" i="37"/>
  <c r="CN8" i="37"/>
  <c r="CM8" i="37"/>
  <c r="CL8" i="37"/>
  <c r="CJ8" i="37"/>
  <c r="CI8" i="37"/>
  <c r="CH8" i="37"/>
  <c r="CG8" i="37"/>
  <c r="CF8" i="37"/>
  <c r="CE8" i="37"/>
  <c r="CC8" i="37"/>
  <c r="CB8" i="37"/>
  <c r="CA8" i="37"/>
  <c r="BZ8" i="37"/>
  <c r="BY8" i="37"/>
  <c r="BX8" i="37"/>
  <c r="BV8" i="37"/>
  <c r="BU8" i="37"/>
  <c r="BT8" i="37"/>
  <c r="BS8" i="37"/>
  <c r="BR8" i="37"/>
  <c r="BQ8" i="37"/>
  <c r="BO8" i="37"/>
  <c r="BN8" i="37"/>
  <c r="BM8" i="37"/>
  <c r="BL8" i="37"/>
  <c r="BK8" i="37"/>
  <c r="BJ8" i="37"/>
  <c r="BH8" i="37"/>
  <c r="BG8" i="37"/>
  <c r="BF8" i="37"/>
  <c r="BE8" i="37"/>
  <c r="BD8" i="37"/>
  <c r="BC8" i="37"/>
  <c r="BA8" i="37"/>
  <c r="AZ8" i="37"/>
  <c r="AY8" i="37"/>
  <c r="AX8" i="37"/>
  <c r="AW8" i="37"/>
  <c r="AV8" i="37"/>
  <c r="AT8" i="37"/>
  <c r="AS8" i="37"/>
  <c r="AR8" i="37"/>
  <c r="AQ8" i="37"/>
  <c r="AP8" i="37"/>
  <c r="AO8" i="37"/>
  <c r="AM8" i="37"/>
  <c r="AL8" i="37"/>
  <c r="AK8" i="37"/>
  <c r="AJ8" i="37"/>
  <c r="AI8" i="37"/>
  <c r="AH8" i="37"/>
  <c r="AF8" i="37"/>
  <c r="AE8" i="37"/>
  <c r="AD8" i="37"/>
  <c r="AC8" i="37"/>
  <c r="AB8" i="37"/>
  <c r="AA8" i="37"/>
  <c r="Y8" i="37"/>
  <c r="X8" i="37"/>
  <c r="W8" i="37"/>
  <c r="V8" i="37"/>
  <c r="U8" i="37"/>
  <c r="T8" i="37"/>
  <c r="R8" i="37"/>
  <c r="Q8" i="37"/>
  <c r="P8" i="37"/>
  <c r="O8" i="37"/>
  <c r="N8" i="37"/>
  <c r="M8" i="37"/>
  <c r="K8" i="37"/>
  <c r="J8" i="37"/>
  <c r="I8" i="37"/>
  <c r="H8" i="37"/>
  <c r="G8" i="37"/>
  <c r="F8" i="37"/>
  <c r="E8" i="37"/>
  <c r="D8" i="37"/>
  <c r="C8" i="37" a="1"/>
  <c r="C8" i="37" s="1"/>
  <c r="A8" i="37"/>
  <c r="FD9" i="37"/>
  <c r="FU7" i="37"/>
  <c r="FR7" i="37"/>
  <c r="FQ7" i="37"/>
  <c r="FP7" i="37"/>
  <c r="FN7" i="37"/>
  <c r="FK7" i="37"/>
  <c r="FJ7" i="37"/>
  <c r="FI7" i="37"/>
  <c r="FG7" i="37"/>
  <c r="FC7" i="37"/>
  <c r="DP7" i="15" s="1"/>
  <c r="FB7" i="37"/>
  <c r="DO7" i="15" s="1"/>
  <c r="EZ7" i="37"/>
  <c r="DM7" i="15" s="1"/>
  <c r="EV7" i="37"/>
  <c r="DI7" i="15" s="1"/>
  <c r="EU7" i="37"/>
  <c r="DG7" i="15" s="1"/>
  <c r="DH7" i="15" s="1"/>
  <c r="EN7" i="37"/>
  <c r="EM7" i="37"/>
  <c r="EL7" i="37"/>
  <c r="EK7" i="37"/>
  <c r="CW7" i="15" s="1"/>
  <c r="CY7" i="15" s="1"/>
  <c r="EJ7" i="37"/>
  <c r="EI7" i="37"/>
  <c r="EG7" i="37"/>
  <c r="EF7" i="37"/>
  <c r="EE7" i="37"/>
  <c r="ED7" i="37"/>
  <c r="CR7" i="15" s="1"/>
  <c r="EC7" i="37"/>
  <c r="EB7" i="37"/>
  <c r="DZ7" i="37"/>
  <c r="DY7" i="37"/>
  <c r="DX7" i="37"/>
  <c r="DW7" i="37"/>
  <c r="CM7" i="15" s="1"/>
  <c r="DV7" i="37"/>
  <c r="DU7" i="37"/>
  <c r="DS7" i="37"/>
  <c r="DR7" i="37"/>
  <c r="DQ7" i="37"/>
  <c r="DP7" i="37"/>
  <c r="CH7" i="15" s="1"/>
  <c r="DO7" i="37"/>
  <c r="DN7" i="37"/>
  <c r="DL7" i="37"/>
  <c r="DK7" i="37"/>
  <c r="DJ7" i="37"/>
  <c r="DI7" i="37"/>
  <c r="CC7" i="15" s="1"/>
  <c r="DH7" i="37"/>
  <c r="DG7" i="37"/>
  <c r="DE7" i="37"/>
  <c r="DD7" i="37"/>
  <c r="DC7" i="37"/>
  <c r="DB7" i="37"/>
  <c r="BX7" i="15" s="1"/>
  <c r="DA7" i="37"/>
  <c r="CZ7" i="37"/>
  <c r="CX7" i="37"/>
  <c r="CW7" i="37"/>
  <c r="CV7" i="37"/>
  <c r="CU7" i="37"/>
  <c r="BS7" i="15" s="1"/>
  <c r="CT7" i="37"/>
  <c r="CS7" i="37"/>
  <c r="CQ7" i="37"/>
  <c r="CP7" i="37"/>
  <c r="CO7" i="37"/>
  <c r="CN7" i="37"/>
  <c r="BN7" i="15" s="1"/>
  <c r="BM7" i="15" s="1"/>
  <c r="CM7" i="37"/>
  <c r="CL7" i="37"/>
  <c r="CJ7" i="37"/>
  <c r="CI7" i="37"/>
  <c r="CH7" i="37"/>
  <c r="CG7" i="37"/>
  <c r="BI7" i="15" s="1"/>
  <c r="BK7" i="15" s="1"/>
  <c r="CF7" i="37"/>
  <c r="CE7" i="37"/>
  <c r="CC7" i="37"/>
  <c r="CB7" i="37"/>
  <c r="CA7" i="37"/>
  <c r="BZ7" i="37"/>
  <c r="BD7" i="15" s="1"/>
  <c r="BY7" i="37"/>
  <c r="BX7" i="37"/>
  <c r="BV7" i="37"/>
  <c r="BU7" i="37"/>
  <c r="BT7" i="37"/>
  <c r="BS7" i="37"/>
  <c r="AY7" i="15" s="1"/>
  <c r="BR7" i="37"/>
  <c r="BQ7" i="37"/>
  <c r="BO7" i="37"/>
  <c r="BN7" i="37"/>
  <c r="BM7" i="37"/>
  <c r="BL7" i="37"/>
  <c r="AT7" i="15" s="1"/>
  <c r="BK7" i="37"/>
  <c r="BJ7" i="37"/>
  <c r="BH7" i="37"/>
  <c r="BG7" i="37"/>
  <c r="BF7" i="37"/>
  <c r="BE7" i="37"/>
  <c r="AO7" i="15" s="1"/>
  <c r="BD7" i="37"/>
  <c r="BC7" i="37"/>
  <c r="BA7" i="37"/>
  <c r="AZ7" i="37"/>
  <c r="AY7" i="37"/>
  <c r="AX7" i="37"/>
  <c r="AJ7" i="15" s="1"/>
  <c r="AW7" i="37"/>
  <c r="AV7" i="37"/>
  <c r="AT7" i="37"/>
  <c r="AS7" i="37"/>
  <c r="AR7" i="37"/>
  <c r="AQ7" i="37"/>
  <c r="AE7" i="15" s="1"/>
  <c r="AP7" i="37"/>
  <c r="AO7" i="37"/>
  <c r="AM7" i="37"/>
  <c r="AL7" i="37"/>
  <c r="AK7" i="37"/>
  <c r="AJ7" i="37"/>
  <c r="Z7" i="15" s="1"/>
  <c r="AB7" i="15" s="1"/>
  <c r="AI7" i="37"/>
  <c r="AH7" i="37"/>
  <c r="AF7" i="37"/>
  <c r="AE7" i="37"/>
  <c r="AD7" i="37"/>
  <c r="AC7" i="37"/>
  <c r="U7" i="15" s="1"/>
  <c r="AB7" i="37"/>
  <c r="AA7" i="37"/>
  <c r="Y7" i="37"/>
  <c r="X7" i="37"/>
  <c r="W7" i="37"/>
  <c r="V7" i="37"/>
  <c r="P7" i="15" s="1"/>
  <c r="U7" i="37"/>
  <c r="T7" i="37"/>
  <c r="R7" i="37"/>
  <c r="Q7" i="37"/>
  <c r="P7" i="37"/>
  <c r="O7" i="37"/>
  <c r="K7" i="15" s="1"/>
  <c r="N7" i="37"/>
  <c r="M7" i="37"/>
  <c r="K7" i="37"/>
  <c r="J7" i="37"/>
  <c r="I7" i="37"/>
  <c r="H7" i="37"/>
  <c r="G7" i="37"/>
  <c r="F7" i="15" s="1"/>
  <c r="F7" i="37"/>
  <c r="E7" i="37"/>
  <c r="D7" i="37"/>
  <c r="C7" i="37" a="1"/>
  <c r="C7" i="37" s="1"/>
  <c r="A7" i="37"/>
  <c r="A7" i="15" s="1"/>
  <c r="FU6" i="37"/>
  <c r="FR6" i="37"/>
  <c r="FQ6" i="37"/>
  <c r="FP6" i="37"/>
  <c r="FN6" i="37"/>
  <c r="FK6" i="37"/>
  <c r="FJ6" i="37"/>
  <c r="FI6" i="37"/>
  <c r="FG6" i="37"/>
  <c r="FC6" i="37"/>
  <c r="FD6" i="37" s="1"/>
  <c r="FB6" i="37"/>
  <c r="DO6" i="15" s="1"/>
  <c r="EZ6" i="37"/>
  <c r="DM6" i="15" s="1"/>
  <c r="EV6" i="37"/>
  <c r="DH6" i="15" s="1"/>
  <c r="EU6" i="37"/>
  <c r="EN6" i="37"/>
  <c r="EM6" i="37"/>
  <c r="EL6" i="37"/>
  <c r="EK6" i="37"/>
  <c r="CW6" i="15" s="1"/>
  <c r="EJ6" i="37"/>
  <c r="EI6" i="37"/>
  <c r="EG6" i="37"/>
  <c r="EF6" i="37"/>
  <c r="EE6" i="37"/>
  <c r="ED6" i="37"/>
  <c r="CR6" i="15" s="1"/>
  <c r="CT6" i="15" s="1"/>
  <c r="EC6" i="37"/>
  <c r="EB6" i="37"/>
  <c r="DZ6" i="37"/>
  <c r="DY6" i="37"/>
  <c r="DX6" i="37"/>
  <c r="DW6" i="37"/>
  <c r="CM6" i="15" s="1"/>
  <c r="DV6" i="37"/>
  <c r="DU6" i="37"/>
  <c r="DS6" i="37"/>
  <c r="DR6" i="37"/>
  <c r="DQ6" i="37"/>
  <c r="DP6" i="37"/>
  <c r="CH6" i="15" s="1"/>
  <c r="DO6" i="37"/>
  <c r="DN6" i="37"/>
  <c r="DL6" i="37"/>
  <c r="DK6" i="37"/>
  <c r="DJ6" i="37"/>
  <c r="DI6" i="37"/>
  <c r="CC6" i="15" s="1"/>
  <c r="DH6" i="37"/>
  <c r="DG6" i="37"/>
  <c r="DE6" i="37"/>
  <c r="DD6" i="37"/>
  <c r="DC6" i="37"/>
  <c r="DB6" i="37"/>
  <c r="BX6" i="15" s="1"/>
  <c r="BZ6" i="15" s="1"/>
  <c r="DA6" i="37"/>
  <c r="CZ6" i="37"/>
  <c r="CX6" i="37"/>
  <c r="CW6" i="37"/>
  <c r="CV6" i="37"/>
  <c r="CU6" i="37"/>
  <c r="BS6" i="15" s="1"/>
  <c r="CT6" i="37"/>
  <c r="CS6" i="37"/>
  <c r="CQ6" i="37"/>
  <c r="CP6" i="37"/>
  <c r="CO6" i="37"/>
  <c r="CN6" i="37"/>
  <c r="BN6" i="15" s="1"/>
  <c r="CM6" i="37"/>
  <c r="CL6" i="37"/>
  <c r="CJ6" i="37"/>
  <c r="CI6" i="37"/>
  <c r="CH6" i="37"/>
  <c r="CG6" i="37"/>
  <c r="BI6" i="15" s="1"/>
  <c r="CF6" i="37"/>
  <c r="CE6" i="37"/>
  <c r="CC6" i="37"/>
  <c r="CB6" i="37"/>
  <c r="CA6" i="37"/>
  <c r="BZ6" i="37"/>
  <c r="BD6" i="15" s="1"/>
  <c r="BY6" i="37"/>
  <c r="BX6" i="37"/>
  <c r="BV6" i="37"/>
  <c r="BU6" i="37"/>
  <c r="BT6" i="37"/>
  <c r="BS6" i="37"/>
  <c r="AY6" i="15" s="1"/>
  <c r="BR6" i="37"/>
  <c r="BQ6" i="37"/>
  <c r="BO6" i="37"/>
  <c r="BN6" i="37"/>
  <c r="BM6" i="37"/>
  <c r="BL6" i="37"/>
  <c r="AT6" i="15" s="1"/>
  <c r="BK6" i="37"/>
  <c r="BJ6" i="37"/>
  <c r="BH6" i="37"/>
  <c r="BG6" i="37"/>
  <c r="BF6" i="37"/>
  <c r="BE6" i="37"/>
  <c r="AO6" i="15" s="1"/>
  <c r="BD6" i="37"/>
  <c r="BC6" i="37"/>
  <c r="BA6" i="37"/>
  <c r="AZ6" i="37"/>
  <c r="AY6" i="37"/>
  <c r="AX6" i="37"/>
  <c r="AJ6" i="15" s="1"/>
  <c r="AI6" i="15" s="1"/>
  <c r="AW6" i="37"/>
  <c r="AV6" i="37"/>
  <c r="AT6" i="37"/>
  <c r="AS6" i="37"/>
  <c r="AR6" i="37"/>
  <c r="AQ6" i="37"/>
  <c r="AE6" i="15" s="1"/>
  <c r="AF6" i="15" s="1"/>
  <c r="AP6" i="37"/>
  <c r="AO6" i="37"/>
  <c r="AM6" i="37"/>
  <c r="AL6" i="37"/>
  <c r="AK6" i="37"/>
  <c r="AJ6" i="37"/>
  <c r="Z6" i="15" s="1"/>
  <c r="AI6" i="37"/>
  <c r="AH6" i="37"/>
  <c r="AF6" i="37"/>
  <c r="AE6" i="37"/>
  <c r="AD6" i="37"/>
  <c r="AC6" i="37"/>
  <c r="U6" i="15" s="1"/>
  <c r="AB6" i="37"/>
  <c r="AA6" i="37"/>
  <c r="Y6" i="37"/>
  <c r="X6" i="37"/>
  <c r="W6" i="37"/>
  <c r="V6" i="37"/>
  <c r="P6" i="15" s="1"/>
  <c r="U6" i="37"/>
  <c r="T6" i="37"/>
  <c r="R6" i="37"/>
  <c r="Q6" i="37"/>
  <c r="P6" i="37"/>
  <c r="O6" i="37"/>
  <c r="N6" i="37"/>
  <c r="M6" i="37"/>
  <c r="K6" i="37"/>
  <c r="J6" i="37"/>
  <c r="I6" i="37"/>
  <c r="H6" i="37"/>
  <c r="G6" i="37"/>
  <c r="F6" i="37"/>
  <c r="E6" i="37"/>
  <c r="D6" i="37"/>
  <c r="C6" i="37" a="1"/>
  <c r="C6" i="37" s="1"/>
  <c r="A6" i="37"/>
  <c r="A6" i="15" s="1"/>
  <c r="EV4" i="37"/>
  <c r="DI4" i="15" s="1"/>
  <c r="EU5" i="37"/>
  <c r="EZ5" i="37"/>
  <c r="DM5" i="15" s="1"/>
  <c r="FP3" i="37"/>
  <c r="FC5" i="37"/>
  <c r="FD5" i="37" s="1"/>
  <c r="FC4" i="37"/>
  <c r="FD4" i="37" s="1"/>
  <c r="FB5" i="37"/>
  <c r="DO5" i="15" s="1"/>
  <c r="FB4" i="37"/>
  <c r="DO4" i="15" s="1"/>
  <c r="F4" i="37"/>
  <c r="F5" i="37"/>
  <c r="G4" i="37"/>
  <c r="E4" i="37"/>
  <c r="EZ4" i="37"/>
  <c r="DM4" i="15" s="1"/>
  <c r="EU4" i="37"/>
  <c r="AJ80" i="15" l="1"/>
  <c r="AI80" i="15" s="1"/>
  <c r="BN80" i="15"/>
  <c r="BP80" i="15" s="1"/>
  <c r="CH80" i="15"/>
  <c r="CJ80" i="15" s="1"/>
  <c r="CR80" i="15"/>
  <c r="CS80" i="15" s="1"/>
  <c r="CK80" i="15"/>
  <c r="CL80" i="15"/>
  <c r="CI80" i="15"/>
  <c r="CG80" i="15"/>
  <c r="CF80" i="15"/>
  <c r="CQ80" i="15"/>
  <c r="CT80" i="15"/>
  <c r="CE80" i="15"/>
  <c r="CD80" i="15"/>
  <c r="CU80" i="15"/>
  <c r="CY80" i="15"/>
  <c r="CV80" i="15"/>
  <c r="DD87" i="15"/>
  <c r="DE87" i="15" s="1"/>
  <c r="DF87" i="15"/>
  <c r="Z80" i="15"/>
  <c r="AB80" i="15" s="1"/>
  <c r="CR81" i="15"/>
  <c r="CS81" i="15" s="1"/>
  <c r="CO80" i="15"/>
  <c r="DN80" i="15"/>
  <c r="DN81" i="15"/>
  <c r="P80" i="15"/>
  <c r="R80" i="15" s="1"/>
  <c r="DG6" i="15"/>
  <c r="AT80" i="15"/>
  <c r="AV80" i="15" s="1"/>
  <c r="BI80" i="15"/>
  <c r="U81" i="15"/>
  <c r="W81" i="15" s="1"/>
  <c r="AO81" i="15"/>
  <c r="AY81" i="15"/>
  <c r="AX81" i="15" s="1"/>
  <c r="CC81" i="15"/>
  <c r="CE81" i="15" s="1"/>
  <c r="CM81" i="15"/>
  <c r="CO81" i="15" s="1"/>
  <c r="BD80" i="15"/>
  <c r="BE80" i="15" s="1"/>
  <c r="AJ81" i="15"/>
  <c r="AK81" i="15" s="1"/>
  <c r="BU80" i="15"/>
  <c r="BX80" i="15"/>
  <c r="FD8" i="37"/>
  <c r="EW9" i="37"/>
  <c r="EW10" i="37"/>
  <c r="EW11" i="37"/>
  <c r="K6" i="15"/>
  <c r="J6" i="15" s="1"/>
  <c r="W7" i="15"/>
  <c r="S7" i="15"/>
  <c r="BU6" i="15"/>
  <c r="BQ6" i="15"/>
  <c r="BW7" i="15"/>
  <c r="BZ7" i="15"/>
  <c r="BY7" i="15"/>
  <c r="BV7" i="15"/>
  <c r="AL7" i="15"/>
  <c r="AK7" i="15"/>
  <c r="AI7" i="15"/>
  <c r="AH7" i="15"/>
  <c r="CJ6" i="15"/>
  <c r="CI6" i="15"/>
  <c r="CG6" i="15"/>
  <c r="CF6" i="15"/>
  <c r="BF6" i="15"/>
  <c r="BC6" i="15"/>
  <c r="AV6" i="15"/>
  <c r="AU6" i="15"/>
  <c r="AS6" i="15"/>
  <c r="AR6" i="15"/>
  <c r="BJ6" i="15"/>
  <c r="BK6" i="15"/>
  <c r="BH6" i="15"/>
  <c r="CE7" i="15"/>
  <c r="CD7" i="15"/>
  <c r="CB7" i="15"/>
  <c r="CA7" i="15"/>
  <c r="CN7" i="15"/>
  <c r="CO7" i="15"/>
  <c r="CL7" i="15"/>
  <c r="CK7" i="15"/>
  <c r="CU6" i="15"/>
  <c r="CV6" i="15"/>
  <c r="AN7" i="15"/>
  <c r="AQ7" i="15"/>
  <c r="AP7" i="15"/>
  <c r="AM7" i="15"/>
  <c r="L7" i="15"/>
  <c r="M7" i="15"/>
  <c r="J7" i="15"/>
  <c r="CL6" i="15"/>
  <c r="CO6" i="15"/>
  <c r="CN6" i="15"/>
  <c r="CK6" i="15"/>
  <c r="AW7" i="15"/>
  <c r="AX7" i="15"/>
  <c r="S6" i="15"/>
  <c r="T6" i="15"/>
  <c r="AX6" i="15"/>
  <c r="AW6" i="15"/>
  <c r="BA6" i="15"/>
  <c r="AZ6" i="15"/>
  <c r="Q7" i="15"/>
  <c r="R7" i="15"/>
  <c r="O7" i="15"/>
  <c r="N7" i="15"/>
  <c r="BE7" i="15"/>
  <c r="BC7" i="15"/>
  <c r="BB7" i="15"/>
  <c r="BF7" i="15"/>
  <c r="CS7" i="15"/>
  <c r="CT7" i="15"/>
  <c r="CQ7" i="15"/>
  <c r="CP7" i="15"/>
  <c r="BU7" i="15"/>
  <c r="BR7" i="15"/>
  <c r="BQ7" i="15"/>
  <c r="BO6" i="15"/>
  <c r="BP6" i="15"/>
  <c r="BM6" i="15"/>
  <c r="BL6" i="15"/>
  <c r="H7" i="15"/>
  <c r="E7" i="15"/>
  <c r="R6" i="15"/>
  <c r="O6" i="15"/>
  <c r="CJ7" i="15"/>
  <c r="CG7" i="15"/>
  <c r="Y6" i="15"/>
  <c r="X6" i="15"/>
  <c r="AB6" i="15"/>
  <c r="AA6" i="15"/>
  <c r="AG7" i="15"/>
  <c r="AD7" i="15"/>
  <c r="AC7" i="15"/>
  <c r="AQ6" i="15"/>
  <c r="AN6" i="15"/>
  <c r="AM6" i="15"/>
  <c r="CE6" i="15"/>
  <c r="CB6" i="15"/>
  <c r="CA6" i="15"/>
  <c r="AV7" i="15"/>
  <c r="AS7" i="15"/>
  <c r="DI6" i="15"/>
  <c r="DN6" i="15"/>
  <c r="DP6" i="15"/>
  <c r="DN7" i="15"/>
  <c r="DH11" i="15"/>
  <c r="FD10" i="37"/>
  <c r="DI8" i="15"/>
  <c r="DN10" i="15"/>
  <c r="DN8" i="15"/>
  <c r="DH9" i="15"/>
  <c r="DN11" i="15"/>
  <c r="DN9" i="15"/>
  <c r="DH10" i="15"/>
  <c r="DH4" i="15"/>
  <c r="DN4" i="15"/>
  <c r="DP4" i="15"/>
  <c r="DH5" i="15"/>
  <c r="DN5" i="15"/>
  <c r="DP5" i="15"/>
  <c r="A80" i="15"/>
  <c r="ES8" i="37"/>
  <c r="ES11" i="37"/>
  <c r="ES10" i="37"/>
  <c r="ES9" i="37"/>
  <c r="ES81" i="37"/>
  <c r="ES6" i="37"/>
  <c r="ES7" i="37"/>
  <c r="ES80" i="37"/>
  <c r="DH87" i="15"/>
  <c r="F81" i="15"/>
  <c r="H81" i="15" s="1"/>
  <c r="F80" i="15"/>
  <c r="H80" i="15" s="1"/>
  <c r="D80" i="15"/>
  <c r="DI81" i="15"/>
  <c r="DG81" i="15"/>
  <c r="DI80" i="15"/>
  <c r="DG80" i="15"/>
  <c r="DH80" i="15" s="1"/>
  <c r="AQ80" i="15"/>
  <c r="AP80" i="15"/>
  <c r="AN80" i="15"/>
  <c r="O80" i="15"/>
  <c r="BK80" i="15"/>
  <c r="BJ80" i="15"/>
  <c r="W80" i="15"/>
  <c r="T80" i="15"/>
  <c r="BZ80" i="15"/>
  <c r="BY80" i="15"/>
  <c r="BW80" i="15"/>
  <c r="L80" i="15"/>
  <c r="M80" i="15"/>
  <c r="J80" i="15"/>
  <c r="BA80" i="15"/>
  <c r="AZ80" i="15"/>
  <c r="AX80" i="15"/>
  <c r="AD80" i="15"/>
  <c r="AG80" i="15"/>
  <c r="G80" i="15"/>
  <c r="BO80" i="15"/>
  <c r="FD81" i="37"/>
  <c r="DP80" i="15"/>
  <c r="AG81" i="15"/>
  <c r="AF81" i="15"/>
  <c r="BN81" i="15"/>
  <c r="BM81" i="15" s="1"/>
  <c r="Q81" i="15"/>
  <c r="R81" i="15"/>
  <c r="CI81" i="15"/>
  <c r="CG81" i="15"/>
  <c r="CJ81" i="15"/>
  <c r="AS81" i="15"/>
  <c r="AV81" i="15"/>
  <c r="AU81" i="15"/>
  <c r="M81" i="15"/>
  <c r="L81" i="15"/>
  <c r="AP81" i="15"/>
  <c r="AN81" i="15"/>
  <c r="AQ81" i="15"/>
  <c r="Y81" i="15"/>
  <c r="AB81" i="15"/>
  <c r="AA81" i="15"/>
  <c r="BH81" i="15"/>
  <c r="BK81" i="15"/>
  <c r="BR81" i="15"/>
  <c r="BT81" i="15"/>
  <c r="AK80" i="15"/>
  <c r="CU81" i="15"/>
  <c r="V80" i="15"/>
  <c r="AL80" i="15"/>
  <c r="BR80" i="15"/>
  <c r="CX80" i="15"/>
  <c r="D81" i="15"/>
  <c r="T81" i="15"/>
  <c r="CF81" i="15"/>
  <c r="CV81" i="15"/>
  <c r="BT80" i="15"/>
  <c r="V81" i="15"/>
  <c r="CX81" i="15"/>
  <c r="BC81" i="15"/>
  <c r="AA80" i="15"/>
  <c r="BE81" i="15"/>
  <c r="BH80" i="15"/>
  <c r="J81" i="15"/>
  <c r="AS80" i="15"/>
  <c r="BW81" i="15"/>
  <c r="BY81" i="15"/>
  <c r="CB80" i="15"/>
  <c r="AD81" i="15"/>
  <c r="CP81" i="15"/>
  <c r="BM80" i="15"/>
  <c r="O81" i="15"/>
  <c r="F6" i="15"/>
  <c r="E6" i="15" s="1"/>
  <c r="D6" i="15"/>
  <c r="M6" i="15"/>
  <c r="AK6" i="15"/>
  <c r="BO7" i="15"/>
  <c r="CU7" i="15"/>
  <c r="V6" i="15"/>
  <c r="AL6" i="15"/>
  <c r="BB6" i="15"/>
  <c r="BR6" i="15"/>
  <c r="CX6" i="15"/>
  <c r="D7" i="15"/>
  <c r="T7" i="15"/>
  <c r="AZ7" i="15"/>
  <c r="BP7" i="15"/>
  <c r="CF7" i="15"/>
  <c r="CV7" i="15"/>
  <c r="W6" i="15"/>
  <c r="CY6" i="15"/>
  <c r="BA7" i="15"/>
  <c r="BT6" i="15"/>
  <c r="V7" i="15"/>
  <c r="CX7" i="15"/>
  <c r="BE6" i="15"/>
  <c r="G7" i="15"/>
  <c r="CI7" i="15"/>
  <c r="AP6" i="15"/>
  <c r="BV6" i="15"/>
  <c r="X7" i="15"/>
  <c r="BT7" i="15"/>
  <c r="BG6" i="15"/>
  <c r="BW6" i="15"/>
  <c r="I7" i="15"/>
  <c r="Y7" i="15"/>
  <c r="AC6" i="15"/>
  <c r="BY6" i="15"/>
  <c r="AA7" i="15"/>
  <c r="BG7" i="15"/>
  <c r="N6" i="15"/>
  <c r="AD6" i="15"/>
  <c r="CP6" i="15"/>
  <c r="AR7" i="15"/>
  <c r="BH7" i="15"/>
  <c r="CQ6" i="15"/>
  <c r="BJ7" i="15"/>
  <c r="Q6" i="15"/>
  <c r="AG6" i="15"/>
  <c r="CS6" i="15"/>
  <c r="AU7" i="15"/>
  <c r="AH6" i="15"/>
  <c r="CD6" i="15"/>
  <c r="AF7" i="15"/>
  <c r="BL7" i="15"/>
  <c r="EW6" i="37"/>
  <c r="FD7" i="37"/>
  <c r="EW8" i="37"/>
  <c r="EW7" i="37"/>
  <c r="EW5" i="37"/>
  <c r="BF80" i="15" l="1"/>
  <c r="Y80" i="15"/>
  <c r="AU80" i="15"/>
  <c r="CL81" i="15"/>
  <c r="AZ81" i="15"/>
  <c r="CQ81" i="15"/>
  <c r="CP80" i="15"/>
  <c r="CT81" i="15"/>
  <c r="CK81" i="15"/>
  <c r="AI81" i="15"/>
  <c r="G81" i="15"/>
  <c r="E81" i="15"/>
  <c r="CN81" i="15"/>
  <c r="BC80" i="15"/>
  <c r="BO81" i="15"/>
  <c r="CD81" i="15"/>
  <c r="BA81" i="15"/>
  <c r="E80" i="15"/>
  <c r="I80" i="15" s="1"/>
  <c r="CB81" i="15"/>
  <c r="L6" i="15"/>
  <c r="AL81" i="15"/>
  <c r="Q80" i="15"/>
  <c r="H11" i="37"/>
  <c r="DH81" i="15"/>
  <c r="BP81" i="15"/>
  <c r="I81" i="15"/>
  <c r="G6" i="15"/>
  <c r="I6" i="15" s="1"/>
  <c r="H6" i="15"/>
  <c r="DT6" i="15"/>
  <c r="DT7" i="15"/>
  <c r="DT11" i="15"/>
  <c r="C11" i="15"/>
  <c r="DF11" i="15" s="1"/>
  <c r="DG11" i="15" s="1"/>
  <c r="C10" i="15"/>
  <c r="DF10" i="15" s="1"/>
  <c r="DG10" i="15" s="1"/>
  <c r="C9" i="15"/>
  <c r="DF9" i="15" s="1"/>
  <c r="C8" i="15"/>
  <c r="B8" i="15"/>
  <c r="B9" i="15" s="1"/>
  <c r="B10" i="15" s="1"/>
  <c r="B11" i="15" s="1"/>
  <c r="BS11" i="15"/>
  <c r="BI11" i="15"/>
  <c r="BK11" i="15" s="1"/>
  <c r="F11" i="15"/>
  <c r="A11" i="15"/>
  <c r="CR10" i="15"/>
  <c r="CQ10" i="15" s="1"/>
  <c r="CH10" i="15"/>
  <c r="BD10" i="15"/>
  <c r="Z10" i="15"/>
  <c r="P10" i="15"/>
  <c r="F10" i="15"/>
  <c r="H10" i="15" s="1"/>
  <c r="A10" i="15"/>
  <c r="CW9" i="15"/>
  <c r="CM9" i="15"/>
  <c r="CH9" i="15"/>
  <c r="CI9" i="15" s="1"/>
  <c r="CC9" i="15"/>
  <c r="CA9" i="15" s="1"/>
  <c r="BS9" i="15"/>
  <c r="BN9" i="15"/>
  <c r="BM9" i="15" s="1"/>
  <c r="BI9" i="15"/>
  <c r="AY9" i="15"/>
  <c r="AX9" i="15" s="1"/>
  <c r="AT9" i="15"/>
  <c r="AU9" i="15" s="1"/>
  <c r="AO9" i="15"/>
  <c r="AQ9" i="15" s="1"/>
  <c r="AE9" i="15"/>
  <c r="U9" i="15"/>
  <c r="W9" i="15" s="1"/>
  <c r="K9" i="15"/>
  <c r="J9" i="15" s="1"/>
  <c r="A9" i="15"/>
  <c r="CR8" i="15"/>
  <c r="BN8" i="15"/>
  <c r="BL8" i="15" s="1"/>
  <c r="BD8" i="15"/>
  <c r="AT8" i="15"/>
  <c r="AO8" i="15"/>
  <c r="AP8" i="15" s="1"/>
  <c r="AJ8" i="15"/>
  <c r="AI8" i="15" s="1"/>
  <c r="Z8" i="15"/>
  <c r="P8" i="15"/>
  <c r="A8" i="15"/>
  <c r="FU5" i="37"/>
  <c r="FU4" i="37"/>
  <c r="FR5" i="37"/>
  <c r="FR4" i="37"/>
  <c r="FQ5" i="37"/>
  <c r="FQ4" i="37"/>
  <c r="FP5" i="37"/>
  <c r="FP4" i="37"/>
  <c r="FG5" i="37"/>
  <c r="FG4" i="37"/>
  <c r="FN5" i="37"/>
  <c r="FN4" i="37"/>
  <c r="FK5" i="37"/>
  <c r="FK4" i="37"/>
  <c r="FJ5" i="37"/>
  <c r="FJ4" i="37"/>
  <c r="FI5" i="37"/>
  <c r="FI4" i="37"/>
  <c r="EG3" i="15"/>
  <c r="EE3" i="15"/>
  <c r="DX3" i="15"/>
  <c r="DS3" i="15"/>
  <c r="DQ3" i="15"/>
  <c r="DJ3" i="15"/>
  <c r="CC83" i="37"/>
  <c r="CB83" i="37"/>
  <c r="CA83" i="37"/>
  <c r="BZ83" i="37"/>
  <c r="BY83" i="37"/>
  <c r="BX83" i="37"/>
  <c r="BV83" i="37"/>
  <c r="BU83" i="37"/>
  <c r="BT83" i="37"/>
  <c r="BS83" i="37"/>
  <c r="BR83" i="37"/>
  <c r="BQ83" i="37"/>
  <c r="BO83" i="37"/>
  <c r="BN83" i="37"/>
  <c r="BM83" i="37"/>
  <c r="BL83" i="37"/>
  <c r="BK83" i="37"/>
  <c r="BJ83" i="37"/>
  <c r="BH83" i="37"/>
  <c r="BG83" i="37"/>
  <c r="BF83" i="37"/>
  <c r="BE83" i="37"/>
  <c r="BD83" i="37"/>
  <c r="BC83" i="37"/>
  <c r="BA83" i="37"/>
  <c r="AZ83" i="37"/>
  <c r="AY83" i="37"/>
  <c r="AX83" i="37"/>
  <c r="AW83" i="37"/>
  <c r="AV83" i="37"/>
  <c r="AT83" i="37"/>
  <c r="AS83" i="37"/>
  <c r="AR83" i="37"/>
  <c r="AQ83" i="37"/>
  <c r="AP83" i="37"/>
  <c r="AO83" i="37"/>
  <c r="AM83" i="37"/>
  <c r="AL83" i="37"/>
  <c r="AK83" i="37"/>
  <c r="AJ83" i="37"/>
  <c r="AI83" i="37"/>
  <c r="AH83" i="37"/>
  <c r="AF83" i="37"/>
  <c r="AE83" i="37"/>
  <c r="AD83" i="37"/>
  <c r="AC83" i="37"/>
  <c r="AB83" i="37"/>
  <c r="AA83" i="37"/>
  <c r="Y83" i="37"/>
  <c r="X83" i="37"/>
  <c r="W83" i="37"/>
  <c r="V83" i="37"/>
  <c r="U83" i="37"/>
  <c r="T83" i="37"/>
  <c r="R83" i="37"/>
  <c r="Q83" i="37"/>
  <c r="P83" i="37"/>
  <c r="O83" i="37"/>
  <c r="N83" i="37"/>
  <c r="M83" i="37"/>
  <c r="K83" i="37"/>
  <c r="J83" i="37"/>
  <c r="I83" i="37"/>
  <c r="H83" i="37"/>
  <c r="G83" i="37"/>
  <c r="F83" i="37"/>
  <c r="E83" i="37"/>
  <c r="C83" i="37" a="1"/>
  <c r="C83" i="37" s="1"/>
  <c r="A83" i="15"/>
  <c r="DL82" i="37"/>
  <c r="DK82" i="37"/>
  <c r="DJ82" i="37"/>
  <c r="DI82" i="37"/>
  <c r="DH82" i="37"/>
  <c r="DG82" i="37"/>
  <c r="DE82" i="37"/>
  <c r="DD82" i="37"/>
  <c r="DC82" i="37"/>
  <c r="DB82" i="37"/>
  <c r="DA82" i="37"/>
  <c r="CZ82" i="37"/>
  <c r="CX82" i="37"/>
  <c r="CW82" i="37"/>
  <c r="CV82" i="37"/>
  <c r="CU82" i="37"/>
  <c r="CT82" i="37"/>
  <c r="CS82" i="37"/>
  <c r="CQ82" i="37"/>
  <c r="CP82" i="37"/>
  <c r="CO82" i="37"/>
  <c r="CN82" i="37"/>
  <c r="CM82" i="37"/>
  <c r="CL82" i="37"/>
  <c r="CJ82" i="37"/>
  <c r="CI82" i="37"/>
  <c r="CH82" i="37"/>
  <c r="CG82" i="37"/>
  <c r="CF82" i="37"/>
  <c r="CE82" i="37"/>
  <c r="CC82" i="37"/>
  <c r="CB82" i="37"/>
  <c r="CA82" i="37"/>
  <c r="BZ82" i="37"/>
  <c r="BY82" i="37"/>
  <c r="BX82" i="37"/>
  <c r="BV82" i="37"/>
  <c r="BU82" i="37"/>
  <c r="BT82" i="37"/>
  <c r="BS82" i="37"/>
  <c r="BR82" i="37"/>
  <c r="BQ82" i="37"/>
  <c r="BO82" i="37"/>
  <c r="BN82" i="37"/>
  <c r="BM82" i="37"/>
  <c r="BL82" i="37"/>
  <c r="BK82" i="37"/>
  <c r="BJ82" i="37"/>
  <c r="BH82" i="37"/>
  <c r="BG82" i="37"/>
  <c r="BF82" i="37"/>
  <c r="BE82" i="37"/>
  <c r="BD82" i="37"/>
  <c r="BC82" i="37"/>
  <c r="BA82" i="37"/>
  <c r="AZ82" i="37"/>
  <c r="AY82" i="37"/>
  <c r="AX82" i="37"/>
  <c r="AW82" i="37"/>
  <c r="AV82" i="37"/>
  <c r="AT82" i="37"/>
  <c r="AS82" i="37"/>
  <c r="AR82" i="37"/>
  <c r="AQ82" i="37"/>
  <c r="AP82" i="37"/>
  <c r="AO82" i="37"/>
  <c r="AM82" i="37"/>
  <c r="AL82" i="37"/>
  <c r="AK82" i="37"/>
  <c r="AJ82" i="37"/>
  <c r="AI82" i="37"/>
  <c r="AH82" i="37"/>
  <c r="AF82" i="37"/>
  <c r="AE82" i="37"/>
  <c r="AD82" i="37"/>
  <c r="AC82" i="37"/>
  <c r="AB82" i="37"/>
  <c r="AA82" i="37"/>
  <c r="Y82" i="37"/>
  <c r="X82" i="37"/>
  <c r="W82" i="37"/>
  <c r="V82" i="37"/>
  <c r="U82" i="37"/>
  <c r="T82" i="37"/>
  <c r="R82" i="37"/>
  <c r="Q82" i="37"/>
  <c r="P82" i="37"/>
  <c r="O82" i="37"/>
  <c r="N82" i="37"/>
  <c r="M82" i="37"/>
  <c r="K82" i="37"/>
  <c r="J82" i="37"/>
  <c r="I82" i="37"/>
  <c r="H82" i="37"/>
  <c r="G82" i="37"/>
  <c r="F82" i="37"/>
  <c r="E82" i="37"/>
  <c r="D82" i="37"/>
  <c r="C82" i="37" a="1"/>
  <c r="C82" i="37" s="1"/>
  <c r="A82" i="37"/>
  <c r="A82" i="15" s="1"/>
  <c r="C83" i="15"/>
  <c r="DF83" i="15" s="1"/>
  <c r="DD83" i="15" s="1"/>
  <c r="C82" i="15"/>
  <c r="DF82" i="15" s="1"/>
  <c r="DD82" i="15" s="1"/>
  <c r="EN5" i="37"/>
  <c r="EM5" i="37"/>
  <c r="EK5" i="37"/>
  <c r="EG5" i="37"/>
  <c r="EF5" i="37"/>
  <c r="ED5" i="37"/>
  <c r="DZ5" i="37"/>
  <c r="DY5" i="37"/>
  <c r="DW5" i="37"/>
  <c r="DS5" i="37"/>
  <c r="DR5" i="37"/>
  <c r="DP5" i="37"/>
  <c r="DL5" i="37"/>
  <c r="DK5" i="37"/>
  <c r="DI5" i="37"/>
  <c r="DE5" i="37"/>
  <c r="DD5" i="37"/>
  <c r="DB5" i="37"/>
  <c r="CX5" i="37"/>
  <c r="CW5" i="37"/>
  <c r="CU5" i="37"/>
  <c r="CQ5" i="37"/>
  <c r="CP5" i="37"/>
  <c r="CN5" i="37"/>
  <c r="CJ5" i="37"/>
  <c r="CI5" i="37"/>
  <c r="CG5" i="37"/>
  <c r="CC5" i="37"/>
  <c r="CB5" i="37"/>
  <c r="BZ5" i="37"/>
  <c r="BV5" i="37"/>
  <c r="BU5" i="37"/>
  <c r="BS5" i="37"/>
  <c r="BO5" i="37"/>
  <c r="BN5" i="37"/>
  <c r="BL5" i="37"/>
  <c r="BH5" i="37"/>
  <c r="BG5" i="37"/>
  <c r="BE5" i="37"/>
  <c r="BA5" i="37"/>
  <c r="AZ5" i="37"/>
  <c r="AX5" i="37"/>
  <c r="AT5" i="37"/>
  <c r="AS5" i="37"/>
  <c r="AQ5" i="37"/>
  <c r="AM5" i="37"/>
  <c r="AL5" i="37"/>
  <c r="AJ5" i="37"/>
  <c r="AF5" i="37"/>
  <c r="AE5" i="37"/>
  <c r="AC5" i="37"/>
  <c r="Y5" i="37"/>
  <c r="X5" i="37"/>
  <c r="V5" i="37"/>
  <c r="R5" i="37"/>
  <c r="Q5" i="37"/>
  <c r="O5" i="37"/>
  <c r="K5" i="37"/>
  <c r="J5" i="37"/>
  <c r="H5" i="37"/>
  <c r="EL5" i="37"/>
  <c r="EJ5" i="37"/>
  <c r="EI5" i="37"/>
  <c r="EE5" i="37"/>
  <c r="EC5" i="37"/>
  <c r="EB5" i="37"/>
  <c r="DX5" i="37"/>
  <c r="DV5" i="37"/>
  <c r="DU5" i="37"/>
  <c r="DQ5" i="37"/>
  <c r="DO5" i="37"/>
  <c r="DN5" i="37"/>
  <c r="DJ5" i="37"/>
  <c r="DH5" i="37"/>
  <c r="DG5" i="37"/>
  <c r="DC5" i="37"/>
  <c r="DA5" i="37"/>
  <c r="CZ5" i="37"/>
  <c r="CV5" i="37"/>
  <c r="CT5" i="37"/>
  <c r="CS5" i="37"/>
  <c r="CO5" i="37"/>
  <c r="CM5" i="37"/>
  <c r="CL5" i="37"/>
  <c r="CH5" i="37"/>
  <c r="CF5" i="37"/>
  <c r="CE5" i="37"/>
  <c r="CA5" i="37"/>
  <c r="BY5" i="37"/>
  <c r="BX5" i="37"/>
  <c r="BT5" i="37"/>
  <c r="BR5" i="37"/>
  <c r="BQ5" i="37"/>
  <c r="BM5" i="37"/>
  <c r="BK5" i="37"/>
  <c r="BJ5" i="37"/>
  <c r="BF5" i="37"/>
  <c r="BD5" i="37"/>
  <c r="BC5" i="37"/>
  <c r="AY5" i="37"/>
  <c r="AW5" i="37"/>
  <c r="AV5" i="37"/>
  <c r="AR5" i="37"/>
  <c r="AP5" i="37"/>
  <c r="AO5" i="37"/>
  <c r="AK5" i="37"/>
  <c r="AI5" i="37"/>
  <c r="AH5" i="37"/>
  <c r="AD5" i="37"/>
  <c r="AB5" i="37"/>
  <c r="AA5" i="37"/>
  <c r="W5" i="37"/>
  <c r="U5" i="37"/>
  <c r="T5" i="37"/>
  <c r="P5" i="37"/>
  <c r="N5" i="37"/>
  <c r="M5" i="37"/>
  <c r="I5" i="37"/>
  <c r="G5" i="37"/>
  <c r="E5" i="37"/>
  <c r="D5" i="37"/>
  <c r="C5" i="37" a="1"/>
  <c r="C5" i="37" s="1"/>
  <c r="A5" i="37"/>
  <c r="EN4" i="37"/>
  <c r="EM4" i="37"/>
  <c r="EL4" i="37"/>
  <c r="EK4" i="37"/>
  <c r="EJ4" i="37"/>
  <c r="EG4" i="37"/>
  <c r="EF4" i="37"/>
  <c r="EE4" i="37"/>
  <c r="ED4" i="37"/>
  <c r="EC4" i="37"/>
  <c r="DZ4" i="37"/>
  <c r="DY4" i="37"/>
  <c r="DX4" i="37"/>
  <c r="DW4" i="37"/>
  <c r="DV4" i="37"/>
  <c r="DS4" i="37"/>
  <c r="DR4" i="37"/>
  <c r="DQ4" i="37"/>
  <c r="DP4" i="37"/>
  <c r="DO4" i="37"/>
  <c r="DL4" i="37"/>
  <c r="DK4" i="37"/>
  <c r="DJ4" i="37"/>
  <c r="DI4" i="37"/>
  <c r="DH4" i="37"/>
  <c r="DE4" i="37"/>
  <c r="DD4" i="37"/>
  <c r="DC4" i="37"/>
  <c r="DB4" i="37"/>
  <c r="DA4" i="37"/>
  <c r="CX4" i="37"/>
  <c r="CW4" i="37"/>
  <c r="CV4" i="37"/>
  <c r="CU4" i="37"/>
  <c r="CT4" i="37"/>
  <c r="CQ4" i="37"/>
  <c r="CP4" i="37"/>
  <c r="CO4" i="37"/>
  <c r="CN4" i="37"/>
  <c r="CM4" i="37"/>
  <c r="CJ4" i="37"/>
  <c r="CI4" i="37"/>
  <c r="CH4" i="37"/>
  <c r="CG4" i="37"/>
  <c r="CF4" i="37"/>
  <c r="CC4" i="37"/>
  <c r="CB4" i="37"/>
  <c r="CA4" i="37"/>
  <c r="BZ4" i="37"/>
  <c r="BY4" i="37"/>
  <c r="BV4" i="37"/>
  <c r="BU4" i="37"/>
  <c r="BT4" i="37"/>
  <c r="BS4" i="37"/>
  <c r="BR4" i="37"/>
  <c r="BO4" i="37"/>
  <c r="BN4" i="37"/>
  <c r="BM4" i="37"/>
  <c r="BL4" i="37"/>
  <c r="BK4" i="37"/>
  <c r="BH4" i="37"/>
  <c r="BG4" i="37"/>
  <c r="BF4" i="37"/>
  <c r="BE4" i="37"/>
  <c r="BD4" i="37"/>
  <c r="BA4" i="37"/>
  <c r="AZ4" i="37"/>
  <c r="AY4" i="37"/>
  <c r="AX4" i="37"/>
  <c r="AW4" i="37"/>
  <c r="AT4" i="37"/>
  <c r="AS4" i="37"/>
  <c r="AR4" i="37"/>
  <c r="AQ4" i="37"/>
  <c r="AP4" i="37"/>
  <c r="AO4" i="37"/>
  <c r="AM4" i="37"/>
  <c r="AL4" i="37"/>
  <c r="AK4" i="37"/>
  <c r="AJ4" i="37"/>
  <c r="AI4" i="37"/>
  <c r="AF4" i="37"/>
  <c r="AE4" i="37"/>
  <c r="AD4" i="37"/>
  <c r="AC4" i="37"/>
  <c r="AB4" i="37"/>
  <c r="EN83" i="37"/>
  <c r="EN82" i="37"/>
  <c r="EM83" i="37"/>
  <c r="EL83" i="37"/>
  <c r="EM82" i="37"/>
  <c r="EL82" i="37"/>
  <c r="EK83" i="37"/>
  <c r="EJ83" i="37"/>
  <c r="EK82" i="37"/>
  <c r="EJ82" i="37"/>
  <c r="EI83" i="37"/>
  <c r="EI82" i="37"/>
  <c r="EG83" i="37"/>
  <c r="EG82" i="37"/>
  <c r="EF83" i="37"/>
  <c r="EE83" i="37"/>
  <c r="EF82" i="37"/>
  <c r="EE82" i="37"/>
  <c r="ED83" i="37"/>
  <c r="EC83" i="37"/>
  <c r="ED82" i="37"/>
  <c r="EC82" i="37"/>
  <c r="EB83" i="37"/>
  <c r="DZ83" i="37"/>
  <c r="DZ82" i="37"/>
  <c r="DY83" i="37"/>
  <c r="DX83" i="37"/>
  <c r="DY82" i="37"/>
  <c r="DX82" i="37"/>
  <c r="DW83" i="37"/>
  <c r="DV83" i="37"/>
  <c r="DW82" i="37"/>
  <c r="DV82" i="37"/>
  <c r="DU82" i="37"/>
  <c r="DS83" i="37"/>
  <c r="DS82" i="37"/>
  <c r="DR83" i="37"/>
  <c r="DQ83" i="37"/>
  <c r="DR82" i="37"/>
  <c r="DQ82" i="37"/>
  <c r="DP83" i="37"/>
  <c r="H112" i="55"/>
  <c r="DP82" i="37"/>
  <c r="DO82" i="37"/>
  <c r="DN83" i="37"/>
  <c r="DN82" i="37"/>
  <c r="DL83" i="37"/>
  <c r="DK83" i="37"/>
  <c r="DJ83" i="37"/>
  <c r="DI83" i="37"/>
  <c r="DH83" i="37"/>
  <c r="B107" i="55"/>
  <c r="DE83" i="37"/>
  <c r="DD83" i="37"/>
  <c r="DC83" i="37"/>
  <c r="DB83" i="37"/>
  <c r="DA83" i="37"/>
  <c r="CZ83" i="37"/>
  <c r="B102" i="55"/>
  <c r="CX83" i="37"/>
  <c r="CW83" i="37"/>
  <c r="CV83" i="37"/>
  <c r="CU83" i="37"/>
  <c r="CT83" i="37"/>
  <c r="CS83" i="37"/>
  <c r="B97" i="55"/>
  <c r="B92" i="55"/>
  <c r="CQ83" i="37"/>
  <c r="CP83" i="37"/>
  <c r="CO83" i="37"/>
  <c r="CN83" i="37"/>
  <c r="CL83" i="37"/>
  <c r="CJ83" i="37"/>
  <c r="CI83" i="37"/>
  <c r="CH83" i="37"/>
  <c r="CG83" i="37"/>
  <c r="CF83" i="37"/>
  <c r="CE83" i="37"/>
  <c r="B87" i="55"/>
  <c r="B82" i="55"/>
  <c r="H82" i="55"/>
  <c r="B77" i="55"/>
  <c r="H77" i="55"/>
  <c r="B72" i="55"/>
  <c r="H72" i="55"/>
  <c r="B67" i="55"/>
  <c r="H67" i="55"/>
  <c r="B62" i="55"/>
  <c r="H62" i="55"/>
  <c r="B57" i="55"/>
  <c r="H57" i="55"/>
  <c r="B52" i="55"/>
  <c r="H52" i="55"/>
  <c r="B47" i="55"/>
  <c r="H47" i="55"/>
  <c r="B42" i="55"/>
  <c r="H42" i="55"/>
  <c r="B37" i="55"/>
  <c r="H37" i="55"/>
  <c r="H32" i="55"/>
  <c r="B32" i="55"/>
  <c r="K26" i="55"/>
  <c r="J26" i="55"/>
  <c r="I26" i="55"/>
  <c r="H26" i="55"/>
  <c r="F26" i="55"/>
  <c r="E26" i="55"/>
  <c r="D26" i="55"/>
  <c r="C26" i="55"/>
  <c r="B26" i="55"/>
  <c r="H25" i="55"/>
  <c r="B25" i="55"/>
  <c r="FU83" i="37"/>
  <c r="FU82" i="37"/>
  <c r="FQ83" i="37"/>
  <c r="FQ82" i="37"/>
  <c r="FP83" i="37"/>
  <c r="FP82" i="37"/>
  <c r="FG83" i="37"/>
  <c r="FG82" i="37"/>
  <c r="FC83" i="37"/>
  <c r="FC82" i="37"/>
  <c r="FN83" i="37"/>
  <c r="FN82" i="37"/>
  <c r="FJ83" i="37"/>
  <c r="FJ82" i="37"/>
  <c r="FI83" i="37"/>
  <c r="FI82" i="37"/>
  <c r="EZ83" i="37"/>
  <c r="EZ82" i="37"/>
  <c r="EV83" i="37"/>
  <c r="DG83" i="15" s="1"/>
  <c r="DH83" i="15" s="1"/>
  <c r="EV82" i="37"/>
  <c r="A3" i="55"/>
  <c r="G1" i="55" a="1"/>
  <c r="G1" i="55" s="1"/>
  <c r="B1" i="55"/>
  <c r="F12" i="15"/>
  <c r="F13" i="15"/>
  <c r="F14" i="15"/>
  <c r="EA3" i="15"/>
  <c r="DW3" i="15"/>
  <c r="DV3" i="15"/>
  <c r="DU3" i="15"/>
  <c r="ES3" i="37"/>
  <c r="ES12" i="37"/>
  <c r="ES13" i="37"/>
  <c r="ES2" i="37"/>
  <c r="DF3" i="15"/>
  <c r="EI4" i="37"/>
  <c r="EB4" i="37"/>
  <c r="DU4" i="37"/>
  <c r="DN4" i="37"/>
  <c r="DG4" i="37"/>
  <c r="CZ4" i="37"/>
  <c r="CS4" i="37"/>
  <c r="CL4" i="37"/>
  <c r="CE4" i="37"/>
  <c r="BX4" i="37"/>
  <c r="BQ4" i="37"/>
  <c r="BJ4" i="37"/>
  <c r="BC4" i="37"/>
  <c r="AV4" i="37"/>
  <c r="AH4" i="37"/>
  <c r="AA4" i="37"/>
  <c r="W4" i="37"/>
  <c r="U4" i="37"/>
  <c r="T4" i="37"/>
  <c r="P4" i="37"/>
  <c r="N4" i="37"/>
  <c r="M4" i="37"/>
  <c r="I4" i="37"/>
  <c r="Y4" i="37"/>
  <c r="X4" i="37"/>
  <c r="V4" i="37"/>
  <c r="R4" i="37"/>
  <c r="Q4" i="37"/>
  <c r="O4" i="37"/>
  <c r="H4" i="37"/>
  <c r="F4" i="15" s="1"/>
  <c r="K4" i="37"/>
  <c r="J4" i="37"/>
  <c r="R2" i="15"/>
  <c r="M2" i="15"/>
  <c r="H2" i="15"/>
  <c r="D4" i="37"/>
  <c r="C4" i="37" a="1"/>
  <c r="C4" i="37" s="1"/>
  <c r="A4" i="37"/>
  <c r="F3" i="37"/>
  <c r="K3" i="37"/>
  <c r="M3" i="37"/>
  <c r="R3" i="37"/>
  <c r="T3" i="37"/>
  <c r="Y3" i="37"/>
  <c r="AA3" i="37"/>
  <c r="AF3" i="37"/>
  <c r="AH3" i="37"/>
  <c r="AM3" i="37"/>
  <c r="AO3" i="37"/>
  <c r="AT3" i="37"/>
  <c r="AV3" i="37"/>
  <c r="BA3" i="37"/>
  <c r="BC3" i="37"/>
  <c r="BH3" i="37"/>
  <c r="BJ3" i="37"/>
  <c r="BO3" i="37"/>
  <c r="BQ3" i="37"/>
  <c r="BV3" i="37"/>
  <c r="BX3" i="37"/>
  <c r="CC3" i="37"/>
  <c r="CE3" i="37"/>
  <c r="CJ3" i="37"/>
  <c r="CL3" i="37"/>
  <c r="CQ3" i="37"/>
  <c r="CS3" i="37"/>
  <c r="CX3" i="37"/>
  <c r="CZ3" i="37"/>
  <c r="DE3" i="37"/>
  <c r="DG3" i="37"/>
  <c r="DL3" i="37"/>
  <c r="DN3" i="37"/>
  <c r="DS3" i="37"/>
  <c r="DU3" i="37"/>
  <c r="DZ3" i="37"/>
  <c r="EB3" i="37"/>
  <c r="EG3" i="37"/>
  <c r="EI3" i="37"/>
  <c r="EN3" i="37"/>
  <c r="E3" i="37"/>
  <c r="L3" i="37"/>
  <c r="S3" i="37"/>
  <c r="Z3" i="37"/>
  <c r="AG3" i="37"/>
  <c r="AN3" i="37"/>
  <c r="AU3" i="37"/>
  <c r="BB3" i="37"/>
  <c r="BI3" i="37"/>
  <c r="B4" i="37"/>
  <c r="B5" i="37" s="1"/>
  <c r="B6" i="37" s="1"/>
  <c r="B7" i="37" s="1"/>
  <c r="B8" i="37" s="1"/>
  <c r="B9" i="37" s="1"/>
  <c r="B10" i="37" s="1"/>
  <c r="B11" i="37" s="1"/>
  <c r="DT10" i="15" l="1"/>
  <c r="N80" i="15"/>
  <c r="DG9" i="15"/>
  <c r="DT9" i="15" s="1"/>
  <c r="N11" i="37"/>
  <c r="DP83" i="15"/>
  <c r="FD83" i="37"/>
  <c r="DP82" i="15"/>
  <c r="FD82" i="37"/>
  <c r="DM83" i="15"/>
  <c r="DM82" i="15"/>
  <c r="DI83" i="15"/>
  <c r="EW83" i="37"/>
  <c r="DN83" i="15" s="1"/>
  <c r="DG82" i="15"/>
  <c r="DH82" i="15" s="1"/>
  <c r="DI82" i="15"/>
  <c r="EW82" i="37"/>
  <c r="DN82" i="15" s="1"/>
  <c r="S80" i="15"/>
  <c r="X80" i="15" s="1"/>
  <c r="AC80" i="15" s="1"/>
  <c r="N81" i="15"/>
  <c r="AJ10" i="15"/>
  <c r="AL10" i="15" s="1"/>
  <c r="BX10" i="15"/>
  <c r="BV10" i="15" s="1"/>
  <c r="CC11" i="15"/>
  <c r="CA11" i="15" s="1"/>
  <c r="U8" i="15"/>
  <c r="V8" i="15" s="1"/>
  <c r="BI8" i="15"/>
  <c r="BK8" i="15" s="1"/>
  <c r="CW8" i="15"/>
  <c r="CV8" i="15" s="1"/>
  <c r="BX8" i="15"/>
  <c r="BV8" i="15" s="1"/>
  <c r="H92" i="55"/>
  <c r="B122" i="55"/>
  <c r="H107" i="55"/>
  <c r="H122" i="55"/>
  <c r="DO83" i="37"/>
  <c r="H97" i="55"/>
  <c r="B112" i="55"/>
  <c r="B117" i="55"/>
  <c r="EB82" i="37"/>
  <c r="H87" i="55"/>
  <c r="H117" i="55"/>
  <c r="DU83" i="37"/>
  <c r="CM83" i="37"/>
  <c r="BN83" i="15" s="1"/>
  <c r="BO83" i="15" s="1"/>
  <c r="H102" i="55"/>
  <c r="DG83" i="37"/>
  <c r="CW11" i="15"/>
  <c r="CY11" i="15" s="1"/>
  <c r="AY8" i="15"/>
  <c r="AX8" i="15" s="1"/>
  <c r="CM8" i="15"/>
  <c r="CL8" i="15" s="1"/>
  <c r="BD9" i="15"/>
  <c r="BC9" i="15" s="1"/>
  <c r="K8" i="15"/>
  <c r="J8" i="15" s="1"/>
  <c r="P9" i="15"/>
  <c r="Q9" i="15" s="1"/>
  <c r="CR9" i="15"/>
  <c r="CS9" i="15" s="1"/>
  <c r="F9" i="15"/>
  <c r="H9" i="15" s="1"/>
  <c r="CC8" i="15"/>
  <c r="CE8" i="15" s="1"/>
  <c r="AE8" i="15"/>
  <c r="AG8" i="15" s="1"/>
  <c r="BS8" i="15"/>
  <c r="BU8" i="15" s="1"/>
  <c r="AJ9" i="15"/>
  <c r="AI9" i="15" s="1"/>
  <c r="BX9" i="15"/>
  <c r="BY9" i="15" s="1"/>
  <c r="F8" i="15"/>
  <c r="H8" i="15" s="1"/>
  <c r="CH8" i="15"/>
  <c r="CJ8" i="15" s="1"/>
  <c r="Z9" i="15"/>
  <c r="Y9" i="15" s="1"/>
  <c r="EW4" i="37"/>
  <c r="U4" i="15"/>
  <c r="W4" i="15" s="1"/>
  <c r="BN10" i="15"/>
  <c r="BL10" i="15" s="1"/>
  <c r="K10" i="15"/>
  <c r="I10" i="15" s="1"/>
  <c r="AE10" i="15"/>
  <c r="AG10" i="15" s="1"/>
  <c r="AY10" i="15"/>
  <c r="BA10" i="15" s="1"/>
  <c r="BS10" i="15"/>
  <c r="BQ10" i="15" s="1"/>
  <c r="CM10" i="15"/>
  <c r="CO10" i="15" s="1"/>
  <c r="BX11" i="15"/>
  <c r="BY11" i="15" s="1"/>
  <c r="BF10" i="15"/>
  <c r="BC10" i="15"/>
  <c r="AT10" i="15"/>
  <c r="AV10" i="15" s="1"/>
  <c r="U10" i="15"/>
  <c r="W10" i="15" s="1"/>
  <c r="AO10" i="15"/>
  <c r="AP10" i="15" s="1"/>
  <c r="BI10" i="15"/>
  <c r="BK10" i="15" s="1"/>
  <c r="CC10" i="15"/>
  <c r="CD10" i="15" s="1"/>
  <c r="CW10" i="15"/>
  <c r="CU10" i="15" s="1"/>
  <c r="BN11" i="15"/>
  <c r="BP11" i="15" s="1"/>
  <c r="CH11" i="15"/>
  <c r="CG11" i="15" s="1"/>
  <c r="D10" i="15"/>
  <c r="CR11" i="15"/>
  <c r="CS11" i="15" s="1"/>
  <c r="CM11" i="15"/>
  <c r="CK11" i="15" s="1"/>
  <c r="R10" i="15"/>
  <c r="O10" i="15"/>
  <c r="Q10" i="15"/>
  <c r="AB10" i="15"/>
  <c r="Y10" i="15"/>
  <c r="CJ10" i="15"/>
  <c r="CF10" i="15"/>
  <c r="BU11" i="15"/>
  <c r="BT11" i="15"/>
  <c r="BR11" i="15"/>
  <c r="BQ11" i="15"/>
  <c r="G11" i="15"/>
  <c r="H11" i="15"/>
  <c r="E11" i="15"/>
  <c r="CS10" i="15"/>
  <c r="BE10" i="15"/>
  <c r="CT10" i="15"/>
  <c r="BG11" i="15"/>
  <c r="CP10" i="15"/>
  <c r="R8" i="15"/>
  <c r="Q8" i="15"/>
  <c r="O8" i="15"/>
  <c r="BC8" i="15"/>
  <c r="BE8" i="15"/>
  <c r="BF8" i="15"/>
  <c r="CS8" i="15"/>
  <c r="CP8" i="15"/>
  <c r="CT8" i="15"/>
  <c r="CQ8" i="15"/>
  <c r="BK9" i="15"/>
  <c r="BG9" i="15"/>
  <c r="CY9" i="15"/>
  <c r="CU9" i="15"/>
  <c r="BF9" i="15"/>
  <c r="AB8" i="15"/>
  <c r="AA8" i="15"/>
  <c r="Y8" i="15"/>
  <c r="AV8" i="15"/>
  <c r="AU8" i="15"/>
  <c r="BT9" i="15"/>
  <c r="BU9" i="15"/>
  <c r="BQ9" i="15"/>
  <c r="BR9" i="15"/>
  <c r="AG9" i="15"/>
  <c r="AF9" i="15"/>
  <c r="AD9" i="15"/>
  <c r="CK9" i="15"/>
  <c r="CL9" i="15"/>
  <c r="CY8" i="15"/>
  <c r="CU8" i="15"/>
  <c r="AQ8" i="15"/>
  <c r="BP8" i="15"/>
  <c r="AN9" i="15"/>
  <c r="CB9" i="15"/>
  <c r="AP9" i="15"/>
  <c r="CD9" i="15"/>
  <c r="V9" i="15"/>
  <c r="AV9" i="15"/>
  <c r="CJ9" i="15"/>
  <c r="D8" i="15"/>
  <c r="CE9" i="15"/>
  <c r="BO8" i="15"/>
  <c r="BM8" i="15"/>
  <c r="AS9" i="15"/>
  <c r="CG9" i="15"/>
  <c r="AA10" i="15"/>
  <c r="E10" i="15"/>
  <c r="CG10" i="15"/>
  <c r="D11" i="15"/>
  <c r="BH11" i="15"/>
  <c r="G10" i="15"/>
  <c r="N10" i="15" s="1"/>
  <c r="CI10" i="15"/>
  <c r="BJ11" i="15"/>
  <c r="AK8" i="15"/>
  <c r="AS8" i="15"/>
  <c r="D9" i="15"/>
  <c r="L9" i="15"/>
  <c r="T9" i="15"/>
  <c r="AZ9" i="15"/>
  <c r="BH9" i="15"/>
  <c r="BP9" i="15"/>
  <c r="CF9" i="15"/>
  <c r="CN9" i="15"/>
  <c r="CV9" i="15"/>
  <c r="AL8" i="15"/>
  <c r="M9" i="15"/>
  <c r="BA9" i="15"/>
  <c r="CO9" i="15"/>
  <c r="BJ9" i="15"/>
  <c r="CX9" i="15"/>
  <c r="BO9" i="15"/>
  <c r="AN8" i="15"/>
  <c r="DF8" i="15"/>
  <c r="BL9" i="15"/>
  <c r="K83" i="15"/>
  <c r="J83" i="15" s="1"/>
  <c r="F83" i="15"/>
  <c r="E83" i="15" s="1"/>
  <c r="Z83" i="15"/>
  <c r="AA83" i="15" s="1"/>
  <c r="BX4" i="15"/>
  <c r="BZ4" i="15" s="1"/>
  <c r="CR4" i="15"/>
  <c r="CT4" i="15" s="1"/>
  <c r="BS4" i="15"/>
  <c r="BU4" i="15" s="1"/>
  <c r="AJ83" i="15"/>
  <c r="AL83" i="15" s="1"/>
  <c r="CH82" i="15"/>
  <c r="CG82" i="15" s="1"/>
  <c r="AT82" i="15"/>
  <c r="AV82" i="15" s="1"/>
  <c r="AT83" i="15"/>
  <c r="AS83" i="15" s="1"/>
  <c r="U2" i="37"/>
  <c r="Z4" i="15"/>
  <c r="AB4" i="15" s="1"/>
  <c r="AO4" i="15"/>
  <c r="AP4" i="15" s="1"/>
  <c r="CC4" i="15"/>
  <c r="CB4" i="15" s="1"/>
  <c r="CH83" i="15"/>
  <c r="CJ83" i="15" s="1"/>
  <c r="BI4" i="15"/>
  <c r="BG4" i="15" s="1"/>
  <c r="Z82" i="15"/>
  <c r="AB82" i="15" s="1"/>
  <c r="AE4" i="15"/>
  <c r="AG4" i="15" s="1"/>
  <c r="BY2" i="37"/>
  <c r="K4" i="15"/>
  <c r="M4" i="15" s="1"/>
  <c r="BS82" i="15"/>
  <c r="BU82" i="15" s="1"/>
  <c r="AE83" i="15"/>
  <c r="AD83" i="15" s="1"/>
  <c r="BS83" i="15"/>
  <c r="BR83" i="15" s="1"/>
  <c r="CW4" i="15"/>
  <c r="CU4" i="15" s="1"/>
  <c r="U82" i="15"/>
  <c r="V82" i="15" s="1"/>
  <c r="BI82" i="15"/>
  <c r="BJ82" i="15" s="1"/>
  <c r="CW82" i="15"/>
  <c r="CV82" i="15" s="1"/>
  <c r="BI83" i="15"/>
  <c r="BJ83" i="15" s="1"/>
  <c r="CC83" i="15"/>
  <c r="CD83" i="15" s="1"/>
  <c r="AW2" i="37"/>
  <c r="AJ82" i="15"/>
  <c r="AL82" i="15" s="1"/>
  <c r="BD82" i="15"/>
  <c r="BC82" i="15" s="1"/>
  <c r="CR82" i="15"/>
  <c r="CT82" i="15" s="1"/>
  <c r="BD83" i="15"/>
  <c r="BC83" i="15" s="1"/>
  <c r="CC82" i="15"/>
  <c r="CB82" i="15" s="1"/>
  <c r="CW83" i="15"/>
  <c r="CX83" i="15" s="1"/>
  <c r="DA2" i="37"/>
  <c r="EC2" i="37"/>
  <c r="AO82" i="15"/>
  <c r="AQ82" i="15" s="1"/>
  <c r="U83" i="15"/>
  <c r="W83" i="15" s="1"/>
  <c r="CM83" i="15"/>
  <c r="CO83" i="15" s="1"/>
  <c r="CH4" i="15"/>
  <c r="CI4" i="15" s="1"/>
  <c r="AO83" i="15"/>
  <c r="AP83" i="15" s="1"/>
  <c r="AE82" i="15"/>
  <c r="AG82" i="15" s="1"/>
  <c r="AY83" i="15"/>
  <c r="AZ83" i="15" s="1"/>
  <c r="BN4" i="15"/>
  <c r="BO4" i="15" s="1"/>
  <c r="CM4" i="15"/>
  <c r="CL4" i="15" s="1"/>
  <c r="CR83" i="15"/>
  <c r="K82" i="15"/>
  <c r="M82" i="15" s="1"/>
  <c r="AY82" i="15"/>
  <c r="AX82" i="15" s="1"/>
  <c r="CH5" i="15"/>
  <c r="CG5" i="15" s="1"/>
  <c r="F5" i="15"/>
  <c r="E5" i="15" s="1"/>
  <c r="F82" i="15"/>
  <c r="H82" i="15" s="1"/>
  <c r="BN82" i="15"/>
  <c r="BO82" i="15" s="1"/>
  <c r="P82" i="15"/>
  <c r="O82" i="15" s="1"/>
  <c r="BX82" i="15"/>
  <c r="BY82" i="15" s="1"/>
  <c r="P83" i="15"/>
  <c r="Q83" i="15" s="1"/>
  <c r="BX83" i="15"/>
  <c r="BY83" i="15" s="1"/>
  <c r="CM82" i="15"/>
  <c r="CN82" i="15" s="1"/>
  <c r="AI2" i="37"/>
  <c r="CM2" i="37"/>
  <c r="CC5" i="15"/>
  <c r="CB5" i="15" s="1"/>
  <c r="ES82" i="37"/>
  <c r="D82" i="15"/>
  <c r="ES83" i="37"/>
  <c r="D83" i="15"/>
  <c r="AB2" i="37"/>
  <c r="CF2" i="37"/>
  <c r="EJ2" i="37"/>
  <c r="BD2" i="37"/>
  <c r="DH2" i="37"/>
  <c r="AP2" i="37"/>
  <c r="CM5" i="15"/>
  <c r="CL5" i="15" s="1"/>
  <c r="P5" i="15"/>
  <c r="Q5" i="15" s="1"/>
  <c r="AJ5" i="15"/>
  <c r="AI5" i="15" s="1"/>
  <c r="BX5" i="15"/>
  <c r="BZ5" i="15" s="1"/>
  <c r="ES5" i="37"/>
  <c r="CR5" i="15"/>
  <c r="CT5" i="15" s="1"/>
  <c r="E4" i="15"/>
  <c r="ES4" i="37"/>
  <c r="AE5" i="15"/>
  <c r="AD5" i="15" s="1"/>
  <c r="AY5" i="15"/>
  <c r="AX5" i="15" s="1"/>
  <c r="P4" i="15"/>
  <c r="Q4" i="15" s="1"/>
  <c r="Z5" i="15"/>
  <c r="Y5" i="15" s="1"/>
  <c r="AT5" i="15"/>
  <c r="AV5" i="15" s="1"/>
  <c r="AY4" i="15"/>
  <c r="AZ4" i="15" s="1"/>
  <c r="N2" i="37"/>
  <c r="BR2" i="37"/>
  <c r="CT2" i="37"/>
  <c r="DV2" i="37"/>
  <c r="BK2" i="37"/>
  <c r="DO2" i="37"/>
  <c r="BD4" i="15"/>
  <c r="BF4" i="15" s="1"/>
  <c r="AT4" i="15"/>
  <c r="AV4" i="15" s="1"/>
  <c r="BD5" i="15"/>
  <c r="BF5" i="15" s="1"/>
  <c r="BN5" i="15"/>
  <c r="BM5" i="15" s="1"/>
  <c r="BS5" i="15"/>
  <c r="BR5" i="15" s="1"/>
  <c r="AJ4" i="15"/>
  <c r="AL4" i="15" s="1"/>
  <c r="U5" i="15"/>
  <c r="AO5" i="15"/>
  <c r="CW5" i="15"/>
  <c r="K5" i="15"/>
  <c r="BI5" i="15"/>
  <c r="A12" i="37"/>
  <c r="A13" i="37"/>
  <c r="A14" i="37"/>
  <c r="A15" i="37"/>
  <c r="A16" i="37"/>
  <c r="A17" i="37"/>
  <c r="A18" i="37"/>
  <c r="A19" i="37"/>
  <c r="A20" i="37"/>
  <c r="A21" i="37"/>
  <c r="A22" i="37"/>
  <c r="A23" i="37"/>
  <c r="A24" i="37"/>
  <c r="A25" i="37"/>
  <c r="A26" i="37"/>
  <c r="A27" i="37"/>
  <c r="A28" i="37"/>
  <c r="A29" i="37"/>
  <c r="A30" i="37"/>
  <c r="A31" i="37"/>
  <c r="A32" i="37"/>
  <c r="A33" i="37"/>
  <c r="A34" i="37"/>
  <c r="A35" i="37"/>
  <c r="A36" i="37"/>
  <c r="A37" i="37"/>
  <c r="A37" i="15" s="1"/>
  <c r="A38" i="37"/>
  <c r="A38" i="15" s="1"/>
  <c r="A39" i="37"/>
  <c r="A40" i="37"/>
  <c r="A41" i="37"/>
  <c r="A42" i="37"/>
  <c r="A42" i="15" s="1"/>
  <c r="A43" i="37"/>
  <c r="A43" i="15" s="1"/>
  <c r="A44" i="37"/>
  <c r="A44" i="15" s="1"/>
  <c r="A45" i="37"/>
  <c r="A46" i="37"/>
  <c r="A47" i="37"/>
  <c r="A48" i="37"/>
  <c r="A49" i="37"/>
  <c r="A50" i="37"/>
  <c r="A51" i="37"/>
  <c r="A52" i="37"/>
  <c r="A53" i="37"/>
  <c r="A54" i="37"/>
  <c r="A55" i="37"/>
  <c r="A56" i="37"/>
  <c r="A57" i="37"/>
  <c r="A58" i="37"/>
  <c r="A59" i="37"/>
  <c r="A60" i="37"/>
  <c r="A61" i="37"/>
  <c r="A62" i="37"/>
  <c r="A63" i="37"/>
  <c r="A64" i="37"/>
  <c r="A65" i="37"/>
  <c r="A66" i="37"/>
  <c r="A67" i="37"/>
  <c r="A68" i="37"/>
  <c r="A69" i="37"/>
  <c r="A70" i="37"/>
  <c r="A71" i="37"/>
  <c r="A72" i="37"/>
  <c r="A73" i="37"/>
  <c r="A74" i="37"/>
  <c r="A75" i="37"/>
  <c r="A76" i="37"/>
  <c r="A77" i="37"/>
  <c r="A78" i="37"/>
  <c r="A79" i="37"/>
  <c r="BG8" i="15" l="1"/>
  <c r="CX8" i="15"/>
  <c r="BH8" i="15"/>
  <c r="AD82" i="15"/>
  <c r="BJ8" i="15"/>
  <c r="AU83" i="15"/>
  <c r="E9" i="15"/>
  <c r="BY8" i="15"/>
  <c r="BZ8" i="15"/>
  <c r="H83" i="15"/>
  <c r="BE9" i="15"/>
  <c r="V4" i="15"/>
  <c r="M8" i="15"/>
  <c r="DG8" i="15"/>
  <c r="DT8" i="15"/>
  <c r="BR4" i="15"/>
  <c r="L8" i="15"/>
  <c r="O9" i="15"/>
  <c r="BR8" i="15"/>
  <c r="AF10" i="15"/>
  <c r="G9" i="15"/>
  <c r="CB8" i="15"/>
  <c r="CP9" i="15"/>
  <c r="AU10" i="15"/>
  <c r="AK10" i="15"/>
  <c r="BQ8" i="15"/>
  <c r="CD8" i="15"/>
  <c r="BY10" i="15"/>
  <c r="CU11" i="15"/>
  <c r="CI11" i="15"/>
  <c r="AS10" i="15"/>
  <c r="O11" i="37"/>
  <c r="K11" i="15" s="1"/>
  <c r="BW10" i="15"/>
  <c r="BZ10" i="15"/>
  <c r="AI10" i="15"/>
  <c r="L10" i="15"/>
  <c r="J10" i="15"/>
  <c r="M10" i="15"/>
  <c r="L83" i="15"/>
  <c r="M83" i="15"/>
  <c r="G83" i="15"/>
  <c r="Y83" i="15"/>
  <c r="AB83" i="15"/>
  <c r="W8" i="15"/>
  <c r="T8" i="15"/>
  <c r="R9" i="15"/>
  <c r="BO11" i="15"/>
  <c r="BV4" i="15"/>
  <c r="CA8" i="15"/>
  <c r="BM10" i="15"/>
  <c r="BM11" i="15"/>
  <c r="CE11" i="15"/>
  <c r="BR10" i="15"/>
  <c r="BU10" i="15"/>
  <c r="BT10" i="15"/>
  <c r="CK10" i="15"/>
  <c r="AX10" i="15"/>
  <c r="CQ9" i="15"/>
  <c r="DO83" i="15"/>
  <c r="DO82" i="15"/>
  <c r="S81" i="15"/>
  <c r="AH80" i="15"/>
  <c r="CB10" i="15"/>
  <c r="AN10" i="15"/>
  <c r="CX11" i="15"/>
  <c r="CA10" i="15"/>
  <c r="CV11" i="15"/>
  <c r="CE10" i="15"/>
  <c r="AQ10" i="15"/>
  <c r="BV9" i="15"/>
  <c r="BW9" i="15"/>
  <c r="BW8" i="15"/>
  <c r="AZ8" i="15"/>
  <c r="BA8" i="15"/>
  <c r="AL9" i="15"/>
  <c r="AK9" i="15"/>
  <c r="CD11" i="15"/>
  <c r="CB11" i="15"/>
  <c r="BJ10" i="15"/>
  <c r="BG10" i="15"/>
  <c r="CO8" i="15"/>
  <c r="CK8" i="15"/>
  <c r="CN8" i="15"/>
  <c r="AK83" i="15"/>
  <c r="AI83" i="15"/>
  <c r="CT11" i="15"/>
  <c r="CL10" i="15"/>
  <c r="CN10" i="15"/>
  <c r="CQ11" i="15"/>
  <c r="BL11" i="15"/>
  <c r="AZ10" i="15"/>
  <c r="CP11" i="15"/>
  <c r="BP10" i="15"/>
  <c r="BZ11" i="15"/>
  <c r="BT8" i="15"/>
  <c r="CI8" i="15"/>
  <c r="AD8" i="15"/>
  <c r="AF8" i="15"/>
  <c r="E8" i="15"/>
  <c r="CF8" i="15"/>
  <c r="CG8" i="15"/>
  <c r="AA9" i="15"/>
  <c r="CT9" i="15"/>
  <c r="AB9" i="15"/>
  <c r="G8" i="15"/>
  <c r="BZ9" i="15"/>
  <c r="V10" i="15"/>
  <c r="BW11" i="15"/>
  <c r="CF11" i="15"/>
  <c r="T10" i="15"/>
  <c r="CJ11" i="15"/>
  <c r="BV11" i="15"/>
  <c r="AD10" i="15"/>
  <c r="BO10" i="15"/>
  <c r="CN11" i="15"/>
  <c r="CV10" i="15"/>
  <c r="CX10" i="15"/>
  <c r="CO11" i="15"/>
  <c r="CY10" i="15"/>
  <c r="BH10" i="15"/>
  <c r="CL11" i="15"/>
  <c r="BW4" i="15"/>
  <c r="BY4" i="15"/>
  <c r="CP4" i="15"/>
  <c r="CS4" i="15"/>
  <c r="CQ4" i="15"/>
  <c r="S10" i="15"/>
  <c r="N8" i="15"/>
  <c r="S8" i="15"/>
  <c r="I8" i="15"/>
  <c r="I9" i="15"/>
  <c r="T83" i="15"/>
  <c r="V83" i="15"/>
  <c r="CQ82" i="15"/>
  <c r="AG83" i="15"/>
  <c r="BQ4" i="15"/>
  <c r="BT4" i="15"/>
  <c r="CE4" i="15"/>
  <c r="AP82" i="15"/>
  <c r="CQ83" i="15"/>
  <c r="BA83" i="15"/>
  <c r="CY83" i="15"/>
  <c r="AS82" i="15"/>
  <c r="AU82" i="15"/>
  <c r="CI83" i="15"/>
  <c r="BT82" i="15"/>
  <c r="BJ4" i="15"/>
  <c r="CN4" i="15"/>
  <c r="BK4" i="15"/>
  <c r="AX83" i="15"/>
  <c r="BM83" i="15"/>
  <c r="AV83" i="15"/>
  <c r="AF4" i="15"/>
  <c r="AF83" i="15"/>
  <c r="BK83" i="15"/>
  <c r="BR82" i="15"/>
  <c r="CO4" i="15"/>
  <c r="CV83" i="15"/>
  <c r="CL83" i="15"/>
  <c r="CK4" i="15"/>
  <c r="BH83" i="15"/>
  <c r="CV4" i="15"/>
  <c r="BF82" i="15"/>
  <c r="CJ82" i="15"/>
  <c r="AQ4" i="15"/>
  <c r="CI82" i="15"/>
  <c r="BP4" i="15"/>
  <c r="CD82" i="15"/>
  <c r="BE82" i="15"/>
  <c r="CG4" i="15"/>
  <c r="R82" i="15"/>
  <c r="CT83" i="15"/>
  <c r="CI5" i="15"/>
  <c r="AF82" i="15"/>
  <c r="W82" i="15"/>
  <c r="BF83" i="15"/>
  <c r="CS82" i="15"/>
  <c r="BY5" i="15"/>
  <c r="CG83" i="15"/>
  <c r="BL4" i="15"/>
  <c r="AA4" i="15"/>
  <c r="CX4" i="15"/>
  <c r="BE83" i="15"/>
  <c r="AN83" i="15"/>
  <c r="T82" i="15"/>
  <c r="BH82" i="15"/>
  <c r="BM4" i="15"/>
  <c r="CX82" i="15"/>
  <c r="CD4" i="15"/>
  <c r="CY4" i="15"/>
  <c r="BT83" i="15"/>
  <c r="BU83" i="15"/>
  <c r="AN82" i="15"/>
  <c r="CY82" i="15"/>
  <c r="Y82" i="15"/>
  <c r="AI82" i="15"/>
  <c r="CP5" i="15"/>
  <c r="BP83" i="15"/>
  <c r="BK82" i="15"/>
  <c r="CA4" i="15"/>
  <c r="AA82" i="15"/>
  <c r="AQ83" i="15"/>
  <c r="AK82" i="15"/>
  <c r="CE82" i="15"/>
  <c r="AS5" i="15"/>
  <c r="CB83" i="15"/>
  <c r="CE83" i="15"/>
  <c r="CJ4" i="15"/>
  <c r="CN83" i="15"/>
  <c r="CF4" i="15"/>
  <c r="CO82" i="15"/>
  <c r="G82" i="15"/>
  <c r="CJ5" i="15"/>
  <c r="CF5" i="15"/>
  <c r="CK5" i="15"/>
  <c r="CQ5" i="15"/>
  <c r="CL82" i="15"/>
  <c r="CS5" i="15"/>
  <c r="J82" i="15"/>
  <c r="BW83" i="15"/>
  <c r="BZ83" i="15"/>
  <c r="BM82" i="15"/>
  <c r="O83" i="15"/>
  <c r="BP82" i="15"/>
  <c r="R83" i="15"/>
  <c r="AB5" i="15"/>
  <c r="AK5" i="15"/>
  <c r="E82" i="15"/>
  <c r="BW82" i="15"/>
  <c r="CE5" i="15"/>
  <c r="L82" i="15"/>
  <c r="CN5" i="15"/>
  <c r="CA5" i="15"/>
  <c r="CS83" i="15"/>
  <c r="Q82" i="15"/>
  <c r="BA82" i="15"/>
  <c r="BZ82" i="15"/>
  <c r="AU5" i="15"/>
  <c r="CO5" i="15"/>
  <c r="AZ82" i="15"/>
  <c r="R4" i="15"/>
  <c r="CD5" i="15"/>
  <c r="AU4" i="15"/>
  <c r="R5" i="15"/>
  <c r="AA5" i="15"/>
  <c r="AL5" i="15"/>
  <c r="BV5" i="15"/>
  <c r="BW5" i="15"/>
  <c r="BQ5" i="15"/>
  <c r="O5" i="15"/>
  <c r="AF5" i="15"/>
  <c r="AG5" i="15"/>
  <c r="BA4" i="15"/>
  <c r="BA5" i="15"/>
  <c r="BL5" i="15"/>
  <c r="AZ5" i="15"/>
  <c r="BP5" i="15"/>
  <c r="AK4" i="15"/>
  <c r="BO5" i="15"/>
  <c r="BE5" i="15"/>
  <c r="BE4" i="15"/>
  <c r="L4" i="15"/>
  <c r="BU5" i="15"/>
  <c r="BC5" i="15"/>
  <c r="BT5" i="15"/>
  <c r="BH5" i="15"/>
  <c r="BJ5" i="15"/>
  <c r="BG5" i="15"/>
  <c r="BK5" i="15"/>
  <c r="J5" i="15"/>
  <c r="M5" i="15"/>
  <c r="L5" i="15"/>
  <c r="CY5" i="15"/>
  <c r="CX5" i="15"/>
  <c r="CV5" i="15"/>
  <c r="CU5" i="15"/>
  <c r="AN5" i="15"/>
  <c r="AQ5" i="15"/>
  <c r="AP5" i="15"/>
  <c r="T5" i="15"/>
  <c r="V5" i="15"/>
  <c r="W5" i="15"/>
  <c r="I83" i="15" l="1"/>
  <c r="N83" i="15" s="1"/>
  <c r="U11" i="37"/>
  <c r="L11" i="15"/>
  <c r="M11" i="15"/>
  <c r="I11" i="15"/>
  <c r="J11" i="15"/>
  <c r="AM80" i="15"/>
  <c r="AR80" i="15" s="1"/>
  <c r="AW80" i="15" s="1"/>
  <c r="BB80" i="15" s="1"/>
  <c r="BG80" i="15" s="1"/>
  <c r="BL80" i="15" s="1"/>
  <c r="BQ80" i="15" s="1"/>
  <c r="BV80" i="15" s="1"/>
  <c r="X81" i="15"/>
  <c r="X10" i="15"/>
  <c r="AC10" i="15"/>
  <c r="AH10" i="15" s="1"/>
  <c r="N9" i="15"/>
  <c r="X8" i="15"/>
  <c r="I82" i="15"/>
  <c r="N82" i="15" s="1"/>
  <c r="S82" i="15" s="1"/>
  <c r="X82" i="15" s="1"/>
  <c r="AC82" i="15" s="1"/>
  <c r="S83" i="15"/>
  <c r="V11" i="37" l="1"/>
  <c r="P11" i="15" s="1"/>
  <c r="AC81" i="15"/>
  <c r="CA80" i="15"/>
  <c r="AM10" i="15"/>
  <c r="AR10" i="15"/>
  <c r="AW10" i="15" s="1"/>
  <c r="S9" i="15"/>
  <c r="X9" i="15"/>
  <c r="AC8" i="15"/>
  <c r="AH82" i="15"/>
  <c r="AM82" i="15" s="1"/>
  <c r="X83" i="15"/>
  <c r="B2" i="15"/>
  <c r="EP5" i="44"/>
  <c r="EP6" i="44" s="1"/>
  <c r="EP7" i="44" s="1"/>
  <c r="EP8" i="44" s="1"/>
  <c r="EP9" i="44" s="1"/>
  <c r="EP10" i="44" s="1"/>
  <c r="EP11" i="44" s="1"/>
  <c r="EP12" i="44" s="1"/>
  <c r="EP13" i="44" s="1"/>
  <c r="EP14" i="44" s="1"/>
  <c r="EP15" i="44" s="1"/>
  <c r="EP16" i="44" s="1"/>
  <c r="EP17" i="44" s="1"/>
  <c r="EP18" i="44" s="1"/>
  <c r="EP19" i="44" s="1"/>
  <c r="EP20" i="44" s="1"/>
  <c r="EP21" i="44" s="1"/>
  <c r="EP22" i="44" s="1"/>
  <c r="EP23" i="44" s="1"/>
  <c r="EP24" i="44" s="1"/>
  <c r="EP25" i="44" s="1"/>
  <c r="EP26" i="44" s="1"/>
  <c r="EP27" i="44" s="1"/>
  <c r="EP28" i="44" s="1"/>
  <c r="EP29" i="44" s="1"/>
  <c r="EP30" i="44" s="1"/>
  <c r="EP31" i="44" s="1"/>
  <c r="EP32" i="44" s="1"/>
  <c r="EP33" i="44" s="1"/>
  <c r="EP34" i="44" s="1"/>
  <c r="EP35" i="44" s="1"/>
  <c r="EP36" i="44" s="1"/>
  <c r="EP37" i="44" s="1"/>
  <c r="EP38" i="44" s="1"/>
  <c r="EP39" i="44" s="1"/>
  <c r="EP40" i="44" s="1"/>
  <c r="EP41" i="44" s="1"/>
  <c r="EP42" i="44" s="1"/>
  <c r="EP43" i="44" s="1"/>
  <c r="EP44" i="44" s="1"/>
  <c r="EP45" i="44" s="1"/>
  <c r="EP46" i="44" s="1"/>
  <c r="EP47" i="44" s="1"/>
  <c r="EP48" i="44" s="1"/>
  <c r="EP49" i="44" s="1"/>
  <c r="EP50" i="44" s="1"/>
  <c r="EP51" i="44" s="1"/>
  <c r="EP52" i="44" s="1"/>
  <c r="EP53" i="44" s="1"/>
  <c r="EP54" i="44" s="1"/>
  <c r="EP55" i="44" s="1"/>
  <c r="EP56" i="44" s="1"/>
  <c r="EP57" i="44" s="1"/>
  <c r="EP58" i="44" s="1"/>
  <c r="EP59" i="44" s="1"/>
  <c r="EP60" i="44" s="1"/>
  <c r="EP61" i="44" s="1"/>
  <c r="EP62" i="44" s="1"/>
  <c r="EP63" i="44" s="1"/>
  <c r="EP64" i="44" s="1"/>
  <c r="EP65" i="44" s="1"/>
  <c r="EP66" i="44" s="1"/>
  <c r="EP67" i="44" s="1"/>
  <c r="EP68" i="44" s="1"/>
  <c r="EP69" i="44" s="1"/>
  <c r="EP70" i="44" s="1"/>
  <c r="EP71" i="44" s="1"/>
  <c r="EP72" i="44" s="1"/>
  <c r="EP73" i="44" s="1"/>
  <c r="EP74" i="44" s="1"/>
  <c r="EP75" i="44" s="1"/>
  <c r="EP76" i="44" s="1"/>
  <c r="EP77" i="44" s="1"/>
  <c r="EP78" i="44" s="1"/>
  <c r="EP79" i="44" s="1"/>
  <c r="EP80" i="44" s="1"/>
  <c r="EP81" i="44" s="1"/>
  <c r="EP82" i="44" s="1"/>
  <c r="EP83" i="44" s="1"/>
  <c r="EP84" i="44" s="1"/>
  <c r="EO5" i="44"/>
  <c r="EO6" i="44" s="1"/>
  <c r="EO7" i="44" s="1"/>
  <c r="EO8" i="44" s="1"/>
  <c r="EO9" i="44" s="1"/>
  <c r="EO10" i="44" s="1"/>
  <c r="EO11" i="44" s="1"/>
  <c r="EO12" i="44" s="1"/>
  <c r="EO13" i="44" s="1"/>
  <c r="EO14" i="44" s="1"/>
  <c r="EO15" i="44" s="1"/>
  <c r="EO16" i="44" s="1"/>
  <c r="EO17" i="44" s="1"/>
  <c r="EO18" i="44" s="1"/>
  <c r="EO19" i="44" s="1"/>
  <c r="EO20" i="44" s="1"/>
  <c r="EO21" i="44" s="1"/>
  <c r="EO22" i="44" s="1"/>
  <c r="EO23" i="44" s="1"/>
  <c r="EO24" i="44" s="1"/>
  <c r="EO25" i="44" s="1"/>
  <c r="EO26" i="44" s="1"/>
  <c r="EO27" i="44" s="1"/>
  <c r="EO28" i="44" s="1"/>
  <c r="EO29" i="44" s="1"/>
  <c r="EO30" i="44" s="1"/>
  <c r="EO31" i="44" s="1"/>
  <c r="EO32" i="44" s="1"/>
  <c r="EO33" i="44" s="1"/>
  <c r="EO34" i="44" s="1"/>
  <c r="EO35" i="44" s="1"/>
  <c r="EO36" i="44" s="1"/>
  <c r="EO37" i="44" s="1"/>
  <c r="EO38" i="44" s="1"/>
  <c r="EO39" i="44" s="1"/>
  <c r="EO40" i="44" s="1"/>
  <c r="EO41" i="44" s="1"/>
  <c r="EO42" i="44" s="1"/>
  <c r="EO43" i="44" s="1"/>
  <c r="EO44" i="44" s="1"/>
  <c r="EO45" i="44" s="1"/>
  <c r="EO46" i="44" s="1"/>
  <c r="EO47" i="44" s="1"/>
  <c r="EO48" i="44" s="1"/>
  <c r="EO49" i="44" s="1"/>
  <c r="EO50" i="44" s="1"/>
  <c r="EO51" i="44" s="1"/>
  <c r="EO52" i="44" s="1"/>
  <c r="EO53" i="44" s="1"/>
  <c r="EO54" i="44" s="1"/>
  <c r="EO55" i="44" s="1"/>
  <c r="EO56" i="44" s="1"/>
  <c r="EO57" i="44" s="1"/>
  <c r="EO58" i="44" s="1"/>
  <c r="EO59" i="44" s="1"/>
  <c r="EO60" i="44" s="1"/>
  <c r="EO61" i="44" s="1"/>
  <c r="EO62" i="44" s="1"/>
  <c r="EO63" i="44" s="1"/>
  <c r="EO64" i="44" s="1"/>
  <c r="EO65" i="44" s="1"/>
  <c r="EO66" i="44" s="1"/>
  <c r="EO67" i="44" s="1"/>
  <c r="EO68" i="44" s="1"/>
  <c r="EO69" i="44" s="1"/>
  <c r="EO70" i="44" s="1"/>
  <c r="EO71" i="44" s="1"/>
  <c r="EO72" i="44" s="1"/>
  <c r="EO73" i="44" s="1"/>
  <c r="EO74" i="44" s="1"/>
  <c r="EO75" i="44" s="1"/>
  <c r="EO76" i="44" s="1"/>
  <c r="EO77" i="44" s="1"/>
  <c r="EO78" i="44" s="1"/>
  <c r="EO79" i="44" s="1"/>
  <c r="EO80" i="44" s="1"/>
  <c r="EO81" i="44" s="1"/>
  <c r="EO82" i="44" s="1"/>
  <c r="EO83" i="44" s="1"/>
  <c r="EO84" i="44" s="1"/>
  <c r="EN5" i="44"/>
  <c r="EN6" i="44" s="1"/>
  <c r="EN7" i="44" s="1"/>
  <c r="EN8" i="44" s="1"/>
  <c r="EN9" i="44" s="1"/>
  <c r="EN10" i="44" s="1"/>
  <c r="EN11" i="44" s="1"/>
  <c r="EN12" i="44" s="1"/>
  <c r="EN13" i="44" s="1"/>
  <c r="EN14" i="44" s="1"/>
  <c r="EN15" i="44" s="1"/>
  <c r="EN16" i="44" s="1"/>
  <c r="EN17" i="44" s="1"/>
  <c r="EN18" i="44" s="1"/>
  <c r="EN19" i="44" s="1"/>
  <c r="EN20" i="44" s="1"/>
  <c r="EN21" i="44" s="1"/>
  <c r="EN22" i="44" s="1"/>
  <c r="EN23" i="44" s="1"/>
  <c r="EN24" i="44" s="1"/>
  <c r="EN25" i="44" s="1"/>
  <c r="EN26" i="44" s="1"/>
  <c r="EN27" i="44" s="1"/>
  <c r="EN28" i="44" s="1"/>
  <c r="EN29" i="44" s="1"/>
  <c r="EN30" i="44" s="1"/>
  <c r="EN31" i="44" s="1"/>
  <c r="EN32" i="44" s="1"/>
  <c r="EN33" i="44" s="1"/>
  <c r="EN34" i="44" s="1"/>
  <c r="EN35" i="44" s="1"/>
  <c r="EN36" i="44" s="1"/>
  <c r="EN37" i="44" s="1"/>
  <c r="EN38" i="44" s="1"/>
  <c r="EN39" i="44" s="1"/>
  <c r="EN40" i="44" s="1"/>
  <c r="EN41" i="44" s="1"/>
  <c r="EN42" i="44" s="1"/>
  <c r="EN43" i="44" s="1"/>
  <c r="EN44" i="44" s="1"/>
  <c r="EN45" i="44" s="1"/>
  <c r="EN46" i="44" s="1"/>
  <c r="EN47" i="44" s="1"/>
  <c r="EN48" i="44" s="1"/>
  <c r="EN49" i="44" s="1"/>
  <c r="EN50" i="44" s="1"/>
  <c r="EN51" i="44" s="1"/>
  <c r="EN52" i="44" s="1"/>
  <c r="EN53" i="44" s="1"/>
  <c r="EN54" i="44" s="1"/>
  <c r="EN55" i="44" s="1"/>
  <c r="EN56" i="44" s="1"/>
  <c r="EN57" i="44" s="1"/>
  <c r="EN58" i="44" s="1"/>
  <c r="EN59" i="44" s="1"/>
  <c r="EN60" i="44" s="1"/>
  <c r="EN61" i="44" s="1"/>
  <c r="EN62" i="44" s="1"/>
  <c r="EN63" i="44" s="1"/>
  <c r="EN64" i="44" s="1"/>
  <c r="EN65" i="44" s="1"/>
  <c r="EN66" i="44" s="1"/>
  <c r="EN67" i="44" s="1"/>
  <c r="EN68" i="44" s="1"/>
  <c r="EN69" i="44" s="1"/>
  <c r="EN70" i="44" s="1"/>
  <c r="EN71" i="44" s="1"/>
  <c r="EN72" i="44" s="1"/>
  <c r="EN73" i="44" s="1"/>
  <c r="EN74" i="44" s="1"/>
  <c r="EN75" i="44" s="1"/>
  <c r="EN76" i="44" s="1"/>
  <c r="EN77" i="44" s="1"/>
  <c r="EN78" i="44" s="1"/>
  <c r="EN79" i="44" s="1"/>
  <c r="EN80" i="44" s="1"/>
  <c r="EN81" i="44" s="1"/>
  <c r="EN82" i="44" s="1"/>
  <c r="EN83" i="44" s="1"/>
  <c r="EN84" i="44" s="1"/>
  <c r="EM5" i="44"/>
  <c r="EM6" i="44" s="1"/>
  <c r="EM7" i="44" s="1"/>
  <c r="EM8" i="44" s="1"/>
  <c r="EM9" i="44" s="1"/>
  <c r="EM10" i="44" s="1"/>
  <c r="EM11" i="44" s="1"/>
  <c r="EM12" i="44" s="1"/>
  <c r="EM13" i="44" s="1"/>
  <c r="EM14" i="44" s="1"/>
  <c r="EM15" i="44" s="1"/>
  <c r="EM16" i="44" s="1"/>
  <c r="EM17" i="44" s="1"/>
  <c r="EM18" i="44" s="1"/>
  <c r="EM19" i="44" s="1"/>
  <c r="EM20" i="44" s="1"/>
  <c r="EM21" i="44" s="1"/>
  <c r="EM22" i="44" s="1"/>
  <c r="EM23" i="44" s="1"/>
  <c r="EM24" i="44" s="1"/>
  <c r="EM25" i="44" s="1"/>
  <c r="EM26" i="44" s="1"/>
  <c r="EM27" i="44" s="1"/>
  <c r="EM28" i="44" s="1"/>
  <c r="EM29" i="44" s="1"/>
  <c r="EM30" i="44" s="1"/>
  <c r="EM31" i="44" s="1"/>
  <c r="EM32" i="44" s="1"/>
  <c r="EM33" i="44" s="1"/>
  <c r="EM34" i="44" s="1"/>
  <c r="EM35" i="44" s="1"/>
  <c r="EM36" i="44" s="1"/>
  <c r="EM37" i="44" s="1"/>
  <c r="EM38" i="44" s="1"/>
  <c r="EM39" i="44" s="1"/>
  <c r="EM40" i="44" s="1"/>
  <c r="EM41" i="44" s="1"/>
  <c r="EM42" i="44" s="1"/>
  <c r="EM43" i="44" s="1"/>
  <c r="EM44" i="44" s="1"/>
  <c r="EM45" i="44" s="1"/>
  <c r="EM46" i="44" s="1"/>
  <c r="EM47" i="44" s="1"/>
  <c r="EM48" i="44" s="1"/>
  <c r="EM49" i="44" s="1"/>
  <c r="EM50" i="44" s="1"/>
  <c r="EM51" i="44" s="1"/>
  <c r="EM52" i="44" s="1"/>
  <c r="EM53" i="44" s="1"/>
  <c r="EM54" i="44" s="1"/>
  <c r="EM55" i="44" s="1"/>
  <c r="EM56" i="44" s="1"/>
  <c r="EM57" i="44" s="1"/>
  <c r="EM58" i="44" s="1"/>
  <c r="EM59" i="44" s="1"/>
  <c r="EM60" i="44" s="1"/>
  <c r="EM61" i="44" s="1"/>
  <c r="EM62" i="44" s="1"/>
  <c r="EM63" i="44" s="1"/>
  <c r="EM64" i="44" s="1"/>
  <c r="EM65" i="44" s="1"/>
  <c r="EM66" i="44" s="1"/>
  <c r="EM67" i="44" s="1"/>
  <c r="EM68" i="44" s="1"/>
  <c r="EM69" i="44" s="1"/>
  <c r="EM70" i="44" s="1"/>
  <c r="EM71" i="44" s="1"/>
  <c r="EM72" i="44" s="1"/>
  <c r="EM73" i="44" s="1"/>
  <c r="EM74" i="44" s="1"/>
  <c r="EM75" i="44" s="1"/>
  <c r="EM76" i="44" s="1"/>
  <c r="EM77" i="44" s="1"/>
  <c r="EM78" i="44" s="1"/>
  <c r="EM79" i="44" s="1"/>
  <c r="EM80" i="44" s="1"/>
  <c r="EM81" i="44" s="1"/>
  <c r="EM82" i="44" s="1"/>
  <c r="EM83" i="44" s="1"/>
  <c r="EM84" i="44" s="1"/>
  <c r="EL5" i="44"/>
  <c r="EL6" i="44" s="1"/>
  <c r="EL7" i="44" s="1"/>
  <c r="EL8" i="44" s="1"/>
  <c r="EL9" i="44" s="1"/>
  <c r="EL10" i="44" s="1"/>
  <c r="EL11" i="44" s="1"/>
  <c r="EL12" i="44" s="1"/>
  <c r="EL13" i="44" s="1"/>
  <c r="EL14" i="44" s="1"/>
  <c r="EL15" i="44" s="1"/>
  <c r="EL16" i="44" s="1"/>
  <c r="EL17" i="44" s="1"/>
  <c r="EL18" i="44" s="1"/>
  <c r="EL19" i="44" s="1"/>
  <c r="EL20" i="44" s="1"/>
  <c r="EL21" i="44" s="1"/>
  <c r="EL22" i="44" s="1"/>
  <c r="EL23" i="44" s="1"/>
  <c r="EL24" i="44" s="1"/>
  <c r="EL25" i="44" s="1"/>
  <c r="EL26" i="44" s="1"/>
  <c r="EL27" i="44" s="1"/>
  <c r="EL28" i="44" s="1"/>
  <c r="EL29" i="44" s="1"/>
  <c r="EL30" i="44" s="1"/>
  <c r="EL31" i="44" s="1"/>
  <c r="EL32" i="44" s="1"/>
  <c r="EL33" i="44" s="1"/>
  <c r="EL34" i="44" s="1"/>
  <c r="EL35" i="44" s="1"/>
  <c r="EL36" i="44" s="1"/>
  <c r="EL37" i="44" s="1"/>
  <c r="EL38" i="44" s="1"/>
  <c r="EL39" i="44" s="1"/>
  <c r="EL40" i="44" s="1"/>
  <c r="EL41" i="44" s="1"/>
  <c r="EL42" i="44" s="1"/>
  <c r="EL43" i="44" s="1"/>
  <c r="EL44" i="44" s="1"/>
  <c r="EL45" i="44" s="1"/>
  <c r="EL46" i="44" s="1"/>
  <c r="EL47" i="44" s="1"/>
  <c r="EL48" i="44" s="1"/>
  <c r="EL49" i="44" s="1"/>
  <c r="EL50" i="44" s="1"/>
  <c r="EL51" i="44" s="1"/>
  <c r="EL52" i="44" s="1"/>
  <c r="EL53" i="44" s="1"/>
  <c r="EL54" i="44" s="1"/>
  <c r="EL55" i="44" s="1"/>
  <c r="EL56" i="44" s="1"/>
  <c r="EL57" i="44" s="1"/>
  <c r="EL58" i="44" s="1"/>
  <c r="EL59" i="44" s="1"/>
  <c r="EL60" i="44" s="1"/>
  <c r="EL61" i="44" s="1"/>
  <c r="EL62" i="44" s="1"/>
  <c r="EL63" i="44" s="1"/>
  <c r="EL64" i="44" s="1"/>
  <c r="EL65" i="44" s="1"/>
  <c r="EL66" i="44" s="1"/>
  <c r="EL67" i="44" s="1"/>
  <c r="EL68" i="44" s="1"/>
  <c r="EL69" i="44" s="1"/>
  <c r="EL70" i="44" s="1"/>
  <c r="EL71" i="44" s="1"/>
  <c r="EL72" i="44" s="1"/>
  <c r="EL73" i="44" s="1"/>
  <c r="EL74" i="44" s="1"/>
  <c r="EL75" i="44" s="1"/>
  <c r="EL76" i="44" s="1"/>
  <c r="EL77" i="44" s="1"/>
  <c r="EL78" i="44" s="1"/>
  <c r="EL79" i="44" s="1"/>
  <c r="EL80" i="44" s="1"/>
  <c r="EL81" i="44" s="1"/>
  <c r="EL82" i="44" s="1"/>
  <c r="EL83" i="44" s="1"/>
  <c r="EL84" i="44" s="1"/>
  <c r="EK5" i="44"/>
  <c r="EK6" i="44" s="1"/>
  <c r="EK7" i="44" s="1"/>
  <c r="EK8" i="44" s="1"/>
  <c r="EK9" i="44" s="1"/>
  <c r="EK10" i="44" s="1"/>
  <c r="EK11" i="44" s="1"/>
  <c r="EK12" i="44" s="1"/>
  <c r="EK13" i="44" s="1"/>
  <c r="EK14" i="44" s="1"/>
  <c r="EK15" i="44" s="1"/>
  <c r="EK16" i="44" s="1"/>
  <c r="EK17" i="44" s="1"/>
  <c r="EK18" i="44" s="1"/>
  <c r="EK19" i="44" s="1"/>
  <c r="EK20" i="44" s="1"/>
  <c r="EK21" i="44" s="1"/>
  <c r="EK22" i="44" s="1"/>
  <c r="EK23" i="44" s="1"/>
  <c r="EK24" i="44" s="1"/>
  <c r="EK25" i="44" s="1"/>
  <c r="EK26" i="44" s="1"/>
  <c r="EK27" i="44" s="1"/>
  <c r="EK28" i="44" s="1"/>
  <c r="EK29" i="44" s="1"/>
  <c r="EK30" i="44" s="1"/>
  <c r="EK31" i="44" s="1"/>
  <c r="EK32" i="44" s="1"/>
  <c r="EK33" i="44" s="1"/>
  <c r="EK34" i="44" s="1"/>
  <c r="EK35" i="44" s="1"/>
  <c r="EK36" i="44" s="1"/>
  <c r="EK37" i="44" s="1"/>
  <c r="EK38" i="44" s="1"/>
  <c r="EK39" i="44" s="1"/>
  <c r="EK40" i="44" s="1"/>
  <c r="EK41" i="44" s="1"/>
  <c r="EK42" i="44" s="1"/>
  <c r="EK43" i="44" s="1"/>
  <c r="EK44" i="44" s="1"/>
  <c r="EK45" i="44" s="1"/>
  <c r="EK46" i="44" s="1"/>
  <c r="EK47" i="44" s="1"/>
  <c r="EK48" i="44" s="1"/>
  <c r="EK49" i="44" s="1"/>
  <c r="EK50" i="44" s="1"/>
  <c r="EK51" i="44" s="1"/>
  <c r="EK52" i="44" s="1"/>
  <c r="EK53" i="44" s="1"/>
  <c r="EK54" i="44" s="1"/>
  <c r="EK55" i="44" s="1"/>
  <c r="EK56" i="44" s="1"/>
  <c r="EK57" i="44" s="1"/>
  <c r="EK58" i="44" s="1"/>
  <c r="EK59" i="44" s="1"/>
  <c r="EK60" i="44" s="1"/>
  <c r="EK61" i="44" s="1"/>
  <c r="EK62" i="44" s="1"/>
  <c r="EK63" i="44" s="1"/>
  <c r="EK64" i="44" s="1"/>
  <c r="EK65" i="44" s="1"/>
  <c r="EK66" i="44" s="1"/>
  <c r="EK67" i="44" s="1"/>
  <c r="EK68" i="44" s="1"/>
  <c r="EK69" i="44" s="1"/>
  <c r="EK70" i="44" s="1"/>
  <c r="EK71" i="44" s="1"/>
  <c r="EK72" i="44" s="1"/>
  <c r="EK73" i="44" s="1"/>
  <c r="EK74" i="44" s="1"/>
  <c r="EK75" i="44" s="1"/>
  <c r="EK76" i="44" s="1"/>
  <c r="EK77" i="44" s="1"/>
  <c r="EK78" i="44" s="1"/>
  <c r="EK79" i="44" s="1"/>
  <c r="EK80" i="44" s="1"/>
  <c r="EK81" i="44" s="1"/>
  <c r="EK82" i="44" s="1"/>
  <c r="EK83" i="44" s="1"/>
  <c r="EK84" i="44" s="1"/>
  <c r="EJ5" i="44"/>
  <c r="EJ6" i="44" s="1"/>
  <c r="EJ7" i="44" s="1"/>
  <c r="EJ8" i="44" s="1"/>
  <c r="EJ9" i="44" s="1"/>
  <c r="EJ10" i="44" s="1"/>
  <c r="EJ11" i="44" s="1"/>
  <c r="EJ12" i="44" s="1"/>
  <c r="EJ13" i="44" s="1"/>
  <c r="EJ14" i="44" s="1"/>
  <c r="EJ15" i="44" s="1"/>
  <c r="EJ16" i="44" s="1"/>
  <c r="EJ17" i="44" s="1"/>
  <c r="EJ18" i="44" s="1"/>
  <c r="EJ19" i="44" s="1"/>
  <c r="EJ20" i="44" s="1"/>
  <c r="EJ21" i="44" s="1"/>
  <c r="EJ22" i="44" s="1"/>
  <c r="EJ23" i="44" s="1"/>
  <c r="EJ24" i="44" s="1"/>
  <c r="EJ25" i="44" s="1"/>
  <c r="EJ26" i="44" s="1"/>
  <c r="EJ27" i="44" s="1"/>
  <c r="EJ28" i="44" s="1"/>
  <c r="EJ29" i="44" s="1"/>
  <c r="EJ30" i="44" s="1"/>
  <c r="EJ31" i="44" s="1"/>
  <c r="EJ32" i="44" s="1"/>
  <c r="EJ33" i="44" s="1"/>
  <c r="EJ34" i="44" s="1"/>
  <c r="EJ35" i="44" s="1"/>
  <c r="EJ36" i="44" s="1"/>
  <c r="EJ37" i="44" s="1"/>
  <c r="EJ38" i="44" s="1"/>
  <c r="EJ39" i="44" s="1"/>
  <c r="EJ40" i="44" s="1"/>
  <c r="EJ41" i="44" s="1"/>
  <c r="EJ42" i="44" s="1"/>
  <c r="EJ43" i="44" s="1"/>
  <c r="EJ44" i="44" s="1"/>
  <c r="EJ45" i="44" s="1"/>
  <c r="EJ46" i="44" s="1"/>
  <c r="EJ47" i="44" s="1"/>
  <c r="EJ48" i="44" s="1"/>
  <c r="EJ49" i="44" s="1"/>
  <c r="EJ50" i="44" s="1"/>
  <c r="EJ51" i="44" s="1"/>
  <c r="EJ52" i="44" s="1"/>
  <c r="EJ53" i="44" s="1"/>
  <c r="EJ54" i="44" s="1"/>
  <c r="EJ55" i="44" s="1"/>
  <c r="EJ56" i="44" s="1"/>
  <c r="EJ57" i="44" s="1"/>
  <c r="EJ58" i="44" s="1"/>
  <c r="EJ59" i="44" s="1"/>
  <c r="EJ60" i="44" s="1"/>
  <c r="EJ61" i="44" s="1"/>
  <c r="EJ62" i="44" s="1"/>
  <c r="EJ63" i="44" s="1"/>
  <c r="EJ64" i="44" s="1"/>
  <c r="EJ65" i="44" s="1"/>
  <c r="EJ66" i="44" s="1"/>
  <c r="EJ67" i="44" s="1"/>
  <c r="EJ68" i="44" s="1"/>
  <c r="EJ69" i="44" s="1"/>
  <c r="EJ70" i="44" s="1"/>
  <c r="EJ71" i="44" s="1"/>
  <c r="EJ72" i="44" s="1"/>
  <c r="EJ73" i="44" s="1"/>
  <c r="EJ74" i="44" s="1"/>
  <c r="EJ75" i="44" s="1"/>
  <c r="EJ76" i="44" s="1"/>
  <c r="EJ77" i="44" s="1"/>
  <c r="EJ78" i="44" s="1"/>
  <c r="EJ79" i="44" s="1"/>
  <c r="EJ80" i="44" s="1"/>
  <c r="EJ81" i="44" s="1"/>
  <c r="EJ82" i="44" s="1"/>
  <c r="EJ83" i="44" s="1"/>
  <c r="EJ84" i="44" s="1"/>
  <c r="EI5" i="44"/>
  <c r="EI6" i="44" s="1"/>
  <c r="EI7" i="44" s="1"/>
  <c r="EI8" i="44" s="1"/>
  <c r="EI9" i="44" s="1"/>
  <c r="EI10" i="44" s="1"/>
  <c r="EI11" i="44" s="1"/>
  <c r="EI12" i="44" s="1"/>
  <c r="EI13" i="44" s="1"/>
  <c r="EI14" i="44" s="1"/>
  <c r="EI15" i="44" s="1"/>
  <c r="EI16" i="44" s="1"/>
  <c r="EI17" i="44" s="1"/>
  <c r="EI18" i="44" s="1"/>
  <c r="EI19" i="44" s="1"/>
  <c r="EI20" i="44" s="1"/>
  <c r="EI21" i="44" s="1"/>
  <c r="EI22" i="44" s="1"/>
  <c r="EI23" i="44" s="1"/>
  <c r="EI24" i="44" s="1"/>
  <c r="EI25" i="44" s="1"/>
  <c r="EI26" i="44" s="1"/>
  <c r="EI27" i="44" s="1"/>
  <c r="EI28" i="44" s="1"/>
  <c r="EI29" i="44" s="1"/>
  <c r="EI30" i="44" s="1"/>
  <c r="EI31" i="44" s="1"/>
  <c r="EI32" i="44" s="1"/>
  <c r="EI33" i="44" s="1"/>
  <c r="EI34" i="44" s="1"/>
  <c r="EI35" i="44" s="1"/>
  <c r="EI36" i="44" s="1"/>
  <c r="EI37" i="44" s="1"/>
  <c r="EI38" i="44" s="1"/>
  <c r="EI39" i="44" s="1"/>
  <c r="EI40" i="44" s="1"/>
  <c r="EI41" i="44" s="1"/>
  <c r="EI42" i="44" s="1"/>
  <c r="EI43" i="44" s="1"/>
  <c r="EI44" i="44" s="1"/>
  <c r="EI45" i="44" s="1"/>
  <c r="EI46" i="44" s="1"/>
  <c r="EI47" i="44" s="1"/>
  <c r="EI48" i="44" s="1"/>
  <c r="EI49" i="44" s="1"/>
  <c r="EI50" i="44" s="1"/>
  <c r="EI51" i="44" s="1"/>
  <c r="EI52" i="44" s="1"/>
  <c r="EI53" i="44" s="1"/>
  <c r="EI54" i="44" s="1"/>
  <c r="EI55" i="44" s="1"/>
  <c r="EI56" i="44" s="1"/>
  <c r="EI57" i="44" s="1"/>
  <c r="EI58" i="44" s="1"/>
  <c r="EI59" i="44" s="1"/>
  <c r="EI60" i="44" s="1"/>
  <c r="EI61" i="44" s="1"/>
  <c r="EI62" i="44" s="1"/>
  <c r="EI63" i="44" s="1"/>
  <c r="EI64" i="44" s="1"/>
  <c r="EI65" i="44" s="1"/>
  <c r="EI66" i="44" s="1"/>
  <c r="EI67" i="44" s="1"/>
  <c r="EI68" i="44" s="1"/>
  <c r="EI69" i="44" s="1"/>
  <c r="EI70" i="44" s="1"/>
  <c r="EI71" i="44" s="1"/>
  <c r="EI72" i="44" s="1"/>
  <c r="EI73" i="44" s="1"/>
  <c r="EI74" i="44" s="1"/>
  <c r="EI75" i="44" s="1"/>
  <c r="EI76" i="44" s="1"/>
  <c r="EI77" i="44" s="1"/>
  <c r="EI78" i="44" s="1"/>
  <c r="EI79" i="44" s="1"/>
  <c r="EI80" i="44" s="1"/>
  <c r="EI81" i="44" s="1"/>
  <c r="EI82" i="44" s="1"/>
  <c r="EI83" i="44" s="1"/>
  <c r="EI84" i="44" s="1"/>
  <c r="EH5" i="44"/>
  <c r="EH6" i="44" s="1"/>
  <c r="EH7" i="44" s="1"/>
  <c r="EH8" i="44" s="1"/>
  <c r="EH9" i="44" s="1"/>
  <c r="EH10" i="44" s="1"/>
  <c r="EH11" i="44" s="1"/>
  <c r="EH12" i="44" s="1"/>
  <c r="EH13" i="44" s="1"/>
  <c r="EH14" i="44" s="1"/>
  <c r="EH15" i="44" s="1"/>
  <c r="EH16" i="44" s="1"/>
  <c r="EH17" i="44" s="1"/>
  <c r="EH18" i="44" s="1"/>
  <c r="EH19" i="44" s="1"/>
  <c r="EH20" i="44" s="1"/>
  <c r="EH21" i="44" s="1"/>
  <c r="EH22" i="44" s="1"/>
  <c r="EH23" i="44" s="1"/>
  <c r="EH24" i="44" s="1"/>
  <c r="EH25" i="44" s="1"/>
  <c r="EH26" i="44" s="1"/>
  <c r="EH27" i="44" s="1"/>
  <c r="EH28" i="44" s="1"/>
  <c r="EH29" i="44" s="1"/>
  <c r="EH30" i="44" s="1"/>
  <c r="EH31" i="44" s="1"/>
  <c r="EH32" i="44" s="1"/>
  <c r="EH33" i="44" s="1"/>
  <c r="EH34" i="44" s="1"/>
  <c r="EH35" i="44" s="1"/>
  <c r="EH36" i="44" s="1"/>
  <c r="EH37" i="44" s="1"/>
  <c r="EH38" i="44" s="1"/>
  <c r="EH39" i="44" s="1"/>
  <c r="EH40" i="44" s="1"/>
  <c r="EH41" i="44" s="1"/>
  <c r="EH42" i="44" s="1"/>
  <c r="EH43" i="44" s="1"/>
  <c r="EH44" i="44" s="1"/>
  <c r="EH45" i="44" s="1"/>
  <c r="EH46" i="44" s="1"/>
  <c r="EH47" i="44" s="1"/>
  <c r="EH48" i="44" s="1"/>
  <c r="EH49" i="44" s="1"/>
  <c r="EH50" i="44" s="1"/>
  <c r="EH51" i="44" s="1"/>
  <c r="EH52" i="44" s="1"/>
  <c r="EH53" i="44" s="1"/>
  <c r="EH54" i="44" s="1"/>
  <c r="EH55" i="44" s="1"/>
  <c r="EH56" i="44" s="1"/>
  <c r="EH57" i="44" s="1"/>
  <c r="EH58" i="44" s="1"/>
  <c r="EH59" i="44" s="1"/>
  <c r="EH60" i="44" s="1"/>
  <c r="EH61" i="44" s="1"/>
  <c r="EH62" i="44" s="1"/>
  <c r="EH63" i="44" s="1"/>
  <c r="EH64" i="44" s="1"/>
  <c r="EH65" i="44" s="1"/>
  <c r="EH66" i="44" s="1"/>
  <c r="EH67" i="44" s="1"/>
  <c r="EH68" i="44" s="1"/>
  <c r="EH69" i="44" s="1"/>
  <c r="EH70" i="44" s="1"/>
  <c r="EH71" i="44" s="1"/>
  <c r="EH72" i="44" s="1"/>
  <c r="EH73" i="44" s="1"/>
  <c r="EH74" i="44" s="1"/>
  <c r="EH75" i="44" s="1"/>
  <c r="EH76" i="44" s="1"/>
  <c r="EH77" i="44" s="1"/>
  <c r="EH78" i="44" s="1"/>
  <c r="EH79" i="44" s="1"/>
  <c r="EH80" i="44" s="1"/>
  <c r="EH81" i="44" s="1"/>
  <c r="EH82" i="44" s="1"/>
  <c r="EH83" i="44" s="1"/>
  <c r="EH84" i="44" s="1"/>
  <c r="EG5" i="44"/>
  <c r="EG6" i="44" s="1"/>
  <c r="EG7" i="44" s="1"/>
  <c r="EG8" i="44" s="1"/>
  <c r="EG9" i="44" s="1"/>
  <c r="EG10" i="44" s="1"/>
  <c r="EG11" i="44" s="1"/>
  <c r="EG12" i="44" s="1"/>
  <c r="EG13" i="44" s="1"/>
  <c r="EG14" i="44" s="1"/>
  <c r="EG15" i="44" s="1"/>
  <c r="EG16" i="44" s="1"/>
  <c r="EG17" i="44" s="1"/>
  <c r="EG18" i="44" s="1"/>
  <c r="EG19" i="44" s="1"/>
  <c r="EG20" i="44" s="1"/>
  <c r="EG21" i="44" s="1"/>
  <c r="EG22" i="44" s="1"/>
  <c r="EG23" i="44" s="1"/>
  <c r="EG24" i="44" s="1"/>
  <c r="EG25" i="44" s="1"/>
  <c r="EG26" i="44" s="1"/>
  <c r="EG27" i="44" s="1"/>
  <c r="EG28" i="44" s="1"/>
  <c r="EG29" i="44" s="1"/>
  <c r="EG30" i="44" s="1"/>
  <c r="EG31" i="44" s="1"/>
  <c r="EG32" i="44" s="1"/>
  <c r="EG33" i="44" s="1"/>
  <c r="EG34" i="44" s="1"/>
  <c r="EG35" i="44" s="1"/>
  <c r="EG36" i="44" s="1"/>
  <c r="EG37" i="44" s="1"/>
  <c r="EG38" i="44" s="1"/>
  <c r="EG39" i="44" s="1"/>
  <c r="EG40" i="44" s="1"/>
  <c r="EG41" i="44" s="1"/>
  <c r="EG42" i="44" s="1"/>
  <c r="EG43" i="44" s="1"/>
  <c r="EG44" i="44" s="1"/>
  <c r="EG45" i="44" s="1"/>
  <c r="EG46" i="44" s="1"/>
  <c r="EG47" i="44" s="1"/>
  <c r="EG48" i="44" s="1"/>
  <c r="EG49" i="44" s="1"/>
  <c r="EG50" i="44" s="1"/>
  <c r="EG51" i="44" s="1"/>
  <c r="EG52" i="44" s="1"/>
  <c r="EG53" i="44" s="1"/>
  <c r="EG54" i="44" s="1"/>
  <c r="EG55" i="44" s="1"/>
  <c r="EG56" i="44" s="1"/>
  <c r="EG57" i="44" s="1"/>
  <c r="EG58" i="44" s="1"/>
  <c r="EG59" i="44" s="1"/>
  <c r="EG60" i="44" s="1"/>
  <c r="EG61" i="44" s="1"/>
  <c r="EG62" i="44" s="1"/>
  <c r="EG63" i="44" s="1"/>
  <c r="EG64" i="44" s="1"/>
  <c r="EG65" i="44" s="1"/>
  <c r="EG66" i="44" s="1"/>
  <c r="EG67" i="44" s="1"/>
  <c r="EG68" i="44" s="1"/>
  <c r="EG69" i="44" s="1"/>
  <c r="EG70" i="44" s="1"/>
  <c r="EG71" i="44" s="1"/>
  <c r="EG72" i="44" s="1"/>
  <c r="EG73" i="44" s="1"/>
  <c r="EG74" i="44" s="1"/>
  <c r="EG75" i="44" s="1"/>
  <c r="EG76" i="44" s="1"/>
  <c r="EG77" i="44" s="1"/>
  <c r="EG78" i="44" s="1"/>
  <c r="EG79" i="44" s="1"/>
  <c r="EG80" i="44" s="1"/>
  <c r="EG81" i="44" s="1"/>
  <c r="EG82" i="44" s="1"/>
  <c r="EG83" i="44" s="1"/>
  <c r="EG84" i="44" s="1"/>
  <c r="EF5" i="44"/>
  <c r="EF6" i="44" s="1"/>
  <c r="EF7" i="44" s="1"/>
  <c r="EF8" i="44" s="1"/>
  <c r="EF9" i="44" s="1"/>
  <c r="EF10" i="44" s="1"/>
  <c r="EF11" i="44" s="1"/>
  <c r="EF12" i="44" s="1"/>
  <c r="EF13" i="44" s="1"/>
  <c r="EF14" i="44" s="1"/>
  <c r="EF15" i="44" s="1"/>
  <c r="EF16" i="44" s="1"/>
  <c r="EF17" i="44" s="1"/>
  <c r="EF18" i="44" s="1"/>
  <c r="EF19" i="44" s="1"/>
  <c r="EF20" i="44" s="1"/>
  <c r="EF21" i="44" s="1"/>
  <c r="EF22" i="44" s="1"/>
  <c r="EF23" i="44" s="1"/>
  <c r="EF24" i="44" s="1"/>
  <c r="EF25" i="44" s="1"/>
  <c r="EF26" i="44" s="1"/>
  <c r="EF27" i="44" s="1"/>
  <c r="EF28" i="44" s="1"/>
  <c r="EF29" i="44" s="1"/>
  <c r="EF30" i="44" s="1"/>
  <c r="EF31" i="44" s="1"/>
  <c r="EF32" i="44" s="1"/>
  <c r="EF33" i="44" s="1"/>
  <c r="EF34" i="44" s="1"/>
  <c r="EF35" i="44" s="1"/>
  <c r="EF36" i="44" s="1"/>
  <c r="EF37" i="44" s="1"/>
  <c r="EF38" i="44" s="1"/>
  <c r="EF39" i="44" s="1"/>
  <c r="EF40" i="44" s="1"/>
  <c r="EF41" i="44" s="1"/>
  <c r="EF42" i="44" s="1"/>
  <c r="EF43" i="44" s="1"/>
  <c r="EF44" i="44" s="1"/>
  <c r="EF45" i="44" s="1"/>
  <c r="EF46" i="44" s="1"/>
  <c r="EF47" i="44" s="1"/>
  <c r="EF48" i="44" s="1"/>
  <c r="EF49" i="44" s="1"/>
  <c r="EF50" i="44" s="1"/>
  <c r="EF51" i="44" s="1"/>
  <c r="EF52" i="44" s="1"/>
  <c r="EF53" i="44" s="1"/>
  <c r="EF54" i="44" s="1"/>
  <c r="EF55" i="44" s="1"/>
  <c r="EF56" i="44" s="1"/>
  <c r="EF57" i="44" s="1"/>
  <c r="EF58" i="44" s="1"/>
  <c r="EF59" i="44" s="1"/>
  <c r="EF60" i="44" s="1"/>
  <c r="EF61" i="44" s="1"/>
  <c r="EF62" i="44" s="1"/>
  <c r="EF63" i="44" s="1"/>
  <c r="EF64" i="44" s="1"/>
  <c r="EF65" i="44" s="1"/>
  <c r="EF66" i="44" s="1"/>
  <c r="EF67" i="44" s="1"/>
  <c r="EF68" i="44" s="1"/>
  <c r="EF69" i="44" s="1"/>
  <c r="EF70" i="44" s="1"/>
  <c r="EF71" i="44" s="1"/>
  <c r="EF72" i="44" s="1"/>
  <c r="EF73" i="44" s="1"/>
  <c r="EF74" i="44" s="1"/>
  <c r="EF75" i="44" s="1"/>
  <c r="EF76" i="44" s="1"/>
  <c r="EF77" i="44" s="1"/>
  <c r="EF78" i="44" s="1"/>
  <c r="EF79" i="44" s="1"/>
  <c r="EF80" i="44" s="1"/>
  <c r="EF81" i="44" s="1"/>
  <c r="EF82" i="44" s="1"/>
  <c r="EF83" i="44" s="1"/>
  <c r="EF84" i="44" s="1"/>
  <c r="EE5" i="44"/>
  <c r="EE6" i="44" s="1"/>
  <c r="EE7" i="44" s="1"/>
  <c r="EE8" i="44" s="1"/>
  <c r="EE9" i="44" s="1"/>
  <c r="EE10" i="44" s="1"/>
  <c r="EE11" i="44" s="1"/>
  <c r="EE12" i="44" s="1"/>
  <c r="EE13" i="44" s="1"/>
  <c r="EE14" i="44" s="1"/>
  <c r="EE15" i="44" s="1"/>
  <c r="EE16" i="44" s="1"/>
  <c r="EE17" i="44" s="1"/>
  <c r="EE18" i="44" s="1"/>
  <c r="EE19" i="44" s="1"/>
  <c r="EE20" i="44" s="1"/>
  <c r="EE21" i="44" s="1"/>
  <c r="EE22" i="44" s="1"/>
  <c r="EE23" i="44" s="1"/>
  <c r="EE24" i="44" s="1"/>
  <c r="EE25" i="44" s="1"/>
  <c r="EE26" i="44" s="1"/>
  <c r="EE27" i="44" s="1"/>
  <c r="EE28" i="44" s="1"/>
  <c r="EE29" i="44" s="1"/>
  <c r="EE30" i="44" s="1"/>
  <c r="EE31" i="44" s="1"/>
  <c r="EE32" i="44" s="1"/>
  <c r="EE33" i="44" s="1"/>
  <c r="EE34" i="44" s="1"/>
  <c r="EE35" i="44" s="1"/>
  <c r="EE36" i="44" s="1"/>
  <c r="EE37" i="44" s="1"/>
  <c r="EE38" i="44" s="1"/>
  <c r="EE39" i="44" s="1"/>
  <c r="EE40" i="44" s="1"/>
  <c r="EE41" i="44" s="1"/>
  <c r="EE42" i="44" s="1"/>
  <c r="EE43" i="44" s="1"/>
  <c r="EE44" i="44" s="1"/>
  <c r="EE45" i="44" s="1"/>
  <c r="EE46" i="44" s="1"/>
  <c r="EE47" i="44" s="1"/>
  <c r="EE48" i="44" s="1"/>
  <c r="EE49" i="44" s="1"/>
  <c r="EE50" i="44" s="1"/>
  <c r="EE51" i="44" s="1"/>
  <c r="EE52" i="44" s="1"/>
  <c r="EE53" i="44" s="1"/>
  <c r="EE54" i="44" s="1"/>
  <c r="EE55" i="44" s="1"/>
  <c r="EE56" i="44" s="1"/>
  <c r="EE57" i="44" s="1"/>
  <c r="EE58" i="44" s="1"/>
  <c r="EE59" i="44" s="1"/>
  <c r="EE60" i="44" s="1"/>
  <c r="EE61" i="44" s="1"/>
  <c r="EE62" i="44" s="1"/>
  <c r="EE63" i="44" s="1"/>
  <c r="EE64" i="44" s="1"/>
  <c r="EE65" i="44" s="1"/>
  <c r="EE66" i="44" s="1"/>
  <c r="EE67" i="44" s="1"/>
  <c r="EE68" i="44" s="1"/>
  <c r="EE69" i="44" s="1"/>
  <c r="EE70" i="44" s="1"/>
  <c r="EE71" i="44" s="1"/>
  <c r="EE72" i="44" s="1"/>
  <c r="EE73" i="44" s="1"/>
  <c r="EE74" i="44" s="1"/>
  <c r="EE75" i="44" s="1"/>
  <c r="EE76" i="44" s="1"/>
  <c r="EE77" i="44" s="1"/>
  <c r="EE78" i="44" s="1"/>
  <c r="EE79" i="44" s="1"/>
  <c r="EE80" i="44" s="1"/>
  <c r="EE81" i="44" s="1"/>
  <c r="EE82" i="44" s="1"/>
  <c r="EE83" i="44" s="1"/>
  <c r="EE84" i="44" s="1"/>
  <c r="ED5" i="44"/>
  <c r="ED6" i="44" s="1"/>
  <c r="ED7" i="44" s="1"/>
  <c r="ED8" i="44" s="1"/>
  <c r="ED9" i="44" s="1"/>
  <c r="ED10" i="44" s="1"/>
  <c r="ED11" i="44" s="1"/>
  <c r="ED12" i="44" s="1"/>
  <c r="ED13" i="44" s="1"/>
  <c r="ED14" i="44" s="1"/>
  <c r="ED15" i="44" s="1"/>
  <c r="ED16" i="44" s="1"/>
  <c r="ED17" i="44" s="1"/>
  <c r="ED18" i="44" s="1"/>
  <c r="ED19" i="44" s="1"/>
  <c r="ED20" i="44" s="1"/>
  <c r="ED21" i="44" s="1"/>
  <c r="ED22" i="44" s="1"/>
  <c r="ED23" i="44" s="1"/>
  <c r="ED24" i="44" s="1"/>
  <c r="ED25" i="44" s="1"/>
  <c r="ED26" i="44" s="1"/>
  <c r="ED27" i="44" s="1"/>
  <c r="ED28" i="44" s="1"/>
  <c r="ED29" i="44" s="1"/>
  <c r="ED30" i="44" s="1"/>
  <c r="ED31" i="44" s="1"/>
  <c r="ED32" i="44" s="1"/>
  <c r="ED33" i="44" s="1"/>
  <c r="ED34" i="44" s="1"/>
  <c r="ED35" i="44" s="1"/>
  <c r="ED36" i="44" s="1"/>
  <c r="ED37" i="44" s="1"/>
  <c r="ED38" i="44" s="1"/>
  <c r="ED39" i="44" s="1"/>
  <c r="ED40" i="44" s="1"/>
  <c r="ED41" i="44" s="1"/>
  <c r="ED42" i="44" s="1"/>
  <c r="ED43" i="44" s="1"/>
  <c r="ED44" i="44" s="1"/>
  <c r="ED45" i="44" s="1"/>
  <c r="ED46" i="44" s="1"/>
  <c r="ED47" i="44" s="1"/>
  <c r="ED48" i="44" s="1"/>
  <c r="ED49" i="44" s="1"/>
  <c r="ED50" i="44" s="1"/>
  <c r="ED51" i="44" s="1"/>
  <c r="ED52" i="44" s="1"/>
  <c r="ED53" i="44" s="1"/>
  <c r="ED54" i="44" s="1"/>
  <c r="ED55" i="44" s="1"/>
  <c r="ED56" i="44" s="1"/>
  <c r="ED57" i="44" s="1"/>
  <c r="ED58" i="44" s="1"/>
  <c r="ED59" i="44" s="1"/>
  <c r="ED60" i="44" s="1"/>
  <c r="ED61" i="44" s="1"/>
  <c r="ED62" i="44" s="1"/>
  <c r="ED63" i="44" s="1"/>
  <c r="ED64" i="44" s="1"/>
  <c r="ED65" i="44" s="1"/>
  <c r="ED66" i="44" s="1"/>
  <c r="ED67" i="44" s="1"/>
  <c r="ED68" i="44" s="1"/>
  <c r="ED69" i="44" s="1"/>
  <c r="ED70" i="44" s="1"/>
  <c r="ED71" i="44" s="1"/>
  <c r="ED72" i="44" s="1"/>
  <c r="ED73" i="44" s="1"/>
  <c r="ED74" i="44" s="1"/>
  <c r="ED75" i="44" s="1"/>
  <c r="ED76" i="44" s="1"/>
  <c r="ED77" i="44" s="1"/>
  <c r="ED78" i="44" s="1"/>
  <c r="ED79" i="44" s="1"/>
  <c r="ED80" i="44" s="1"/>
  <c r="ED81" i="44" s="1"/>
  <c r="ED82" i="44" s="1"/>
  <c r="ED83" i="44" s="1"/>
  <c r="ED84" i="44" s="1"/>
  <c r="EC5" i="44"/>
  <c r="EC6" i="44" s="1"/>
  <c r="EC7" i="44" s="1"/>
  <c r="EC8" i="44" s="1"/>
  <c r="EC9" i="44" s="1"/>
  <c r="EC10" i="44" s="1"/>
  <c r="EC11" i="44" s="1"/>
  <c r="EC12" i="44" s="1"/>
  <c r="EC13" i="44" s="1"/>
  <c r="EC14" i="44" s="1"/>
  <c r="EC15" i="44" s="1"/>
  <c r="EC16" i="44" s="1"/>
  <c r="EC17" i="44" s="1"/>
  <c r="EC18" i="44" s="1"/>
  <c r="EC19" i="44" s="1"/>
  <c r="EC20" i="44" s="1"/>
  <c r="EC21" i="44" s="1"/>
  <c r="EC22" i="44" s="1"/>
  <c r="EC23" i="44" s="1"/>
  <c r="EC24" i="44" s="1"/>
  <c r="EC25" i="44" s="1"/>
  <c r="EC26" i="44" s="1"/>
  <c r="EC27" i="44" s="1"/>
  <c r="EC28" i="44" s="1"/>
  <c r="EC29" i="44" s="1"/>
  <c r="EC30" i="44" s="1"/>
  <c r="EC31" i="44" s="1"/>
  <c r="EC32" i="44" s="1"/>
  <c r="EC33" i="44" s="1"/>
  <c r="EC34" i="44" s="1"/>
  <c r="EC35" i="44" s="1"/>
  <c r="EC36" i="44" s="1"/>
  <c r="EC37" i="44" s="1"/>
  <c r="EC38" i="44" s="1"/>
  <c r="EC39" i="44" s="1"/>
  <c r="EC40" i="44" s="1"/>
  <c r="EC41" i="44" s="1"/>
  <c r="EC42" i="44" s="1"/>
  <c r="EC43" i="44" s="1"/>
  <c r="EC44" i="44" s="1"/>
  <c r="EC45" i="44" s="1"/>
  <c r="EC46" i="44" s="1"/>
  <c r="EC47" i="44" s="1"/>
  <c r="EC48" i="44" s="1"/>
  <c r="EC49" i="44" s="1"/>
  <c r="EC50" i="44" s="1"/>
  <c r="EC51" i="44" s="1"/>
  <c r="EC52" i="44" s="1"/>
  <c r="EC53" i="44" s="1"/>
  <c r="EC54" i="44" s="1"/>
  <c r="EC55" i="44" s="1"/>
  <c r="EC56" i="44" s="1"/>
  <c r="EC57" i="44" s="1"/>
  <c r="EC58" i="44" s="1"/>
  <c r="EC59" i="44" s="1"/>
  <c r="EC60" i="44" s="1"/>
  <c r="EC61" i="44" s="1"/>
  <c r="EC62" i="44" s="1"/>
  <c r="EC63" i="44" s="1"/>
  <c r="EC64" i="44" s="1"/>
  <c r="EC65" i="44" s="1"/>
  <c r="EC66" i="44" s="1"/>
  <c r="EC67" i="44" s="1"/>
  <c r="EC68" i="44" s="1"/>
  <c r="EC69" i="44" s="1"/>
  <c r="EC70" i="44" s="1"/>
  <c r="EC71" i="44" s="1"/>
  <c r="EC72" i="44" s="1"/>
  <c r="EC73" i="44" s="1"/>
  <c r="EC74" i="44" s="1"/>
  <c r="EC75" i="44" s="1"/>
  <c r="EC76" i="44" s="1"/>
  <c r="EC77" i="44" s="1"/>
  <c r="EC78" i="44" s="1"/>
  <c r="EC79" i="44" s="1"/>
  <c r="EC80" i="44" s="1"/>
  <c r="EC81" i="44" s="1"/>
  <c r="EC82" i="44" s="1"/>
  <c r="EC83" i="44" s="1"/>
  <c r="EC84" i="44" s="1"/>
  <c r="EB5" i="44"/>
  <c r="EB6" i="44" s="1"/>
  <c r="EB7" i="44" s="1"/>
  <c r="EB8" i="44" s="1"/>
  <c r="EB9" i="44" s="1"/>
  <c r="EB10" i="44" s="1"/>
  <c r="EB11" i="44" s="1"/>
  <c r="EB12" i="44" s="1"/>
  <c r="EB13" i="44" s="1"/>
  <c r="EB14" i="44" s="1"/>
  <c r="EB15" i="44" s="1"/>
  <c r="EB16" i="44" s="1"/>
  <c r="EB17" i="44" s="1"/>
  <c r="EB18" i="44" s="1"/>
  <c r="EB19" i="44" s="1"/>
  <c r="EB20" i="44" s="1"/>
  <c r="EB21" i="44" s="1"/>
  <c r="EB22" i="44" s="1"/>
  <c r="EB23" i="44" s="1"/>
  <c r="EB24" i="44" s="1"/>
  <c r="EB25" i="44" s="1"/>
  <c r="EB26" i="44" s="1"/>
  <c r="EB27" i="44" s="1"/>
  <c r="EB28" i="44" s="1"/>
  <c r="EB29" i="44" s="1"/>
  <c r="EB30" i="44" s="1"/>
  <c r="EB31" i="44" s="1"/>
  <c r="EB32" i="44" s="1"/>
  <c r="EB33" i="44" s="1"/>
  <c r="EB34" i="44" s="1"/>
  <c r="EB35" i="44" s="1"/>
  <c r="EB36" i="44" s="1"/>
  <c r="EB37" i="44" s="1"/>
  <c r="EB38" i="44" s="1"/>
  <c r="EB39" i="44" s="1"/>
  <c r="EB40" i="44" s="1"/>
  <c r="EB41" i="44" s="1"/>
  <c r="EB42" i="44" s="1"/>
  <c r="EB43" i="44" s="1"/>
  <c r="EB44" i="44" s="1"/>
  <c r="EB45" i="44" s="1"/>
  <c r="EB46" i="44" s="1"/>
  <c r="EB47" i="44" s="1"/>
  <c r="EB48" i="44" s="1"/>
  <c r="EB49" i="44" s="1"/>
  <c r="EB50" i="44" s="1"/>
  <c r="EB51" i="44" s="1"/>
  <c r="EB52" i="44" s="1"/>
  <c r="EB53" i="44" s="1"/>
  <c r="EB54" i="44" s="1"/>
  <c r="EB55" i="44" s="1"/>
  <c r="EB56" i="44" s="1"/>
  <c r="EB57" i="44" s="1"/>
  <c r="EB58" i="44" s="1"/>
  <c r="EB59" i="44" s="1"/>
  <c r="EB60" i="44" s="1"/>
  <c r="EB61" i="44" s="1"/>
  <c r="EB62" i="44" s="1"/>
  <c r="EB63" i="44" s="1"/>
  <c r="EB64" i="44" s="1"/>
  <c r="EB65" i="44" s="1"/>
  <c r="EB66" i="44" s="1"/>
  <c r="EB67" i="44" s="1"/>
  <c r="EB68" i="44" s="1"/>
  <c r="EB69" i="44" s="1"/>
  <c r="EB70" i="44" s="1"/>
  <c r="EB71" i="44" s="1"/>
  <c r="EB72" i="44" s="1"/>
  <c r="EB73" i="44" s="1"/>
  <c r="EB74" i="44" s="1"/>
  <c r="EB75" i="44" s="1"/>
  <c r="EB76" i="44" s="1"/>
  <c r="EB77" i="44" s="1"/>
  <c r="EB78" i="44" s="1"/>
  <c r="EB79" i="44" s="1"/>
  <c r="EB80" i="44" s="1"/>
  <c r="EB81" i="44" s="1"/>
  <c r="EB82" i="44" s="1"/>
  <c r="EB83" i="44" s="1"/>
  <c r="EB84" i="44" s="1"/>
  <c r="EA5" i="44"/>
  <c r="EA6" i="44" s="1"/>
  <c r="EA7" i="44" s="1"/>
  <c r="EA8" i="44" s="1"/>
  <c r="EA9" i="44" s="1"/>
  <c r="EA10" i="44" s="1"/>
  <c r="EA11" i="44" s="1"/>
  <c r="EA12" i="44" s="1"/>
  <c r="EA13" i="44" s="1"/>
  <c r="EA14" i="44" s="1"/>
  <c r="EA15" i="44" s="1"/>
  <c r="EA16" i="44" s="1"/>
  <c r="EA17" i="44" s="1"/>
  <c r="EA18" i="44" s="1"/>
  <c r="EA19" i="44" s="1"/>
  <c r="EA20" i="44" s="1"/>
  <c r="EA21" i="44" s="1"/>
  <c r="EA22" i="44" s="1"/>
  <c r="EA23" i="44" s="1"/>
  <c r="EA24" i="44" s="1"/>
  <c r="EA25" i="44" s="1"/>
  <c r="EA26" i="44" s="1"/>
  <c r="EA27" i="44" s="1"/>
  <c r="EA28" i="44" s="1"/>
  <c r="EA29" i="44" s="1"/>
  <c r="EA30" i="44" s="1"/>
  <c r="EA31" i="44" s="1"/>
  <c r="EA32" i="44" s="1"/>
  <c r="EA33" i="44" s="1"/>
  <c r="EA34" i="44" s="1"/>
  <c r="EA35" i="44" s="1"/>
  <c r="EA36" i="44" s="1"/>
  <c r="EA37" i="44" s="1"/>
  <c r="EA38" i="44" s="1"/>
  <c r="EA39" i="44" s="1"/>
  <c r="EA40" i="44" s="1"/>
  <c r="EA41" i="44" s="1"/>
  <c r="EA42" i="44" s="1"/>
  <c r="EA43" i="44" s="1"/>
  <c r="EA44" i="44" s="1"/>
  <c r="EA45" i="44" s="1"/>
  <c r="EA46" i="44" s="1"/>
  <c r="EA47" i="44" s="1"/>
  <c r="EA48" i="44" s="1"/>
  <c r="EA49" i="44" s="1"/>
  <c r="EA50" i="44" s="1"/>
  <c r="EA51" i="44" s="1"/>
  <c r="EA52" i="44" s="1"/>
  <c r="EA53" i="44" s="1"/>
  <c r="EA54" i="44" s="1"/>
  <c r="EA55" i="44" s="1"/>
  <c r="EA56" i="44" s="1"/>
  <c r="EA57" i="44" s="1"/>
  <c r="EA58" i="44" s="1"/>
  <c r="EA59" i="44" s="1"/>
  <c r="EA60" i="44" s="1"/>
  <c r="EA61" i="44" s="1"/>
  <c r="EA62" i="44" s="1"/>
  <c r="EA63" i="44" s="1"/>
  <c r="EA64" i="44" s="1"/>
  <c r="EA65" i="44" s="1"/>
  <c r="EA66" i="44" s="1"/>
  <c r="EA67" i="44" s="1"/>
  <c r="EA68" i="44" s="1"/>
  <c r="EA69" i="44" s="1"/>
  <c r="EA70" i="44" s="1"/>
  <c r="EA71" i="44" s="1"/>
  <c r="EA72" i="44" s="1"/>
  <c r="EA73" i="44" s="1"/>
  <c r="EA74" i="44" s="1"/>
  <c r="EA75" i="44" s="1"/>
  <c r="EA76" i="44" s="1"/>
  <c r="EA77" i="44" s="1"/>
  <c r="EA78" i="44" s="1"/>
  <c r="EA79" i="44" s="1"/>
  <c r="EA80" i="44" s="1"/>
  <c r="EA81" i="44" s="1"/>
  <c r="EA82" i="44" s="1"/>
  <c r="EA83" i="44" s="1"/>
  <c r="EA84" i="44" s="1"/>
  <c r="E4" i="44"/>
  <c r="D5" i="44"/>
  <c r="D6" i="44"/>
  <c r="D7" i="44"/>
  <c r="D8" i="44"/>
  <c r="D9" i="44"/>
  <c r="D10" i="44"/>
  <c r="D11" i="44"/>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D48" i="44"/>
  <c r="D49" i="44"/>
  <c r="D50" i="44"/>
  <c r="D51" i="44"/>
  <c r="D52" i="44"/>
  <c r="D53" i="44"/>
  <c r="D54" i="44"/>
  <c r="D55" i="44"/>
  <c r="D56" i="44"/>
  <c r="D57" i="44"/>
  <c r="D58" i="44"/>
  <c r="D59" i="44"/>
  <c r="D60" i="44"/>
  <c r="D61" i="44"/>
  <c r="D62" i="44"/>
  <c r="D63" i="44"/>
  <c r="D64" i="44"/>
  <c r="D65" i="44"/>
  <c r="D66" i="44"/>
  <c r="D67" i="44"/>
  <c r="D68" i="44"/>
  <c r="D69" i="44"/>
  <c r="D70" i="44"/>
  <c r="D71" i="44"/>
  <c r="D72" i="44"/>
  <c r="D73" i="44"/>
  <c r="D74" i="44"/>
  <c r="D75" i="44"/>
  <c r="D76" i="44"/>
  <c r="D77" i="44"/>
  <c r="D78" i="44"/>
  <c r="D79" i="44"/>
  <c r="D80" i="44"/>
  <c r="D81" i="44"/>
  <c r="D82" i="44"/>
  <c r="D83" i="44"/>
  <c r="D84" i="44"/>
  <c r="D4" i="44"/>
  <c r="AB11" i="37" l="1"/>
  <c r="Q11" i="15"/>
  <c r="N11" i="15"/>
  <c r="R11" i="15"/>
  <c r="O11" i="15"/>
  <c r="AC83" i="15"/>
  <c r="AH83" i="15" s="1"/>
  <c r="AM83" i="15" s="1"/>
  <c r="AR83" i="15" s="1"/>
  <c r="AH81" i="15"/>
  <c r="BB10" i="15"/>
  <c r="AC9" i="15"/>
  <c r="AH8" i="15"/>
  <c r="AR82" i="15"/>
  <c r="AC11" i="37" l="1"/>
  <c r="U11" i="15" s="1"/>
  <c r="AM81" i="15"/>
  <c r="AR81" i="15" s="1"/>
  <c r="AW81" i="15" s="1"/>
  <c r="BB81" i="15" s="1"/>
  <c r="BG81" i="15" s="1"/>
  <c r="BL81" i="15" s="1"/>
  <c r="BQ81" i="15" s="1"/>
  <c r="BV81" i="15" s="1"/>
  <c r="CA81" i="15" s="1"/>
  <c r="AM8" i="15"/>
  <c r="AR8" i="15" s="1"/>
  <c r="AW8" i="15"/>
  <c r="BB8" i="15" s="1"/>
  <c r="AH9" i="15"/>
  <c r="AM9" i="15" s="1"/>
  <c r="AR9" i="15" s="1"/>
  <c r="AW9" i="15" s="1"/>
  <c r="BB9" i="15" s="1"/>
  <c r="AW83" i="15"/>
  <c r="BB83" i="15" s="1"/>
  <c r="BG83" i="15" s="1"/>
  <c r="BL83" i="15" s="1"/>
  <c r="AW82" i="15"/>
  <c r="DZ5" i="44"/>
  <c r="DZ6" i="44" s="1"/>
  <c r="DZ7" i="44" s="1"/>
  <c r="DZ8" i="44" s="1"/>
  <c r="DZ9" i="44" s="1"/>
  <c r="DZ10" i="44" s="1"/>
  <c r="DZ11" i="44" s="1"/>
  <c r="DZ12" i="44" s="1"/>
  <c r="DZ13" i="44" s="1"/>
  <c r="DZ14" i="44" s="1"/>
  <c r="DZ15" i="44" s="1"/>
  <c r="DZ16" i="44" s="1"/>
  <c r="DZ17" i="44" s="1"/>
  <c r="DZ18" i="44" s="1"/>
  <c r="DZ19" i="44" s="1"/>
  <c r="DZ20" i="44" s="1"/>
  <c r="DZ21" i="44" s="1"/>
  <c r="DZ22" i="44" s="1"/>
  <c r="DZ23" i="44" s="1"/>
  <c r="DZ24" i="44" s="1"/>
  <c r="DZ25" i="44" s="1"/>
  <c r="DZ26" i="44" s="1"/>
  <c r="DZ27" i="44" s="1"/>
  <c r="DZ28" i="44" s="1"/>
  <c r="DZ29" i="44" s="1"/>
  <c r="DZ30" i="44" s="1"/>
  <c r="DZ31" i="44" s="1"/>
  <c r="DZ32" i="44" s="1"/>
  <c r="DZ33" i="44" s="1"/>
  <c r="DZ34" i="44" s="1"/>
  <c r="DZ35" i="44" s="1"/>
  <c r="DZ36" i="44" s="1"/>
  <c r="DZ37" i="44" s="1"/>
  <c r="DZ38" i="44" s="1"/>
  <c r="DZ39" i="44" s="1"/>
  <c r="DZ40" i="44" s="1"/>
  <c r="DZ41" i="44" s="1"/>
  <c r="DZ42" i="44" s="1"/>
  <c r="DZ43" i="44" s="1"/>
  <c r="DZ44" i="44" s="1"/>
  <c r="DZ45" i="44" s="1"/>
  <c r="DZ46" i="44" s="1"/>
  <c r="DZ47" i="44" s="1"/>
  <c r="DZ48" i="44" s="1"/>
  <c r="DZ49" i="44" s="1"/>
  <c r="DZ50" i="44" s="1"/>
  <c r="DZ51" i="44" s="1"/>
  <c r="DZ52" i="44" s="1"/>
  <c r="DZ53" i="44" s="1"/>
  <c r="DZ54" i="44" s="1"/>
  <c r="DZ55" i="44" s="1"/>
  <c r="DZ56" i="44" s="1"/>
  <c r="DZ57" i="44" s="1"/>
  <c r="DZ58" i="44" s="1"/>
  <c r="DZ59" i="44" s="1"/>
  <c r="DZ60" i="44" s="1"/>
  <c r="DZ61" i="44" s="1"/>
  <c r="DZ62" i="44" s="1"/>
  <c r="DZ63" i="44" s="1"/>
  <c r="DZ64" i="44" s="1"/>
  <c r="DZ65" i="44" s="1"/>
  <c r="DZ66" i="44" s="1"/>
  <c r="DZ67" i="44" s="1"/>
  <c r="DZ68" i="44" s="1"/>
  <c r="DZ69" i="44" s="1"/>
  <c r="DZ70" i="44" s="1"/>
  <c r="DZ71" i="44" s="1"/>
  <c r="DZ72" i="44" s="1"/>
  <c r="DZ73" i="44" s="1"/>
  <c r="DZ74" i="44" s="1"/>
  <c r="DZ75" i="44" s="1"/>
  <c r="DZ76" i="44" s="1"/>
  <c r="DZ77" i="44" s="1"/>
  <c r="DZ78" i="44" s="1"/>
  <c r="DZ79" i="44" s="1"/>
  <c r="DZ80" i="44" s="1"/>
  <c r="DZ81" i="44" s="1"/>
  <c r="DZ82" i="44" s="1"/>
  <c r="DZ83" i="44" s="1"/>
  <c r="DZ84" i="44" s="1"/>
  <c r="DY5" i="44"/>
  <c r="DY6" i="44" s="1"/>
  <c r="DY7" i="44" s="1"/>
  <c r="DY8" i="44" s="1"/>
  <c r="DY9" i="44" s="1"/>
  <c r="DY10" i="44" s="1"/>
  <c r="DY11" i="44" s="1"/>
  <c r="DY12" i="44" s="1"/>
  <c r="DY13" i="44" s="1"/>
  <c r="DY14" i="44" s="1"/>
  <c r="DY15" i="44" s="1"/>
  <c r="DY16" i="44" s="1"/>
  <c r="DY17" i="44" s="1"/>
  <c r="DY18" i="44" s="1"/>
  <c r="DY19" i="44" s="1"/>
  <c r="DY20" i="44" s="1"/>
  <c r="DY21" i="44" s="1"/>
  <c r="DY22" i="44" s="1"/>
  <c r="DY23" i="44" s="1"/>
  <c r="DY24" i="44" s="1"/>
  <c r="DY25" i="44" s="1"/>
  <c r="DY26" i="44" s="1"/>
  <c r="DY27" i="44" s="1"/>
  <c r="DY28" i="44" s="1"/>
  <c r="DY29" i="44" s="1"/>
  <c r="DY30" i="44" s="1"/>
  <c r="DY31" i="44" s="1"/>
  <c r="DY32" i="44" s="1"/>
  <c r="DY33" i="44" s="1"/>
  <c r="DY34" i="44" s="1"/>
  <c r="DY35" i="44" s="1"/>
  <c r="DY36" i="44" s="1"/>
  <c r="DY37" i="44" s="1"/>
  <c r="DY38" i="44" s="1"/>
  <c r="DY39" i="44" s="1"/>
  <c r="DY40" i="44" s="1"/>
  <c r="DY41" i="44" s="1"/>
  <c r="DY42" i="44" s="1"/>
  <c r="DY43" i="44" s="1"/>
  <c r="DY44" i="44" s="1"/>
  <c r="DY45" i="44" s="1"/>
  <c r="DY46" i="44" s="1"/>
  <c r="DY47" i="44" s="1"/>
  <c r="DY48" i="44" s="1"/>
  <c r="DY49" i="44" s="1"/>
  <c r="DY50" i="44" s="1"/>
  <c r="DY51" i="44" s="1"/>
  <c r="DY52" i="44" s="1"/>
  <c r="DY53" i="44" s="1"/>
  <c r="DY54" i="44" s="1"/>
  <c r="DY55" i="44" s="1"/>
  <c r="DY56" i="44" s="1"/>
  <c r="DY57" i="44" s="1"/>
  <c r="DY58" i="44" s="1"/>
  <c r="DY59" i="44" s="1"/>
  <c r="DY60" i="44" s="1"/>
  <c r="DY61" i="44" s="1"/>
  <c r="DY62" i="44" s="1"/>
  <c r="DY63" i="44" s="1"/>
  <c r="DY64" i="44" s="1"/>
  <c r="DY65" i="44" s="1"/>
  <c r="DY66" i="44" s="1"/>
  <c r="DY67" i="44" s="1"/>
  <c r="DY68" i="44" s="1"/>
  <c r="DY69" i="44" s="1"/>
  <c r="DY70" i="44" s="1"/>
  <c r="DY71" i="44" s="1"/>
  <c r="DY72" i="44" s="1"/>
  <c r="DY73" i="44" s="1"/>
  <c r="DY74" i="44" s="1"/>
  <c r="DY75" i="44" s="1"/>
  <c r="DY76" i="44" s="1"/>
  <c r="DY77" i="44" s="1"/>
  <c r="DY78" i="44" s="1"/>
  <c r="DY79" i="44" s="1"/>
  <c r="DY80" i="44" s="1"/>
  <c r="DY81" i="44" s="1"/>
  <c r="DY82" i="44" s="1"/>
  <c r="DY83" i="44" s="1"/>
  <c r="DY84" i="44" s="1"/>
  <c r="DX5" i="44"/>
  <c r="DX6" i="44" s="1"/>
  <c r="DX7" i="44" s="1"/>
  <c r="DX8" i="44" s="1"/>
  <c r="DX9" i="44" s="1"/>
  <c r="DX10" i="44" s="1"/>
  <c r="DX11" i="44" s="1"/>
  <c r="DX12" i="44" s="1"/>
  <c r="DX13" i="44" s="1"/>
  <c r="DX14" i="44" s="1"/>
  <c r="DX15" i="44" s="1"/>
  <c r="DX16" i="44" s="1"/>
  <c r="DX17" i="44" s="1"/>
  <c r="DX18" i="44" s="1"/>
  <c r="DX19" i="44" s="1"/>
  <c r="DX20" i="44" s="1"/>
  <c r="DX21" i="44" s="1"/>
  <c r="DX22" i="44" s="1"/>
  <c r="DX23" i="44" s="1"/>
  <c r="DX24" i="44" s="1"/>
  <c r="DX25" i="44" s="1"/>
  <c r="DX26" i="44" s="1"/>
  <c r="DX27" i="44" s="1"/>
  <c r="DX28" i="44" s="1"/>
  <c r="DX29" i="44" s="1"/>
  <c r="DX30" i="44" s="1"/>
  <c r="DX31" i="44" s="1"/>
  <c r="DX32" i="44" s="1"/>
  <c r="DX33" i="44" s="1"/>
  <c r="DX34" i="44" s="1"/>
  <c r="DX35" i="44" s="1"/>
  <c r="DX36" i="44" s="1"/>
  <c r="DX37" i="44" s="1"/>
  <c r="DX38" i="44" s="1"/>
  <c r="DX39" i="44" s="1"/>
  <c r="DX40" i="44" s="1"/>
  <c r="DX41" i="44" s="1"/>
  <c r="DX42" i="44" s="1"/>
  <c r="DX43" i="44" s="1"/>
  <c r="DX44" i="44" s="1"/>
  <c r="DX45" i="44" s="1"/>
  <c r="DX46" i="44" s="1"/>
  <c r="DX47" i="44" s="1"/>
  <c r="DX48" i="44" s="1"/>
  <c r="DX49" i="44" s="1"/>
  <c r="DX50" i="44" s="1"/>
  <c r="DX51" i="44" s="1"/>
  <c r="DX52" i="44" s="1"/>
  <c r="DX53" i="44" s="1"/>
  <c r="DX54" i="44" s="1"/>
  <c r="DX55" i="44" s="1"/>
  <c r="DX56" i="44" s="1"/>
  <c r="DX57" i="44" s="1"/>
  <c r="DX58" i="44" s="1"/>
  <c r="DX59" i="44" s="1"/>
  <c r="DX60" i="44" s="1"/>
  <c r="DX61" i="44" s="1"/>
  <c r="DX62" i="44" s="1"/>
  <c r="DX63" i="44" s="1"/>
  <c r="DX64" i="44" s="1"/>
  <c r="DX65" i="44" s="1"/>
  <c r="DX66" i="44" s="1"/>
  <c r="DX67" i="44" s="1"/>
  <c r="DX68" i="44" s="1"/>
  <c r="DX69" i="44" s="1"/>
  <c r="DX70" i="44" s="1"/>
  <c r="DX71" i="44" s="1"/>
  <c r="DX72" i="44" s="1"/>
  <c r="DX73" i="44" s="1"/>
  <c r="DX74" i="44" s="1"/>
  <c r="DX75" i="44" s="1"/>
  <c r="DX76" i="44" s="1"/>
  <c r="DX77" i="44" s="1"/>
  <c r="DX78" i="44" s="1"/>
  <c r="DX79" i="44" s="1"/>
  <c r="DX80" i="44" s="1"/>
  <c r="DX81" i="44" s="1"/>
  <c r="DX82" i="44" s="1"/>
  <c r="DX83" i="44" s="1"/>
  <c r="DX84" i="44" s="1"/>
  <c r="DW5" i="44"/>
  <c r="DW6" i="44" s="1"/>
  <c r="DW7" i="44" s="1"/>
  <c r="DW8" i="44" s="1"/>
  <c r="DW9" i="44" s="1"/>
  <c r="DW10" i="44" s="1"/>
  <c r="DW11" i="44" s="1"/>
  <c r="DW12" i="44" s="1"/>
  <c r="DW13" i="44" s="1"/>
  <c r="DW14" i="44" s="1"/>
  <c r="DW15" i="44" s="1"/>
  <c r="DW16" i="44" s="1"/>
  <c r="DW17" i="44" s="1"/>
  <c r="DW18" i="44" s="1"/>
  <c r="DW19" i="44" s="1"/>
  <c r="DW20" i="44" s="1"/>
  <c r="DW21" i="44" s="1"/>
  <c r="DW22" i="44" s="1"/>
  <c r="DW23" i="44" s="1"/>
  <c r="DW24" i="44" s="1"/>
  <c r="DW25" i="44" s="1"/>
  <c r="DW26" i="44" s="1"/>
  <c r="DW27" i="44" s="1"/>
  <c r="DW28" i="44" s="1"/>
  <c r="DW29" i="44" s="1"/>
  <c r="DW30" i="44" s="1"/>
  <c r="DW31" i="44" s="1"/>
  <c r="DW32" i="44" s="1"/>
  <c r="DW33" i="44" s="1"/>
  <c r="DW34" i="44" s="1"/>
  <c r="DW35" i="44" s="1"/>
  <c r="DW36" i="44" s="1"/>
  <c r="DW37" i="44" s="1"/>
  <c r="DW38" i="44" s="1"/>
  <c r="DW39" i="44" s="1"/>
  <c r="DW40" i="44" s="1"/>
  <c r="DW41" i="44" s="1"/>
  <c r="DW42" i="44" s="1"/>
  <c r="DW43" i="44" s="1"/>
  <c r="DW44" i="44" s="1"/>
  <c r="DW45" i="44" s="1"/>
  <c r="DW46" i="44" s="1"/>
  <c r="DW47" i="44" s="1"/>
  <c r="DW48" i="44" s="1"/>
  <c r="DW49" i="44" s="1"/>
  <c r="DW50" i="44" s="1"/>
  <c r="DW51" i="44" s="1"/>
  <c r="DW52" i="44" s="1"/>
  <c r="DW53" i="44" s="1"/>
  <c r="DW54" i="44" s="1"/>
  <c r="DW55" i="44" s="1"/>
  <c r="DW56" i="44" s="1"/>
  <c r="DW57" i="44" s="1"/>
  <c r="DW58" i="44" s="1"/>
  <c r="DW59" i="44" s="1"/>
  <c r="DW60" i="44" s="1"/>
  <c r="DW61" i="44" s="1"/>
  <c r="DW62" i="44" s="1"/>
  <c r="DW63" i="44" s="1"/>
  <c r="DW64" i="44" s="1"/>
  <c r="DW65" i="44" s="1"/>
  <c r="DW66" i="44" s="1"/>
  <c r="DW67" i="44" s="1"/>
  <c r="DW68" i="44" s="1"/>
  <c r="DW69" i="44" s="1"/>
  <c r="DW70" i="44" s="1"/>
  <c r="DW71" i="44" s="1"/>
  <c r="DW72" i="44" s="1"/>
  <c r="DW73" i="44" s="1"/>
  <c r="DW74" i="44" s="1"/>
  <c r="DW75" i="44" s="1"/>
  <c r="DW76" i="44" s="1"/>
  <c r="DW77" i="44" s="1"/>
  <c r="DW78" i="44" s="1"/>
  <c r="DW79" i="44" s="1"/>
  <c r="DW80" i="44" s="1"/>
  <c r="DW81" i="44" s="1"/>
  <c r="DW82" i="44" s="1"/>
  <c r="DW83" i="44" s="1"/>
  <c r="DW84" i="44" s="1"/>
  <c r="DV5" i="44"/>
  <c r="DV6" i="44" s="1"/>
  <c r="DV7" i="44" s="1"/>
  <c r="DV8" i="44" s="1"/>
  <c r="DV9" i="44" s="1"/>
  <c r="DV10" i="44" s="1"/>
  <c r="DV11" i="44" s="1"/>
  <c r="DV12" i="44" s="1"/>
  <c r="DV13" i="44" s="1"/>
  <c r="DV14" i="44" s="1"/>
  <c r="DV15" i="44" s="1"/>
  <c r="DV16" i="44" s="1"/>
  <c r="DV17" i="44" s="1"/>
  <c r="DV18" i="44" s="1"/>
  <c r="DV19" i="44" s="1"/>
  <c r="DV20" i="44" s="1"/>
  <c r="DV21" i="44" s="1"/>
  <c r="DV22" i="44" s="1"/>
  <c r="DV23" i="44" s="1"/>
  <c r="DV24" i="44" s="1"/>
  <c r="DV25" i="44" s="1"/>
  <c r="DV26" i="44" s="1"/>
  <c r="DV27" i="44" s="1"/>
  <c r="DV28" i="44" s="1"/>
  <c r="DV29" i="44" s="1"/>
  <c r="DV30" i="44" s="1"/>
  <c r="DV31" i="44" s="1"/>
  <c r="DV32" i="44" s="1"/>
  <c r="DV33" i="44" s="1"/>
  <c r="DV34" i="44" s="1"/>
  <c r="DV35" i="44" s="1"/>
  <c r="DV36" i="44" s="1"/>
  <c r="DV37" i="44" s="1"/>
  <c r="DV38" i="44" s="1"/>
  <c r="DV39" i="44" s="1"/>
  <c r="DV40" i="44" s="1"/>
  <c r="DV41" i="44" s="1"/>
  <c r="DV42" i="44" s="1"/>
  <c r="DV43" i="44" s="1"/>
  <c r="DV44" i="44" s="1"/>
  <c r="DV45" i="44" s="1"/>
  <c r="DV46" i="44" s="1"/>
  <c r="DV47" i="44" s="1"/>
  <c r="DV48" i="44" s="1"/>
  <c r="DV49" i="44" s="1"/>
  <c r="DV50" i="44" s="1"/>
  <c r="DV51" i="44" s="1"/>
  <c r="DV52" i="44" s="1"/>
  <c r="DV53" i="44" s="1"/>
  <c r="DV54" i="44" s="1"/>
  <c r="DV55" i="44" s="1"/>
  <c r="DV56" i="44" s="1"/>
  <c r="DV57" i="44" s="1"/>
  <c r="DV58" i="44" s="1"/>
  <c r="DV59" i="44" s="1"/>
  <c r="DV60" i="44" s="1"/>
  <c r="DV61" i="44" s="1"/>
  <c r="DV62" i="44" s="1"/>
  <c r="DV63" i="44" s="1"/>
  <c r="DV64" i="44" s="1"/>
  <c r="DV65" i="44" s="1"/>
  <c r="DV66" i="44" s="1"/>
  <c r="DV67" i="44" s="1"/>
  <c r="DV68" i="44" s="1"/>
  <c r="DV69" i="44" s="1"/>
  <c r="DV70" i="44" s="1"/>
  <c r="DV71" i="44" s="1"/>
  <c r="DV72" i="44" s="1"/>
  <c r="DV73" i="44" s="1"/>
  <c r="DV74" i="44" s="1"/>
  <c r="DV75" i="44" s="1"/>
  <c r="DV76" i="44" s="1"/>
  <c r="DV77" i="44" s="1"/>
  <c r="DV78" i="44" s="1"/>
  <c r="DV79" i="44" s="1"/>
  <c r="DV80" i="44" s="1"/>
  <c r="DV81" i="44" s="1"/>
  <c r="DV82" i="44" s="1"/>
  <c r="DV83" i="44" s="1"/>
  <c r="DV84" i="44" s="1"/>
  <c r="DU5" i="44"/>
  <c r="DU6" i="44" s="1"/>
  <c r="DU7" i="44" s="1"/>
  <c r="DU8" i="44" s="1"/>
  <c r="DU9" i="44" s="1"/>
  <c r="DU10" i="44" s="1"/>
  <c r="DU11" i="44" s="1"/>
  <c r="DU12" i="44" s="1"/>
  <c r="DU13" i="44" s="1"/>
  <c r="DU14" i="44" s="1"/>
  <c r="DU15" i="44" s="1"/>
  <c r="DU16" i="44" s="1"/>
  <c r="DU17" i="44" s="1"/>
  <c r="DU18" i="44" s="1"/>
  <c r="DU19" i="44" s="1"/>
  <c r="DU20" i="44" s="1"/>
  <c r="DU21" i="44" s="1"/>
  <c r="DU22" i="44" s="1"/>
  <c r="DU23" i="44" s="1"/>
  <c r="DU24" i="44" s="1"/>
  <c r="DU25" i="44" s="1"/>
  <c r="DU26" i="44" s="1"/>
  <c r="DU27" i="44" s="1"/>
  <c r="DU28" i="44" s="1"/>
  <c r="DU29" i="44" s="1"/>
  <c r="DU30" i="44" s="1"/>
  <c r="DU31" i="44" s="1"/>
  <c r="DU32" i="44" s="1"/>
  <c r="DU33" i="44" s="1"/>
  <c r="DU34" i="44" s="1"/>
  <c r="DU35" i="44" s="1"/>
  <c r="DU36" i="44" s="1"/>
  <c r="DU37" i="44" s="1"/>
  <c r="DU38" i="44" s="1"/>
  <c r="DU39" i="44" s="1"/>
  <c r="DU40" i="44" s="1"/>
  <c r="DU41" i="44" s="1"/>
  <c r="DU42" i="44" s="1"/>
  <c r="DU43" i="44" s="1"/>
  <c r="DU44" i="44" s="1"/>
  <c r="DU45" i="44" s="1"/>
  <c r="DU46" i="44" s="1"/>
  <c r="DU47" i="44" s="1"/>
  <c r="DU48" i="44" s="1"/>
  <c r="DU49" i="44" s="1"/>
  <c r="DU50" i="44" s="1"/>
  <c r="DU51" i="44" s="1"/>
  <c r="DU52" i="44" s="1"/>
  <c r="DU53" i="44" s="1"/>
  <c r="DU54" i="44" s="1"/>
  <c r="DU55" i="44" s="1"/>
  <c r="DU56" i="44" s="1"/>
  <c r="DU57" i="44" s="1"/>
  <c r="DU58" i="44" s="1"/>
  <c r="DU59" i="44" s="1"/>
  <c r="DU60" i="44" s="1"/>
  <c r="DU61" i="44" s="1"/>
  <c r="DU62" i="44" s="1"/>
  <c r="DU63" i="44" s="1"/>
  <c r="DU64" i="44" s="1"/>
  <c r="DU65" i="44" s="1"/>
  <c r="DU66" i="44" s="1"/>
  <c r="DU67" i="44" s="1"/>
  <c r="DU68" i="44" s="1"/>
  <c r="DU69" i="44" s="1"/>
  <c r="DU70" i="44" s="1"/>
  <c r="DU71" i="44" s="1"/>
  <c r="DU72" i="44" s="1"/>
  <c r="DU73" i="44" s="1"/>
  <c r="DU74" i="44" s="1"/>
  <c r="DU75" i="44" s="1"/>
  <c r="DU76" i="44" s="1"/>
  <c r="DU77" i="44" s="1"/>
  <c r="DU78" i="44" s="1"/>
  <c r="DU79" i="44" s="1"/>
  <c r="DU80" i="44" s="1"/>
  <c r="DU81" i="44" s="1"/>
  <c r="DU82" i="44" s="1"/>
  <c r="DU83" i="44" s="1"/>
  <c r="DU84" i="44" s="1"/>
  <c r="DT5" i="44"/>
  <c r="DT6" i="44" s="1"/>
  <c r="DT7" i="44" s="1"/>
  <c r="DT8" i="44" s="1"/>
  <c r="DT9" i="44" s="1"/>
  <c r="DT10" i="44" s="1"/>
  <c r="DT11" i="44" s="1"/>
  <c r="DT12" i="44" s="1"/>
  <c r="DT13" i="44" s="1"/>
  <c r="DT14" i="44" s="1"/>
  <c r="DT15" i="44" s="1"/>
  <c r="DT16" i="44" s="1"/>
  <c r="DT17" i="44" s="1"/>
  <c r="DT18" i="44" s="1"/>
  <c r="DT19" i="44" s="1"/>
  <c r="DT20" i="44" s="1"/>
  <c r="DT21" i="44" s="1"/>
  <c r="DT22" i="44" s="1"/>
  <c r="DT23" i="44" s="1"/>
  <c r="DT24" i="44" s="1"/>
  <c r="DT25" i="44" s="1"/>
  <c r="DT26" i="44" s="1"/>
  <c r="DT27" i="44" s="1"/>
  <c r="DT28" i="44" s="1"/>
  <c r="DT29" i="44" s="1"/>
  <c r="DT30" i="44" s="1"/>
  <c r="DT31" i="44" s="1"/>
  <c r="DT32" i="44" s="1"/>
  <c r="DT33" i="44" s="1"/>
  <c r="DT34" i="44" s="1"/>
  <c r="DT35" i="44" s="1"/>
  <c r="DT36" i="44" s="1"/>
  <c r="DT37" i="44" s="1"/>
  <c r="DT38" i="44" s="1"/>
  <c r="DT39" i="44" s="1"/>
  <c r="DT40" i="44" s="1"/>
  <c r="DT41" i="44" s="1"/>
  <c r="DT42" i="44" s="1"/>
  <c r="DT43" i="44" s="1"/>
  <c r="DT44" i="44" s="1"/>
  <c r="DT45" i="44" s="1"/>
  <c r="DT46" i="44" s="1"/>
  <c r="DT47" i="44" s="1"/>
  <c r="DT48" i="44" s="1"/>
  <c r="DT49" i="44" s="1"/>
  <c r="DT50" i="44" s="1"/>
  <c r="DT51" i="44" s="1"/>
  <c r="DT52" i="44" s="1"/>
  <c r="DT53" i="44" s="1"/>
  <c r="DT54" i="44" s="1"/>
  <c r="DT55" i="44" s="1"/>
  <c r="DT56" i="44" s="1"/>
  <c r="DT57" i="44" s="1"/>
  <c r="DT58" i="44" s="1"/>
  <c r="DT59" i="44" s="1"/>
  <c r="DT60" i="44" s="1"/>
  <c r="DT61" i="44" s="1"/>
  <c r="DT62" i="44" s="1"/>
  <c r="DT63" i="44" s="1"/>
  <c r="DT64" i="44" s="1"/>
  <c r="DT65" i="44" s="1"/>
  <c r="DT66" i="44" s="1"/>
  <c r="DT67" i="44" s="1"/>
  <c r="DT68" i="44" s="1"/>
  <c r="DT69" i="44" s="1"/>
  <c r="DT70" i="44" s="1"/>
  <c r="DT71" i="44" s="1"/>
  <c r="DT72" i="44" s="1"/>
  <c r="DT73" i="44" s="1"/>
  <c r="DT74" i="44" s="1"/>
  <c r="DT75" i="44" s="1"/>
  <c r="DT76" i="44" s="1"/>
  <c r="DT77" i="44" s="1"/>
  <c r="DT78" i="44" s="1"/>
  <c r="DT79" i="44" s="1"/>
  <c r="DT80" i="44" s="1"/>
  <c r="DT81" i="44" s="1"/>
  <c r="DT82" i="44" s="1"/>
  <c r="DT83" i="44" s="1"/>
  <c r="DT84" i="44" s="1"/>
  <c r="DS5" i="44"/>
  <c r="DS6" i="44" s="1"/>
  <c r="DS7" i="44" s="1"/>
  <c r="DS8" i="44" s="1"/>
  <c r="DS9" i="44" s="1"/>
  <c r="DS10" i="44" s="1"/>
  <c r="DS11" i="44" s="1"/>
  <c r="DS12" i="44" s="1"/>
  <c r="DS13" i="44" s="1"/>
  <c r="DS14" i="44" s="1"/>
  <c r="DS15" i="44" s="1"/>
  <c r="DS16" i="44" s="1"/>
  <c r="DS17" i="44" s="1"/>
  <c r="DS18" i="44" s="1"/>
  <c r="DS19" i="44" s="1"/>
  <c r="DS20" i="44" s="1"/>
  <c r="DS21" i="44" s="1"/>
  <c r="DS22" i="44" s="1"/>
  <c r="DS23" i="44" s="1"/>
  <c r="DS24" i="44" s="1"/>
  <c r="DS25" i="44" s="1"/>
  <c r="DS26" i="44" s="1"/>
  <c r="DS27" i="44" s="1"/>
  <c r="DS28" i="44" s="1"/>
  <c r="DS29" i="44" s="1"/>
  <c r="DS30" i="44" s="1"/>
  <c r="DS31" i="44" s="1"/>
  <c r="DS32" i="44" s="1"/>
  <c r="DS33" i="44" s="1"/>
  <c r="DS34" i="44" s="1"/>
  <c r="DS35" i="44" s="1"/>
  <c r="DS36" i="44" s="1"/>
  <c r="DS37" i="44" s="1"/>
  <c r="DS38" i="44" s="1"/>
  <c r="DS39" i="44" s="1"/>
  <c r="DS40" i="44" s="1"/>
  <c r="DS41" i="44" s="1"/>
  <c r="DS42" i="44" s="1"/>
  <c r="DS43" i="44" s="1"/>
  <c r="DS44" i="44" s="1"/>
  <c r="DS45" i="44" s="1"/>
  <c r="DS46" i="44" s="1"/>
  <c r="DS47" i="44" s="1"/>
  <c r="DS48" i="44" s="1"/>
  <c r="DS49" i="44" s="1"/>
  <c r="DS50" i="44" s="1"/>
  <c r="DS51" i="44" s="1"/>
  <c r="DS52" i="44" s="1"/>
  <c r="DS53" i="44" s="1"/>
  <c r="DS54" i="44" s="1"/>
  <c r="DS55" i="44" s="1"/>
  <c r="DS56" i="44" s="1"/>
  <c r="DS57" i="44" s="1"/>
  <c r="DS58" i="44" s="1"/>
  <c r="DS59" i="44" s="1"/>
  <c r="DS60" i="44" s="1"/>
  <c r="DS61" i="44" s="1"/>
  <c r="DS62" i="44" s="1"/>
  <c r="DS63" i="44" s="1"/>
  <c r="DS64" i="44" s="1"/>
  <c r="DS65" i="44" s="1"/>
  <c r="DS66" i="44" s="1"/>
  <c r="DS67" i="44" s="1"/>
  <c r="DS68" i="44" s="1"/>
  <c r="DS69" i="44" s="1"/>
  <c r="DS70" i="44" s="1"/>
  <c r="DS71" i="44" s="1"/>
  <c r="DS72" i="44" s="1"/>
  <c r="DS73" i="44" s="1"/>
  <c r="DS74" i="44" s="1"/>
  <c r="DS75" i="44" s="1"/>
  <c r="DS76" i="44" s="1"/>
  <c r="DS77" i="44" s="1"/>
  <c r="DS78" i="44" s="1"/>
  <c r="DS79" i="44" s="1"/>
  <c r="DS80" i="44" s="1"/>
  <c r="DS81" i="44" s="1"/>
  <c r="DS82" i="44" s="1"/>
  <c r="DS83" i="44" s="1"/>
  <c r="DS84" i="44" s="1"/>
  <c r="DR5" i="44"/>
  <c r="DR6" i="44" s="1"/>
  <c r="DR7" i="44" s="1"/>
  <c r="DR8" i="44" s="1"/>
  <c r="DR9" i="44" s="1"/>
  <c r="DR10" i="44" s="1"/>
  <c r="DR11" i="44" s="1"/>
  <c r="DR12" i="44" s="1"/>
  <c r="DR13" i="44" s="1"/>
  <c r="DR14" i="44" s="1"/>
  <c r="DR15" i="44" s="1"/>
  <c r="DR16" i="44" s="1"/>
  <c r="DR17" i="44" s="1"/>
  <c r="DR18" i="44" s="1"/>
  <c r="DR19" i="44" s="1"/>
  <c r="DR20" i="44" s="1"/>
  <c r="DR21" i="44" s="1"/>
  <c r="DR22" i="44" s="1"/>
  <c r="DR23" i="44" s="1"/>
  <c r="DR24" i="44" s="1"/>
  <c r="DR25" i="44" s="1"/>
  <c r="DR26" i="44" s="1"/>
  <c r="DR27" i="44" s="1"/>
  <c r="DR28" i="44" s="1"/>
  <c r="DR29" i="44" s="1"/>
  <c r="DR30" i="44" s="1"/>
  <c r="DR31" i="44" s="1"/>
  <c r="DR32" i="44" s="1"/>
  <c r="DR33" i="44" s="1"/>
  <c r="DR34" i="44" s="1"/>
  <c r="DR35" i="44" s="1"/>
  <c r="DR36" i="44" s="1"/>
  <c r="DR37" i="44" s="1"/>
  <c r="DR38" i="44" s="1"/>
  <c r="DR39" i="44" s="1"/>
  <c r="DR40" i="44" s="1"/>
  <c r="DR41" i="44" s="1"/>
  <c r="DR42" i="44" s="1"/>
  <c r="DR43" i="44" s="1"/>
  <c r="DR44" i="44" s="1"/>
  <c r="DR45" i="44" s="1"/>
  <c r="DR46" i="44" s="1"/>
  <c r="DR47" i="44" s="1"/>
  <c r="DR48" i="44" s="1"/>
  <c r="DR49" i="44" s="1"/>
  <c r="DR50" i="44" s="1"/>
  <c r="DR51" i="44" s="1"/>
  <c r="DR52" i="44" s="1"/>
  <c r="DR53" i="44" s="1"/>
  <c r="DR54" i="44" s="1"/>
  <c r="DR55" i="44" s="1"/>
  <c r="DR56" i="44" s="1"/>
  <c r="DR57" i="44" s="1"/>
  <c r="DR58" i="44" s="1"/>
  <c r="DR59" i="44" s="1"/>
  <c r="DR60" i="44" s="1"/>
  <c r="DR61" i="44" s="1"/>
  <c r="DR62" i="44" s="1"/>
  <c r="DR63" i="44" s="1"/>
  <c r="DR64" i="44" s="1"/>
  <c r="DR65" i="44" s="1"/>
  <c r="DR66" i="44" s="1"/>
  <c r="DR67" i="44" s="1"/>
  <c r="DR68" i="44" s="1"/>
  <c r="DR69" i="44" s="1"/>
  <c r="DR70" i="44" s="1"/>
  <c r="DR71" i="44" s="1"/>
  <c r="DR72" i="44" s="1"/>
  <c r="DR73" i="44" s="1"/>
  <c r="DR74" i="44" s="1"/>
  <c r="DR75" i="44" s="1"/>
  <c r="DR76" i="44" s="1"/>
  <c r="DR77" i="44" s="1"/>
  <c r="DR78" i="44" s="1"/>
  <c r="DR79" i="44" s="1"/>
  <c r="DR80" i="44" s="1"/>
  <c r="DR81" i="44" s="1"/>
  <c r="DR82" i="44" s="1"/>
  <c r="DR83" i="44" s="1"/>
  <c r="DR84" i="44" s="1"/>
  <c r="DQ5" i="44"/>
  <c r="DQ6" i="44" s="1"/>
  <c r="DQ7" i="44" s="1"/>
  <c r="DQ8" i="44" s="1"/>
  <c r="DQ9" i="44" s="1"/>
  <c r="DQ10" i="44" s="1"/>
  <c r="DQ11" i="44" s="1"/>
  <c r="DQ12" i="44" s="1"/>
  <c r="DQ13" i="44" s="1"/>
  <c r="DQ14" i="44" s="1"/>
  <c r="DQ15" i="44" s="1"/>
  <c r="DQ16" i="44" s="1"/>
  <c r="DQ17" i="44" s="1"/>
  <c r="DQ18" i="44" s="1"/>
  <c r="DQ19" i="44" s="1"/>
  <c r="DQ20" i="44" s="1"/>
  <c r="DQ21" i="44" s="1"/>
  <c r="DQ22" i="44" s="1"/>
  <c r="DQ23" i="44" s="1"/>
  <c r="DQ24" i="44" s="1"/>
  <c r="DQ25" i="44" s="1"/>
  <c r="DQ26" i="44" s="1"/>
  <c r="DQ27" i="44" s="1"/>
  <c r="DQ28" i="44" s="1"/>
  <c r="DQ29" i="44" s="1"/>
  <c r="DQ30" i="44" s="1"/>
  <c r="DQ31" i="44" s="1"/>
  <c r="DQ32" i="44" s="1"/>
  <c r="DQ33" i="44" s="1"/>
  <c r="DQ34" i="44" s="1"/>
  <c r="DQ35" i="44" s="1"/>
  <c r="DQ36" i="44" s="1"/>
  <c r="DQ37" i="44" s="1"/>
  <c r="DQ38" i="44" s="1"/>
  <c r="DQ39" i="44" s="1"/>
  <c r="DQ40" i="44" s="1"/>
  <c r="DQ41" i="44" s="1"/>
  <c r="DQ42" i="44" s="1"/>
  <c r="DQ43" i="44" s="1"/>
  <c r="DQ44" i="44" s="1"/>
  <c r="DQ45" i="44" s="1"/>
  <c r="DQ46" i="44" s="1"/>
  <c r="DQ47" i="44" s="1"/>
  <c r="DQ48" i="44" s="1"/>
  <c r="DQ49" i="44" s="1"/>
  <c r="DQ50" i="44" s="1"/>
  <c r="DQ51" i="44" s="1"/>
  <c r="DQ52" i="44" s="1"/>
  <c r="DQ53" i="44" s="1"/>
  <c r="DQ54" i="44" s="1"/>
  <c r="DQ55" i="44" s="1"/>
  <c r="DQ56" i="44" s="1"/>
  <c r="DQ57" i="44" s="1"/>
  <c r="DQ58" i="44" s="1"/>
  <c r="DQ59" i="44" s="1"/>
  <c r="DQ60" i="44" s="1"/>
  <c r="DQ61" i="44" s="1"/>
  <c r="DQ62" i="44" s="1"/>
  <c r="DQ63" i="44" s="1"/>
  <c r="DQ64" i="44" s="1"/>
  <c r="DQ65" i="44" s="1"/>
  <c r="DQ66" i="44" s="1"/>
  <c r="DQ67" i="44" s="1"/>
  <c r="DQ68" i="44" s="1"/>
  <c r="DQ69" i="44" s="1"/>
  <c r="DQ70" i="44" s="1"/>
  <c r="DQ71" i="44" s="1"/>
  <c r="DQ72" i="44" s="1"/>
  <c r="DQ73" i="44" s="1"/>
  <c r="DQ74" i="44" s="1"/>
  <c r="DQ75" i="44" s="1"/>
  <c r="DQ76" i="44" s="1"/>
  <c r="DQ77" i="44" s="1"/>
  <c r="DQ78" i="44" s="1"/>
  <c r="DQ79" i="44" s="1"/>
  <c r="DQ80" i="44" s="1"/>
  <c r="DQ81" i="44" s="1"/>
  <c r="DQ82" i="44" s="1"/>
  <c r="DQ83" i="44" s="1"/>
  <c r="DQ84" i="44" s="1"/>
  <c r="DP5" i="44"/>
  <c r="DP6" i="44" s="1"/>
  <c r="DP7" i="44" s="1"/>
  <c r="DP8" i="44" s="1"/>
  <c r="DP9" i="44" s="1"/>
  <c r="DP10" i="44" s="1"/>
  <c r="DP11" i="44" s="1"/>
  <c r="DP12" i="44" s="1"/>
  <c r="DP13" i="44" s="1"/>
  <c r="DP14" i="44" s="1"/>
  <c r="DP15" i="44" s="1"/>
  <c r="DP16" i="44" s="1"/>
  <c r="DP17" i="44" s="1"/>
  <c r="DP18" i="44" s="1"/>
  <c r="DP19" i="44" s="1"/>
  <c r="DP20" i="44" s="1"/>
  <c r="DP21" i="44" s="1"/>
  <c r="DP22" i="44" s="1"/>
  <c r="DP23" i="44" s="1"/>
  <c r="DP24" i="44" s="1"/>
  <c r="DP25" i="44" s="1"/>
  <c r="DP26" i="44" s="1"/>
  <c r="DP27" i="44" s="1"/>
  <c r="DP28" i="44" s="1"/>
  <c r="DP29" i="44" s="1"/>
  <c r="DP30" i="44" s="1"/>
  <c r="DP31" i="44" s="1"/>
  <c r="DP32" i="44" s="1"/>
  <c r="DP33" i="44" s="1"/>
  <c r="DP34" i="44" s="1"/>
  <c r="DP35" i="44" s="1"/>
  <c r="DP36" i="44" s="1"/>
  <c r="DP37" i="44" s="1"/>
  <c r="DP38" i="44" s="1"/>
  <c r="DP39" i="44" s="1"/>
  <c r="DP40" i="44" s="1"/>
  <c r="DP41" i="44" s="1"/>
  <c r="DP42" i="44" s="1"/>
  <c r="DP43" i="44" s="1"/>
  <c r="DP44" i="44" s="1"/>
  <c r="DP45" i="44" s="1"/>
  <c r="DP46" i="44" s="1"/>
  <c r="DP47" i="44" s="1"/>
  <c r="DP48" i="44" s="1"/>
  <c r="DP49" i="44" s="1"/>
  <c r="DP50" i="44" s="1"/>
  <c r="DP51" i="44" s="1"/>
  <c r="DP52" i="44" s="1"/>
  <c r="DP53" i="44" s="1"/>
  <c r="DP54" i="44" s="1"/>
  <c r="DP55" i="44" s="1"/>
  <c r="DP56" i="44" s="1"/>
  <c r="DP57" i="44" s="1"/>
  <c r="DP58" i="44" s="1"/>
  <c r="DP59" i="44" s="1"/>
  <c r="DP60" i="44" s="1"/>
  <c r="DP61" i="44" s="1"/>
  <c r="DP62" i="44" s="1"/>
  <c r="DP63" i="44" s="1"/>
  <c r="DP64" i="44" s="1"/>
  <c r="DP65" i="44" s="1"/>
  <c r="DP66" i="44" s="1"/>
  <c r="DP67" i="44" s="1"/>
  <c r="DP68" i="44" s="1"/>
  <c r="DP69" i="44" s="1"/>
  <c r="DP70" i="44" s="1"/>
  <c r="DP71" i="44" s="1"/>
  <c r="DP72" i="44" s="1"/>
  <c r="DP73" i="44" s="1"/>
  <c r="DP74" i="44" s="1"/>
  <c r="DP75" i="44" s="1"/>
  <c r="DP76" i="44" s="1"/>
  <c r="DP77" i="44" s="1"/>
  <c r="DP78" i="44" s="1"/>
  <c r="DP79" i="44" s="1"/>
  <c r="DP80" i="44" s="1"/>
  <c r="DP81" i="44" s="1"/>
  <c r="DP82" i="44" s="1"/>
  <c r="DP83" i="44" s="1"/>
  <c r="DP84" i="44" s="1"/>
  <c r="DO5" i="44"/>
  <c r="DO6" i="44" s="1"/>
  <c r="DO7" i="44" s="1"/>
  <c r="DO8" i="44" s="1"/>
  <c r="DO9" i="44" s="1"/>
  <c r="DO10" i="44" s="1"/>
  <c r="DO11" i="44" s="1"/>
  <c r="DO12" i="44" s="1"/>
  <c r="DO13" i="44" s="1"/>
  <c r="DO14" i="44" s="1"/>
  <c r="DO15" i="44" s="1"/>
  <c r="DO16" i="44" s="1"/>
  <c r="DO17" i="44" s="1"/>
  <c r="DO18" i="44" s="1"/>
  <c r="DO19" i="44" s="1"/>
  <c r="DO20" i="44" s="1"/>
  <c r="DO21" i="44" s="1"/>
  <c r="DO22" i="44" s="1"/>
  <c r="DO23" i="44" s="1"/>
  <c r="DO24" i="44" s="1"/>
  <c r="DO25" i="44" s="1"/>
  <c r="DO26" i="44" s="1"/>
  <c r="DO27" i="44" s="1"/>
  <c r="DO28" i="44" s="1"/>
  <c r="DO29" i="44" s="1"/>
  <c r="DO30" i="44" s="1"/>
  <c r="DO31" i="44" s="1"/>
  <c r="DO32" i="44" s="1"/>
  <c r="DO33" i="44" s="1"/>
  <c r="DO34" i="44" s="1"/>
  <c r="DO35" i="44" s="1"/>
  <c r="DO36" i="44" s="1"/>
  <c r="DO37" i="44" s="1"/>
  <c r="DO38" i="44" s="1"/>
  <c r="DO39" i="44" s="1"/>
  <c r="DO40" i="44" s="1"/>
  <c r="DO41" i="44" s="1"/>
  <c r="DO42" i="44" s="1"/>
  <c r="DO43" i="44" s="1"/>
  <c r="DO44" i="44" s="1"/>
  <c r="DO45" i="44" s="1"/>
  <c r="DO46" i="44" s="1"/>
  <c r="DO47" i="44" s="1"/>
  <c r="DO48" i="44" s="1"/>
  <c r="DO49" i="44" s="1"/>
  <c r="DO50" i="44" s="1"/>
  <c r="DO51" i="44" s="1"/>
  <c r="DO52" i="44" s="1"/>
  <c r="DO53" i="44" s="1"/>
  <c r="DO54" i="44" s="1"/>
  <c r="DO55" i="44" s="1"/>
  <c r="DO56" i="44" s="1"/>
  <c r="DO57" i="44" s="1"/>
  <c r="DO58" i="44" s="1"/>
  <c r="DO59" i="44" s="1"/>
  <c r="DO60" i="44" s="1"/>
  <c r="DO61" i="44" s="1"/>
  <c r="DO62" i="44" s="1"/>
  <c r="DO63" i="44" s="1"/>
  <c r="DO64" i="44" s="1"/>
  <c r="DO65" i="44" s="1"/>
  <c r="DO66" i="44" s="1"/>
  <c r="DO67" i="44" s="1"/>
  <c r="DO68" i="44" s="1"/>
  <c r="DO69" i="44" s="1"/>
  <c r="DO70" i="44" s="1"/>
  <c r="DO71" i="44" s="1"/>
  <c r="DO72" i="44" s="1"/>
  <c r="DO73" i="44" s="1"/>
  <c r="DO74" i="44" s="1"/>
  <c r="DO75" i="44" s="1"/>
  <c r="DO76" i="44" s="1"/>
  <c r="DO77" i="44" s="1"/>
  <c r="DO78" i="44" s="1"/>
  <c r="DO79" i="44" s="1"/>
  <c r="DO80" i="44" s="1"/>
  <c r="DO81" i="44" s="1"/>
  <c r="DO82" i="44" s="1"/>
  <c r="DO83" i="44" s="1"/>
  <c r="DO84" i="44" s="1"/>
  <c r="DN5" i="44"/>
  <c r="DN6" i="44" s="1"/>
  <c r="DN7" i="44" s="1"/>
  <c r="DN8" i="44" s="1"/>
  <c r="DN9" i="44" s="1"/>
  <c r="DN10" i="44" s="1"/>
  <c r="DN11" i="44" s="1"/>
  <c r="DN12" i="44" s="1"/>
  <c r="DN13" i="44" s="1"/>
  <c r="DN14" i="44" s="1"/>
  <c r="DN15" i="44" s="1"/>
  <c r="DN16" i="44" s="1"/>
  <c r="DN17" i="44" s="1"/>
  <c r="DN18" i="44" s="1"/>
  <c r="DN19" i="44" s="1"/>
  <c r="DN20" i="44" s="1"/>
  <c r="DN21" i="44" s="1"/>
  <c r="DN22" i="44" s="1"/>
  <c r="DN23" i="44" s="1"/>
  <c r="DN24" i="44" s="1"/>
  <c r="DN25" i="44" s="1"/>
  <c r="DN26" i="44" s="1"/>
  <c r="DN27" i="44" s="1"/>
  <c r="DN28" i="44" s="1"/>
  <c r="DN29" i="44" s="1"/>
  <c r="DN30" i="44" s="1"/>
  <c r="DN31" i="44" s="1"/>
  <c r="DN32" i="44" s="1"/>
  <c r="DN33" i="44" s="1"/>
  <c r="DN34" i="44" s="1"/>
  <c r="DN35" i="44" s="1"/>
  <c r="DN36" i="44" s="1"/>
  <c r="DN37" i="44" s="1"/>
  <c r="DN38" i="44" s="1"/>
  <c r="DN39" i="44" s="1"/>
  <c r="DN40" i="44" s="1"/>
  <c r="DN41" i="44" s="1"/>
  <c r="DN42" i="44" s="1"/>
  <c r="DN43" i="44" s="1"/>
  <c r="DN44" i="44" s="1"/>
  <c r="DN45" i="44" s="1"/>
  <c r="DN46" i="44" s="1"/>
  <c r="DN47" i="44" s="1"/>
  <c r="DN48" i="44" s="1"/>
  <c r="DN49" i="44" s="1"/>
  <c r="DN50" i="44" s="1"/>
  <c r="DN51" i="44" s="1"/>
  <c r="DN52" i="44" s="1"/>
  <c r="DN53" i="44" s="1"/>
  <c r="DN54" i="44" s="1"/>
  <c r="DN55" i="44" s="1"/>
  <c r="DN56" i="44" s="1"/>
  <c r="DN57" i="44" s="1"/>
  <c r="DN58" i="44" s="1"/>
  <c r="DN59" i="44" s="1"/>
  <c r="DN60" i="44" s="1"/>
  <c r="DN61" i="44" s="1"/>
  <c r="DN62" i="44" s="1"/>
  <c r="DN63" i="44" s="1"/>
  <c r="DN64" i="44" s="1"/>
  <c r="DN65" i="44" s="1"/>
  <c r="DN66" i="44" s="1"/>
  <c r="DN67" i="44" s="1"/>
  <c r="DN68" i="44" s="1"/>
  <c r="DN69" i="44" s="1"/>
  <c r="DN70" i="44" s="1"/>
  <c r="DN71" i="44" s="1"/>
  <c r="DN72" i="44" s="1"/>
  <c r="DN73" i="44" s="1"/>
  <c r="DN74" i="44" s="1"/>
  <c r="DN75" i="44" s="1"/>
  <c r="DN76" i="44" s="1"/>
  <c r="DN77" i="44" s="1"/>
  <c r="DN78" i="44" s="1"/>
  <c r="DN79" i="44" s="1"/>
  <c r="DN80" i="44" s="1"/>
  <c r="DN81" i="44" s="1"/>
  <c r="DN82" i="44" s="1"/>
  <c r="DN83" i="44" s="1"/>
  <c r="DN84" i="44" s="1"/>
  <c r="DM5" i="44"/>
  <c r="DM6" i="44" s="1"/>
  <c r="DM7" i="44" s="1"/>
  <c r="DM8" i="44" s="1"/>
  <c r="DM9" i="44" s="1"/>
  <c r="DM10" i="44" s="1"/>
  <c r="DM11" i="44" s="1"/>
  <c r="DM12" i="44" s="1"/>
  <c r="DM13" i="44" s="1"/>
  <c r="DM14" i="44" s="1"/>
  <c r="DM15" i="44" s="1"/>
  <c r="DM16" i="44" s="1"/>
  <c r="DM17" i="44" s="1"/>
  <c r="DM18" i="44" s="1"/>
  <c r="DM19" i="44" s="1"/>
  <c r="DM20" i="44" s="1"/>
  <c r="DM21" i="44" s="1"/>
  <c r="DM22" i="44" s="1"/>
  <c r="DM23" i="44" s="1"/>
  <c r="DM24" i="44" s="1"/>
  <c r="DM25" i="44" s="1"/>
  <c r="DM26" i="44" s="1"/>
  <c r="DM27" i="44" s="1"/>
  <c r="DM28" i="44" s="1"/>
  <c r="DM29" i="44" s="1"/>
  <c r="DM30" i="44" s="1"/>
  <c r="DM31" i="44" s="1"/>
  <c r="DM32" i="44" s="1"/>
  <c r="DM33" i="44" s="1"/>
  <c r="DM34" i="44" s="1"/>
  <c r="DM35" i="44" s="1"/>
  <c r="DM36" i="44" s="1"/>
  <c r="DM37" i="44" s="1"/>
  <c r="DM38" i="44" s="1"/>
  <c r="DM39" i="44" s="1"/>
  <c r="DM40" i="44" s="1"/>
  <c r="DM41" i="44" s="1"/>
  <c r="DM42" i="44" s="1"/>
  <c r="DM43" i="44" s="1"/>
  <c r="DM44" i="44" s="1"/>
  <c r="DM45" i="44" s="1"/>
  <c r="DM46" i="44" s="1"/>
  <c r="DM47" i="44" s="1"/>
  <c r="DM48" i="44" s="1"/>
  <c r="DM49" i="44" s="1"/>
  <c r="DM50" i="44" s="1"/>
  <c r="DM51" i="44" s="1"/>
  <c r="DM52" i="44" s="1"/>
  <c r="DM53" i="44" s="1"/>
  <c r="DM54" i="44" s="1"/>
  <c r="DM55" i="44" s="1"/>
  <c r="DM56" i="44" s="1"/>
  <c r="DM57" i="44" s="1"/>
  <c r="DM58" i="44" s="1"/>
  <c r="DM59" i="44" s="1"/>
  <c r="DM60" i="44" s="1"/>
  <c r="DM61" i="44" s="1"/>
  <c r="DM62" i="44" s="1"/>
  <c r="DM63" i="44" s="1"/>
  <c r="DM64" i="44" s="1"/>
  <c r="DM65" i="44" s="1"/>
  <c r="DM66" i="44" s="1"/>
  <c r="DM67" i="44" s="1"/>
  <c r="DM68" i="44" s="1"/>
  <c r="DM69" i="44" s="1"/>
  <c r="DM70" i="44" s="1"/>
  <c r="DM71" i="44" s="1"/>
  <c r="DM72" i="44" s="1"/>
  <c r="DM73" i="44" s="1"/>
  <c r="DM74" i="44" s="1"/>
  <c r="DM75" i="44" s="1"/>
  <c r="DM76" i="44" s="1"/>
  <c r="DM77" i="44" s="1"/>
  <c r="DM78" i="44" s="1"/>
  <c r="DM79" i="44" s="1"/>
  <c r="DM80" i="44" s="1"/>
  <c r="DM81" i="44" s="1"/>
  <c r="DM82" i="44" s="1"/>
  <c r="DM83" i="44" s="1"/>
  <c r="DM84" i="44" s="1"/>
  <c r="DL5" i="44"/>
  <c r="DL6" i="44" s="1"/>
  <c r="DL7" i="44" s="1"/>
  <c r="DL8" i="44" s="1"/>
  <c r="DL9" i="44" s="1"/>
  <c r="DL10" i="44" s="1"/>
  <c r="DL11" i="44" s="1"/>
  <c r="DL12" i="44" s="1"/>
  <c r="DL13" i="44" s="1"/>
  <c r="DL14" i="44" s="1"/>
  <c r="DL15" i="44" s="1"/>
  <c r="DL16" i="44" s="1"/>
  <c r="DL17" i="44" s="1"/>
  <c r="DL18" i="44" s="1"/>
  <c r="DL19" i="44" s="1"/>
  <c r="DL20" i="44" s="1"/>
  <c r="DL21" i="44" s="1"/>
  <c r="DL22" i="44" s="1"/>
  <c r="DL23" i="44" s="1"/>
  <c r="DL24" i="44" s="1"/>
  <c r="DL25" i="44" s="1"/>
  <c r="DL26" i="44" s="1"/>
  <c r="DL27" i="44" s="1"/>
  <c r="DL28" i="44" s="1"/>
  <c r="DL29" i="44" s="1"/>
  <c r="DL30" i="44" s="1"/>
  <c r="DL31" i="44" s="1"/>
  <c r="DL32" i="44" s="1"/>
  <c r="DL33" i="44" s="1"/>
  <c r="DL34" i="44" s="1"/>
  <c r="DL35" i="44" s="1"/>
  <c r="DL36" i="44" s="1"/>
  <c r="DL37" i="44" s="1"/>
  <c r="DL38" i="44" s="1"/>
  <c r="DL39" i="44" s="1"/>
  <c r="DL40" i="44" s="1"/>
  <c r="DL41" i="44" s="1"/>
  <c r="DL42" i="44" s="1"/>
  <c r="DL43" i="44" s="1"/>
  <c r="DL44" i="44" s="1"/>
  <c r="DL45" i="44" s="1"/>
  <c r="DL46" i="44" s="1"/>
  <c r="DL47" i="44" s="1"/>
  <c r="DL48" i="44" s="1"/>
  <c r="DL49" i="44" s="1"/>
  <c r="DL50" i="44" s="1"/>
  <c r="DL51" i="44" s="1"/>
  <c r="DL52" i="44" s="1"/>
  <c r="DL53" i="44" s="1"/>
  <c r="DL54" i="44" s="1"/>
  <c r="DL55" i="44" s="1"/>
  <c r="DL56" i="44" s="1"/>
  <c r="DL57" i="44" s="1"/>
  <c r="DL58" i="44" s="1"/>
  <c r="DL59" i="44" s="1"/>
  <c r="DL60" i="44" s="1"/>
  <c r="DL61" i="44" s="1"/>
  <c r="DL62" i="44" s="1"/>
  <c r="DL63" i="44" s="1"/>
  <c r="DL64" i="44" s="1"/>
  <c r="DL65" i="44" s="1"/>
  <c r="DL66" i="44" s="1"/>
  <c r="DL67" i="44" s="1"/>
  <c r="DL68" i="44" s="1"/>
  <c r="DL69" i="44" s="1"/>
  <c r="DL70" i="44" s="1"/>
  <c r="DL71" i="44" s="1"/>
  <c r="DL72" i="44" s="1"/>
  <c r="DL73" i="44" s="1"/>
  <c r="DL74" i="44" s="1"/>
  <c r="DL75" i="44" s="1"/>
  <c r="DL76" i="44" s="1"/>
  <c r="DL77" i="44" s="1"/>
  <c r="DL78" i="44" s="1"/>
  <c r="DL79" i="44" s="1"/>
  <c r="DL80" i="44" s="1"/>
  <c r="DL81" i="44" s="1"/>
  <c r="DL82" i="44" s="1"/>
  <c r="DL83" i="44" s="1"/>
  <c r="DL84" i="44" s="1"/>
  <c r="DK5" i="44"/>
  <c r="DK6" i="44" s="1"/>
  <c r="DK7" i="44" s="1"/>
  <c r="DK8" i="44" s="1"/>
  <c r="DK9" i="44" s="1"/>
  <c r="DK10" i="44" s="1"/>
  <c r="DK11" i="44" s="1"/>
  <c r="DK12" i="44" s="1"/>
  <c r="DK13" i="44" s="1"/>
  <c r="DK14" i="44" s="1"/>
  <c r="DK15" i="44" s="1"/>
  <c r="DK16" i="44" s="1"/>
  <c r="DK17" i="44" s="1"/>
  <c r="DK18" i="44" s="1"/>
  <c r="DK19" i="44" s="1"/>
  <c r="DK20" i="44" s="1"/>
  <c r="DK21" i="44" s="1"/>
  <c r="DK22" i="44" s="1"/>
  <c r="DK23" i="44" s="1"/>
  <c r="DK24" i="44" s="1"/>
  <c r="DK25" i="44" s="1"/>
  <c r="DK26" i="44" s="1"/>
  <c r="DK27" i="44" s="1"/>
  <c r="DK28" i="44" s="1"/>
  <c r="DK29" i="44" s="1"/>
  <c r="DK30" i="44" s="1"/>
  <c r="DK31" i="44" s="1"/>
  <c r="DK32" i="44" s="1"/>
  <c r="DK33" i="44" s="1"/>
  <c r="DK34" i="44" s="1"/>
  <c r="DK35" i="44" s="1"/>
  <c r="DK36" i="44" s="1"/>
  <c r="DK37" i="44" s="1"/>
  <c r="DK38" i="44" s="1"/>
  <c r="DK39" i="44" s="1"/>
  <c r="DK40" i="44" s="1"/>
  <c r="DK41" i="44" s="1"/>
  <c r="DK42" i="44" s="1"/>
  <c r="DK43" i="44" s="1"/>
  <c r="DK44" i="44" s="1"/>
  <c r="DK45" i="44" s="1"/>
  <c r="DK46" i="44" s="1"/>
  <c r="DK47" i="44" s="1"/>
  <c r="DK48" i="44" s="1"/>
  <c r="DK49" i="44" s="1"/>
  <c r="DK50" i="44" s="1"/>
  <c r="DK51" i="44" s="1"/>
  <c r="DK52" i="44" s="1"/>
  <c r="DK53" i="44" s="1"/>
  <c r="DK54" i="44" s="1"/>
  <c r="DK55" i="44" s="1"/>
  <c r="DK56" i="44" s="1"/>
  <c r="DK57" i="44" s="1"/>
  <c r="DK58" i="44" s="1"/>
  <c r="DK59" i="44" s="1"/>
  <c r="DK60" i="44" s="1"/>
  <c r="DK61" i="44" s="1"/>
  <c r="DK62" i="44" s="1"/>
  <c r="DK63" i="44" s="1"/>
  <c r="DK64" i="44" s="1"/>
  <c r="DK65" i="44" s="1"/>
  <c r="DK66" i="44" s="1"/>
  <c r="DK67" i="44" s="1"/>
  <c r="DK68" i="44" s="1"/>
  <c r="DK69" i="44" s="1"/>
  <c r="DK70" i="44" s="1"/>
  <c r="DK71" i="44" s="1"/>
  <c r="DK72" i="44" s="1"/>
  <c r="DK73" i="44" s="1"/>
  <c r="DK74" i="44" s="1"/>
  <c r="DK75" i="44" s="1"/>
  <c r="DK76" i="44" s="1"/>
  <c r="DK77" i="44" s="1"/>
  <c r="DK78" i="44" s="1"/>
  <c r="DK79" i="44" s="1"/>
  <c r="DK80" i="44" s="1"/>
  <c r="DK81" i="44" s="1"/>
  <c r="DK82" i="44" s="1"/>
  <c r="DK83" i="44" s="1"/>
  <c r="DK84" i="44" s="1"/>
  <c r="DJ5" i="44"/>
  <c r="DJ6" i="44" s="1"/>
  <c r="DJ7" i="44" s="1"/>
  <c r="DJ8" i="44" s="1"/>
  <c r="DJ9" i="44" s="1"/>
  <c r="DJ10" i="44" s="1"/>
  <c r="DJ11" i="44" s="1"/>
  <c r="DJ12" i="44" s="1"/>
  <c r="DJ13" i="44" s="1"/>
  <c r="DJ14" i="44" s="1"/>
  <c r="DJ15" i="44" s="1"/>
  <c r="DJ16" i="44" s="1"/>
  <c r="DJ17" i="44" s="1"/>
  <c r="DJ18" i="44" s="1"/>
  <c r="DJ19" i="44" s="1"/>
  <c r="DJ20" i="44" s="1"/>
  <c r="DJ21" i="44" s="1"/>
  <c r="DJ22" i="44" s="1"/>
  <c r="DJ23" i="44" s="1"/>
  <c r="DJ24" i="44" s="1"/>
  <c r="DJ25" i="44" s="1"/>
  <c r="DJ26" i="44" s="1"/>
  <c r="DJ27" i="44" s="1"/>
  <c r="DJ28" i="44" s="1"/>
  <c r="DJ29" i="44" s="1"/>
  <c r="DJ30" i="44" s="1"/>
  <c r="DJ31" i="44" s="1"/>
  <c r="DJ32" i="44" s="1"/>
  <c r="DJ33" i="44" s="1"/>
  <c r="DJ34" i="44" s="1"/>
  <c r="DJ35" i="44" s="1"/>
  <c r="DJ36" i="44" s="1"/>
  <c r="DJ37" i="44" s="1"/>
  <c r="DJ38" i="44" s="1"/>
  <c r="DJ39" i="44" s="1"/>
  <c r="DJ40" i="44" s="1"/>
  <c r="DJ41" i="44" s="1"/>
  <c r="DJ42" i="44" s="1"/>
  <c r="DJ43" i="44" s="1"/>
  <c r="DJ44" i="44" s="1"/>
  <c r="DJ45" i="44" s="1"/>
  <c r="DJ46" i="44" s="1"/>
  <c r="DJ47" i="44" s="1"/>
  <c r="DJ48" i="44" s="1"/>
  <c r="DJ49" i="44" s="1"/>
  <c r="DJ50" i="44" s="1"/>
  <c r="DJ51" i="44" s="1"/>
  <c r="DJ52" i="44" s="1"/>
  <c r="DJ53" i="44" s="1"/>
  <c r="DJ54" i="44" s="1"/>
  <c r="DJ55" i="44" s="1"/>
  <c r="DJ56" i="44" s="1"/>
  <c r="DJ57" i="44" s="1"/>
  <c r="DJ58" i="44" s="1"/>
  <c r="DJ59" i="44" s="1"/>
  <c r="DJ60" i="44" s="1"/>
  <c r="DJ61" i="44" s="1"/>
  <c r="DJ62" i="44" s="1"/>
  <c r="DJ63" i="44" s="1"/>
  <c r="DJ64" i="44" s="1"/>
  <c r="DJ65" i="44" s="1"/>
  <c r="DJ66" i="44" s="1"/>
  <c r="DJ67" i="44" s="1"/>
  <c r="DJ68" i="44" s="1"/>
  <c r="DJ69" i="44" s="1"/>
  <c r="DJ70" i="44" s="1"/>
  <c r="DJ71" i="44" s="1"/>
  <c r="DJ72" i="44" s="1"/>
  <c r="DJ73" i="44" s="1"/>
  <c r="DJ74" i="44" s="1"/>
  <c r="DJ75" i="44" s="1"/>
  <c r="DJ76" i="44" s="1"/>
  <c r="DJ77" i="44" s="1"/>
  <c r="DJ78" i="44" s="1"/>
  <c r="DJ79" i="44" s="1"/>
  <c r="DJ80" i="44" s="1"/>
  <c r="DJ81" i="44" s="1"/>
  <c r="DJ82" i="44" s="1"/>
  <c r="DJ83" i="44" s="1"/>
  <c r="DJ84" i="44" s="1"/>
  <c r="DI5" i="44"/>
  <c r="DI6" i="44" s="1"/>
  <c r="DI7" i="44" s="1"/>
  <c r="DI8" i="44" s="1"/>
  <c r="DI9" i="44" s="1"/>
  <c r="DI10" i="44" s="1"/>
  <c r="DI11" i="44" s="1"/>
  <c r="DI12" i="44" s="1"/>
  <c r="DI13" i="44" s="1"/>
  <c r="DI14" i="44" s="1"/>
  <c r="DI15" i="44" s="1"/>
  <c r="DI16" i="44" s="1"/>
  <c r="DI17" i="44" s="1"/>
  <c r="DI18" i="44" s="1"/>
  <c r="DI19" i="44" s="1"/>
  <c r="DI20" i="44" s="1"/>
  <c r="DI21" i="44" s="1"/>
  <c r="DI22" i="44" s="1"/>
  <c r="DI23" i="44" s="1"/>
  <c r="DI24" i="44" s="1"/>
  <c r="DI25" i="44" s="1"/>
  <c r="DI26" i="44" s="1"/>
  <c r="DI27" i="44" s="1"/>
  <c r="DI28" i="44" s="1"/>
  <c r="DI29" i="44" s="1"/>
  <c r="DI30" i="44" s="1"/>
  <c r="DI31" i="44" s="1"/>
  <c r="DI32" i="44" s="1"/>
  <c r="DI33" i="44" s="1"/>
  <c r="DI34" i="44" s="1"/>
  <c r="DI35" i="44" s="1"/>
  <c r="DI36" i="44" s="1"/>
  <c r="DI37" i="44" s="1"/>
  <c r="DI38" i="44" s="1"/>
  <c r="DI39" i="44" s="1"/>
  <c r="DI40" i="44" s="1"/>
  <c r="DI41" i="44" s="1"/>
  <c r="DI42" i="44" s="1"/>
  <c r="DI43" i="44" s="1"/>
  <c r="DI44" i="44" s="1"/>
  <c r="DI45" i="44" s="1"/>
  <c r="DI46" i="44" s="1"/>
  <c r="DI47" i="44" s="1"/>
  <c r="DI48" i="44" s="1"/>
  <c r="DI49" i="44" s="1"/>
  <c r="DI50" i="44" s="1"/>
  <c r="DI51" i="44" s="1"/>
  <c r="DI52" i="44" s="1"/>
  <c r="DI53" i="44" s="1"/>
  <c r="DI54" i="44" s="1"/>
  <c r="DI55" i="44" s="1"/>
  <c r="DI56" i="44" s="1"/>
  <c r="DI57" i="44" s="1"/>
  <c r="DI58" i="44" s="1"/>
  <c r="DI59" i="44" s="1"/>
  <c r="DI60" i="44" s="1"/>
  <c r="DI61" i="44" s="1"/>
  <c r="DI62" i="44" s="1"/>
  <c r="DI63" i="44" s="1"/>
  <c r="DI64" i="44" s="1"/>
  <c r="DI65" i="44" s="1"/>
  <c r="DI66" i="44" s="1"/>
  <c r="DI67" i="44" s="1"/>
  <c r="DI68" i="44" s="1"/>
  <c r="DI69" i="44" s="1"/>
  <c r="DI70" i="44" s="1"/>
  <c r="DI71" i="44" s="1"/>
  <c r="DI72" i="44" s="1"/>
  <c r="DI73" i="44" s="1"/>
  <c r="DI74" i="44" s="1"/>
  <c r="DI75" i="44" s="1"/>
  <c r="DI76" i="44" s="1"/>
  <c r="DI77" i="44" s="1"/>
  <c r="DI78" i="44" s="1"/>
  <c r="DI79" i="44" s="1"/>
  <c r="DI80" i="44" s="1"/>
  <c r="DI81" i="44" s="1"/>
  <c r="DI82" i="44" s="1"/>
  <c r="DI83" i="44" s="1"/>
  <c r="DI84" i="44" s="1"/>
  <c r="DH5" i="44"/>
  <c r="DH6" i="44" s="1"/>
  <c r="DH7" i="44" s="1"/>
  <c r="DH8" i="44" s="1"/>
  <c r="DH9" i="44" s="1"/>
  <c r="DH10" i="44" s="1"/>
  <c r="DH11" i="44" s="1"/>
  <c r="DH12" i="44" s="1"/>
  <c r="DH13" i="44" s="1"/>
  <c r="DH14" i="44" s="1"/>
  <c r="DH15" i="44" s="1"/>
  <c r="DH16" i="44" s="1"/>
  <c r="DH17" i="44" s="1"/>
  <c r="DH18" i="44" s="1"/>
  <c r="DH19" i="44" s="1"/>
  <c r="DH20" i="44" s="1"/>
  <c r="DH21" i="44" s="1"/>
  <c r="DH22" i="44" s="1"/>
  <c r="DH23" i="44" s="1"/>
  <c r="DH24" i="44" s="1"/>
  <c r="DH25" i="44" s="1"/>
  <c r="DH26" i="44" s="1"/>
  <c r="DH27" i="44" s="1"/>
  <c r="DH28" i="44" s="1"/>
  <c r="DH29" i="44" s="1"/>
  <c r="DH30" i="44" s="1"/>
  <c r="DH31" i="44" s="1"/>
  <c r="DH32" i="44" s="1"/>
  <c r="DH33" i="44" s="1"/>
  <c r="DH34" i="44" s="1"/>
  <c r="DH35" i="44" s="1"/>
  <c r="DH36" i="44" s="1"/>
  <c r="DH37" i="44" s="1"/>
  <c r="DH38" i="44" s="1"/>
  <c r="DH39" i="44" s="1"/>
  <c r="DH40" i="44" s="1"/>
  <c r="DH41" i="44" s="1"/>
  <c r="DH42" i="44" s="1"/>
  <c r="DH43" i="44" s="1"/>
  <c r="DH44" i="44" s="1"/>
  <c r="DH45" i="44" s="1"/>
  <c r="DH46" i="44" s="1"/>
  <c r="DH47" i="44" s="1"/>
  <c r="DH48" i="44" s="1"/>
  <c r="DH49" i="44" s="1"/>
  <c r="DH50" i="44" s="1"/>
  <c r="DH51" i="44" s="1"/>
  <c r="DH52" i="44" s="1"/>
  <c r="DH53" i="44" s="1"/>
  <c r="DH54" i="44" s="1"/>
  <c r="DH55" i="44" s="1"/>
  <c r="DH56" i="44" s="1"/>
  <c r="DH57" i="44" s="1"/>
  <c r="DH58" i="44" s="1"/>
  <c r="DH59" i="44" s="1"/>
  <c r="DH60" i="44" s="1"/>
  <c r="DH61" i="44" s="1"/>
  <c r="DH62" i="44" s="1"/>
  <c r="DH63" i="44" s="1"/>
  <c r="DH64" i="44" s="1"/>
  <c r="DH65" i="44" s="1"/>
  <c r="DH66" i="44" s="1"/>
  <c r="DH67" i="44" s="1"/>
  <c r="DH68" i="44" s="1"/>
  <c r="DH69" i="44" s="1"/>
  <c r="DH70" i="44" s="1"/>
  <c r="DH71" i="44" s="1"/>
  <c r="DH72" i="44" s="1"/>
  <c r="DH73" i="44" s="1"/>
  <c r="DH74" i="44" s="1"/>
  <c r="DH75" i="44" s="1"/>
  <c r="DH76" i="44" s="1"/>
  <c r="DH77" i="44" s="1"/>
  <c r="DH78" i="44" s="1"/>
  <c r="DH79" i="44" s="1"/>
  <c r="DH80" i="44" s="1"/>
  <c r="DH81" i="44" s="1"/>
  <c r="DH82" i="44" s="1"/>
  <c r="DH83" i="44" s="1"/>
  <c r="DH84" i="44" s="1"/>
  <c r="DG5" i="44"/>
  <c r="DG6" i="44" s="1"/>
  <c r="DG7" i="44" s="1"/>
  <c r="DG8" i="44" s="1"/>
  <c r="DG9" i="44" s="1"/>
  <c r="DG10" i="44" s="1"/>
  <c r="DG11" i="44" s="1"/>
  <c r="DG12" i="44" s="1"/>
  <c r="DG13" i="44" s="1"/>
  <c r="DG14" i="44" s="1"/>
  <c r="DG15" i="44" s="1"/>
  <c r="DG16" i="44" s="1"/>
  <c r="DG17" i="44" s="1"/>
  <c r="DG18" i="44" s="1"/>
  <c r="DG19" i="44" s="1"/>
  <c r="DG20" i="44" s="1"/>
  <c r="DG21" i="44" s="1"/>
  <c r="DG22" i="44" s="1"/>
  <c r="DG23" i="44" s="1"/>
  <c r="DG24" i="44" s="1"/>
  <c r="DG25" i="44" s="1"/>
  <c r="DG26" i="44" s="1"/>
  <c r="DG27" i="44" s="1"/>
  <c r="DG28" i="44" s="1"/>
  <c r="DG29" i="44" s="1"/>
  <c r="DG30" i="44" s="1"/>
  <c r="DG31" i="44" s="1"/>
  <c r="DG32" i="44" s="1"/>
  <c r="DG33" i="44" s="1"/>
  <c r="DG34" i="44" s="1"/>
  <c r="DG35" i="44" s="1"/>
  <c r="DG36" i="44" s="1"/>
  <c r="DG37" i="44" s="1"/>
  <c r="DG38" i="44" s="1"/>
  <c r="DG39" i="44" s="1"/>
  <c r="DG40" i="44" s="1"/>
  <c r="DG41" i="44" s="1"/>
  <c r="DG42" i="44" s="1"/>
  <c r="DG43" i="44" s="1"/>
  <c r="DG44" i="44" s="1"/>
  <c r="DG45" i="44" s="1"/>
  <c r="DG46" i="44" s="1"/>
  <c r="DG47" i="44" s="1"/>
  <c r="DG48" i="44" s="1"/>
  <c r="DG49" i="44" s="1"/>
  <c r="DG50" i="44" s="1"/>
  <c r="DG51" i="44" s="1"/>
  <c r="DG52" i="44" s="1"/>
  <c r="DG53" i="44" s="1"/>
  <c r="DG54" i="44" s="1"/>
  <c r="DG55" i="44" s="1"/>
  <c r="DG56" i="44" s="1"/>
  <c r="DG57" i="44" s="1"/>
  <c r="DG58" i="44" s="1"/>
  <c r="DG59" i="44" s="1"/>
  <c r="DG60" i="44" s="1"/>
  <c r="DG61" i="44" s="1"/>
  <c r="DG62" i="44" s="1"/>
  <c r="DG63" i="44" s="1"/>
  <c r="DG64" i="44" s="1"/>
  <c r="DG65" i="44" s="1"/>
  <c r="DG66" i="44" s="1"/>
  <c r="DG67" i="44" s="1"/>
  <c r="DG68" i="44" s="1"/>
  <c r="DG69" i="44" s="1"/>
  <c r="DG70" i="44" s="1"/>
  <c r="DG71" i="44" s="1"/>
  <c r="DG72" i="44" s="1"/>
  <c r="DG73" i="44" s="1"/>
  <c r="DG74" i="44" s="1"/>
  <c r="DG75" i="44" s="1"/>
  <c r="DG76" i="44" s="1"/>
  <c r="DG77" i="44" s="1"/>
  <c r="DG78" i="44" s="1"/>
  <c r="DG79" i="44" s="1"/>
  <c r="DG80" i="44" s="1"/>
  <c r="DG81" i="44" s="1"/>
  <c r="DG82" i="44" s="1"/>
  <c r="DG83" i="44" s="1"/>
  <c r="DG84" i="44" s="1"/>
  <c r="DF5" i="44"/>
  <c r="DF6" i="44" s="1"/>
  <c r="DF7" i="44" s="1"/>
  <c r="DF8" i="44" s="1"/>
  <c r="DF9" i="44" s="1"/>
  <c r="DF10" i="44" s="1"/>
  <c r="DF11" i="44" s="1"/>
  <c r="DF12" i="44" s="1"/>
  <c r="DF13" i="44" s="1"/>
  <c r="DF14" i="44" s="1"/>
  <c r="DF15" i="44" s="1"/>
  <c r="DF16" i="44" s="1"/>
  <c r="DF17" i="44" s="1"/>
  <c r="DF18" i="44" s="1"/>
  <c r="DF19" i="44" s="1"/>
  <c r="DF20" i="44" s="1"/>
  <c r="DF21" i="44" s="1"/>
  <c r="DF22" i="44" s="1"/>
  <c r="DF23" i="44" s="1"/>
  <c r="DF24" i="44" s="1"/>
  <c r="DF25" i="44" s="1"/>
  <c r="DF26" i="44" s="1"/>
  <c r="DF27" i="44" s="1"/>
  <c r="DF28" i="44" s="1"/>
  <c r="DF29" i="44" s="1"/>
  <c r="DF30" i="44" s="1"/>
  <c r="DF31" i="44" s="1"/>
  <c r="DF32" i="44" s="1"/>
  <c r="DF33" i="44" s="1"/>
  <c r="DF34" i="44" s="1"/>
  <c r="DF35" i="44" s="1"/>
  <c r="DF36" i="44" s="1"/>
  <c r="DF37" i="44" s="1"/>
  <c r="DF38" i="44" s="1"/>
  <c r="DF39" i="44" s="1"/>
  <c r="DF40" i="44" s="1"/>
  <c r="DF41" i="44" s="1"/>
  <c r="DF42" i="44" s="1"/>
  <c r="DF43" i="44" s="1"/>
  <c r="DF44" i="44" s="1"/>
  <c r="DF45" i="44" s="1"/>
  <c r="DF46" i="44" s="1"/>
  <c r="DF47" i="44" s="1"/>
  <c r="DF48" i="44" s="1"/>
  <c r="DF49" i="44" s="1"/>
  <c r="DF50" i="44" s="1"/>
  <c r="DF51" i="44" s="1"/>
  <c r="DF52" i="44" s="1"/>
  <c r="DF53" i="44" s="1"/>
  <c r="DF54" i="44" s="1"/>
  <c r="DF55" i="44" s="1"/>
  <c r="DF56" i="44" s="1"/>
  <c r="DF57" i="44" s="1"/>
  <c r="DF58" i="44" s="1"/>
  <c r="DF59" i="44" s="1"/>
  <c r="DF60" i="44" s="1"/>
  <c r="DF61" i="44" s="1"/>
  <c r="DF62" i="44" s="1"/>
  <c r="DF63" i="44" s="1"/>
  <c r="DF64" i="44" s="1"/>
  <c r="DF65" i="44" s="1"/>
  <c r="DF66" i="44" s="1"/>
  <c r="DF67" i="44" s="1"/>
  <c r="DF68" i="44" s="1"/>
  <c r="DF69" i="44" s="1"/>
  <c r="DF70" i="44" s="1"/>
  <c r="DF71" i="44" s="1"/>
  <c r="DF72" i="44" s="1"/>
  <c r="DF73" i="44" s="1"/>
  <c r="DF74" i="44" s="1"/>
  <c r="DF75" i="44" s="1"/>
  <c r="DF76" i="44" s="1"/>
  <c r="DF77" i="44" s="1"/>
  <c r="DF78" i="44" s="1"/>
  <c r="DF79" i="44" s="1"/>
  <c r="DF80" i="44" s="1"/>
  <c r="DF81" i="44" s="1"/>
  <c r="DF82" i="44" s="1"/>
  <c r="DF83" i="44" s="1"/>
  <c r="DF84" i="44" s="1"/>
  <c r="DE5" i="44"/>
  <c r="DE6" i="44" s="1"/>
  <c r="DE7" i="44" s="1"/>
  <c r="DE8" i="44" s="1"/>
  <c r="DE9" i="44" s="1"/>
  <c r="DE10" i="44" s="1"/>
  <c r="DE11" i="44" s="1"/>
  <c r="DE12" i="44" s="1"/>
  <c r="DE13" i="44" s="1"/>
  <c r="DE14" i="44" s="1"/>
  <c r="DE15" i="44" s="1"/>
  <c r="DE16" i="44" s="1"/>
  <c r="DE17" i="44" s="1"/>
  <c r="DE18" i="44" s="1"/>
  <c r="DE19" i="44" s="1"/>
  <c r="DE20" i="44" s="1"/>
  <c r="DE21" i="44" s="1"/>
  <c r="DE22" i="44" s="1"/>
  <c r="DE23" i="44" s="1"/>
  <c r="DE24" i="44" s="1"/>
  <c r="DE25" i="44" s="1"/>
  <c r="DE26" i="44" s="1"/>
  <c r="DE27" i="44" s="1"/>
  <c r="DE28" i="44" s="1"/>
  <c r="DE29" i="44" s="1"/>
  <c r="DE30" i="44" s="1"/>
  <c r="DE31" i="44" s="1"/>
  <c r="DE32" i="44" s="1"/>
  <c r="DE33" i="44" s="1"/>
  <c r="DE34" i="44" s="1"/>
  <c r="DE35" i="44" s="1"/>
  <c r="DE36" i="44" s="1"/>
  <c r="DE37" i="44" s="1"/>
  <c r="DE38" i="44" s="1"/>
  <c r="DE39" i="44" s="1"/>
  <c r="DE40" i="44" s="1"/>
  <c r="DE41" i="44" s="1"/>
  <c r="DE42" i="44" s="1"/>
  <c r="DE43" i="44" s="1"/>
  <c r="DE44" i="44" s="1"/>
  <c r="DE45" i="44" s="1"/>
  <c r="DE46" i="44" s="1"/>
  <c r="DE47" i="44" s="1"/>
  <c r="DE48" i="44" s="1"/>
  <c r="DE49" i="44" s="1"/>
  <c r="DE50" i="44" s="1"/>
  <c r="DE51" i="44" s="1"/>
  <c r="DE52" i="44" s="1"/>
  <c r="DE53" i="44" s="1"/>
  <c r="DE54" i="44" s="1"/>
  <c r="DE55" i="44" s="1"/>
  <c r="DE56" i="44" s="1"/>
  <c r="DE57" i="44" s="1"/>
  <c r="DE58" i="44" s="1"/>
  <c r="DE59" i="44" s="1"/>
  <c r="DE60" i="44" s="1"/>
  <c r="DE61" i="44" s="1"/>
  <c r="DE62" i="44" s="1"/>
  <c r="DE63" i="44" s="1"/>
  <c r="DE64" i="44" s="1"/>
  <c r="DE65" i="44" s="1"/>
  <c r="DE66" i="44" s="1"/>
  <c r="DE67" i="44" s="1"/>
  <c r="DE68" i="44" s="1"/>
  <c r="DE69" i="44" s="1"/>
  <c r="DE70" i="44" s="1"/>
  <c r="DE71" i="44" s="1"/>
  <c r="DE72" i="44" s="1"/>
  <c r="DE73" i="44" s="1"/>
  <c r="DE74" i="44" s="1"/>
  <c r="DE75" i="44" s="1"/>
  <c r="DE76" i="44" s="1"/>
  <c r="DE77" i="44" s="1"/>
  <c r="DE78" i="44" s="1"/>
  <c r="DE79" i="44" s="1"/>
  <c r="DE80" i="44" s="1"/>
  <c r="DE81" i="44" s="1"/>
  <c r="DE82" i="44" s="1"/>
  <c r="DE83" i="44" s="1"/>
  <c r="DE84" i="44" s="1"/>
  <c r="DD5" i="44"/>
  <c r="DD6" i="44" s="1"/>
  <c r="DD7" i="44" s="1"/>
  <c r="DD8" i="44" s="1"/>
  <c r="DD9" i="44" s="1"/>
  <c r="DD10" i="44" s="1"/>
  <c r="DD11" i="44" s="1"/>
  <c r="DD12" i="44" s="1"/>
  <c r="DD13" i="44" s="1"/>
  <c r="DD14" i="44" s="1"/>
  <c r="DD15" i="44" s="1"/>
  <c r="DD16" i="44" s="1"/>
  <c r="DD17" i="44" s="1"/>
  <c r="DD18" i="44" s="1"/>
  <c r="DD19" i="44" s="1"/>
  <c r="DD20" i="44" s="1"/>
  <c r="DD21" i="44" s="1"/>
  <c r="DD22" i="44" s="1"/>
  <c r="DD23" i="44" s="1"/>
  <c r="DD24" i="44" s="1"/>
  <c r="DD25" i="44" s="1"/>
  <c r="DD26" i="44" s="1"/>
  <c r="DD27" i="44" s="1"/>
  <c r="DD28" i="44" s="1"/>
  <c r="DD29" i="44" s="1"/>
  <c r="DD30" i="44" s="1"/>
  <c r="DD31" i="44" s="1"/>
  <c r="DD32" i="44" s="1"/>
  <c r="DD33" i="44" s="1"/>
  <c r="DD34" i="44" s="1"/>
  <c r="DD35" i="44" s="1"/>
  <c r="DD36" i="44" s="1"/>
  <c r="DD37" i="44" s="1"/>
  <c r="DD38" i="44" s="1"/>
  <c r="DD39" i="44" s="1"/>
  <c r="DD40" i="44" s="1"/>
  <c r="DD41" i="44" s="1"/>
  <c r="DD42" i="44" s="1"/>
  <c r="DD43" i="44" s="1"/>
  <c r="DD44" i="44" s="1"/>
  <c r="DD45" i="44" s="1"/>
  <c r="DD46" i="44" s="1"/>
  <c r="DD47" i="44" s="1"/>
  <c r="DD48" i="44" s="1"/>
  <c r="DD49" i="44" s="1"/>
  <c r="DD50" i="44" s="1"/>
  <c r="DD51" i="44" s="1"/>
  <c r="DD52" i="44" s="1"/>
  <c r="DD53" i="44" s="1"/>
  <c r="DD54" i="44" s="1"/>
  <c r="DD55" i="44" s="1"/>
  <c r="DD56" i="44" s="1"/>
  <c r="DD57" i="44" s="1"/>
  <c r="DD58" i="44" s="1"/>
  <c r="DD59" i="44" s="1"/>
  <c r="DD60" i="44" s="1"/>
  <c r="DD61" i="44" s="1"/>
  <c r="DD62" i="44" s="1"/>
  <c r="DD63" i="44" s="1"/>
  <c r="DD64" i="44" s="1"/>
  <c r="DD65" i="44" s="1"/>
  <c r="DD66" i="44" s="1"/>
  <c r="DD67" i="44" s="1"/>
  <c r="DD68" i="44" s="1"/>
  <c r="DD69" i="44" s="1"/>
  <c r="DD70" i="44" s="1"/>
  <c r="DD71" i="44" s="1"/>
  <c r="DD72" i="44" s="1"/>
  <c r="DD73" i="44" s="1"/>
  <c r="DD74" i="44" s="1"/>
  <c r="DD75" i="44" s="1"/>
  <c r="DD76" i="44" s="1"/>
  <c r="DD77" i="44" s="1"/>
  <c r="DD78" i="44" s="1"/>
  <c r="DD79" i="44" s="1"/>
  <c r="DD80" i="44" s="1"/>
  <c r="DD81" i="44" s="1"/>
  <c r="DD82" i="44" s="1"/>
  <c r="DD83" i="44" s="1"/>
  <c r="DD84" i="44" s="1"/>
  <c r="DC5" i="44"/>
  <c r="DC6" i="44" s="1"/>
  <c r="DC7" i="44" s="1"/>
  <c r="DC8" i="44" s="1"/>
  <c r="DC9" i="44" s="1"/>
  <c r="DC10" i="44" s="1"/>
  <c r="DC11" i="44" s="1"/>
  <c r="DC12" i="44" s="1"/>
  <c r="DC13" i="44" s="1"/>
  <c r="DC14" i="44" s="1"/>
  <c r="DC15" i="44" s="1"/>
  <c r="DC16" i="44" s="1"/>
  <c r="DC17" i="44" s="1"/>
  <c r="DC18" i="44" s="1"/>
  <c r="DC19" i="44" s="1"/>
  <c r="DC20" i="44" s="1"/>
  <c r="DC21" i="44" s="1"/>
  <c r="DC22" i="44" s="1"/>
  <c r="DC23" i="44" s="1"/>
  <c r="DC24" i="44" s="1"/>
  <c r="DC25" i="44" s="1"/>
  <c r="DC26" i="44" s="1"/>
  <c r="DC27" i="44" s="1"/>
  <c r="DC28" i="44" s="1"/>
  <c r="DC29" i="44" s="1"/>
  <c r="DC30" i="44" s="1"/>
  <c r="DC31" i="44" s="1"/>
  <c r="DC32" i="44" s="1"/>
  <c r="DC33" i="44" s="1"/>
  <c r="DC34" i="44" s="1"/>
  <c r="DC35" i="44" s="1"/>
  <c r="DC36" i="44" s="1"/>
  <c r="DC37" i="44" s="1"/>
  <c r="DC38" i="44" s="1"/>
  <c r="DC39" i="44" s="1"/>
  <c r="DC40" i="44" s="1"/>
  <c r="DC41" i="44" s="1"/>
  <c r="DC42" i="44" s="1"/>
  <c r="DC43" i="44" s="1"/>
  <c r="DC44" i="44" s="1"/>
  <c r="DC45" i="44" s="1"/>
  <c r="DC46" i="44" s="1"/>
  <c r="DC47" i="44" s="1"/>
  <c r="DC48" i="44" s="1"/>
  <c r="DC49" i="44" s="1"/>
  <c r="DC50" i="44" s="1"/>
  <c r="DC51" i="44" s="1"/>
  <c r="DC52" i="44" s="1"/>
  <c r="DC53" i="44" s="1"/>
  <c r="DC54" i="44" s="1"/>
  <c r="DC55" i="44" s="1"/>
  <c r="DC56" i="44" s="1"/>
  <c r="DC57" i="44" s="1"/>
  <c r="DC58" i="44" s="1"/>
  <c r="DC59" i="44" s="1"/>
  <c r="DC60" i="44" s="1"/>
  <c r="DC61" i="44" s="1"/>
  <c r="DC62" i="44" s="1"/>
  <c r="DC63" i="44" s="1"/>
  <c r="DC64" i="44" s="1"/>
  <c r="DC65" i="44" s="1"/>
  <c r="DC66" i="44" s="1"/>
  <c r="DC67" i="44" s="1"/>
  <c r="DC68" i="44" s="1"/>
  <c r="DC69" i="44" s="1"/>
  <c r="DC70" i="44" s="1"/>
  <c r="DC71" i="44" s="1"/>
  <c r="DC72" i="44" s="1"/>
  <c r="DC73" i="44" s="1"/>
  <c r="DC74" i="44" s="1"/>
  <c r="DC75" i="44" s="1"/>
  <c r="DC76" i="44" s="1"/>
  <c r="DC77" i="44" s="1"/>
  <c r="DC78" i="44" s="1"/>
  <c r="DC79" i="44" s="1"/>
  <c r="DC80" i="44" s="1"/>
  <c r="DC81" i="44" s="1"/>
  <c r="DC82" i="44" s="1"/>
  <c r="DC83" i="44" s="1"/>
  <c r="DC84" i="44" s="1"/>
  <c r="DB5" i="44"/>
  <c r="DB6" i="44" s="1"/>
  <c r="DB7" i="44" s="1"/>
  <c r="DB8" i="44" s="1"/>
  <c r="DB9" i="44" s="1"/>
  <c r="DB10" i="44" s="1"/>
  <c r="DB11" i="44" s="1"/>
  <c r="DB12" i="44" s="1"/>
  <c r="DB13" i="44" s="1"/>
  <c r="DB14" i="44" s="1"/>
  <c r="DB15" i="44" s="1"/>
  <c r="DB16" i="44" s="1"/>
  <c r="DB17" i="44" s="1"/>
  <c r="DB18" i="44" s="1"/>
  <c r="DB19" i="44" s="1"/>
  <c r="DB20" i="44" s="1"/>
  <c r="DB21" i="44" s="1"/>
  <c r="DB22" i="44" s="1"/>
  <c r="DB23" i="44" s="1"/>
  <c r="DB24" i="44" s="1"/>
  <c r="DB25" i="44" s="1"/>
  <c r="DB26" i="44" s="1"/>
  <c r="DB27" i="44" s="1"/>
  <c r="DB28" i="44" s="1"/>
  <c r="DB29" i="44" s="1"/>
  <c r="DB30" i="44" s="1"/>
  <c r="DB31" i="44" s="1"/>
  <c r="DB32" i="44" s="1"/>
  <c r="DB33" i="44" s="1"/>
  <c r="DB34" i="44" s="1"/>
  <c r="DB35" i="44" s="1"/>
  <c r="DB36" i="44" s="1"/>
  <c r="DB37" i="44" s="1"/>
  <c r="DB38" i="44" s="1"/>
  <c r="DB39" i="44" s="1"/>
  <c r="DB40" i="44" s="1"/>
  <c r="DB41" i="44" s="1"/>
  <c r="DB42" i="44" s="1"/>
  <c r="DB43" i="44" s="1"/>
  <c r="DB44" i="44" s="1"/>
  <c r="DB45" i="44" s="1"/>
  <c r="DB46" i="44" s="1"/>
  <c r="DB47" i="44" s="1"/>
  <c r="DB48" i="44" s="1"/>
  <c r="DB49" i="44" s="1"/>
  <c r="DB50" i="44" s="1"/>
  <c r="DB51" i="44" s="1"/>
  <c r="DB52" i="44" s="1"/>
  <c r="DB53" i="44" s="1"/>
  <c r="DB54" i="44" s="1"/>
  <c r="DB55" i="44" s="1"/>
  <c r="DB56" i="44" s="1"/>
  <c r="DB57" i="44" s="1"/>
  <c r="DB58" i="44" s="1"/>
  <c r="DB59" i="44" s="1"/>
  <c r="DB60" i="44" s="1"/>
  <c r="DB61" i="44" s="1"/>
  <c r="DB62" i="44" s="1"/>
  <c r="DB63" i="44" s="1"/>
  <c r="DB64" i="44" s="1"/>
  <c r="DB65" i="44" s="1"/>
  <c r="DB66" i="44" s="1"/>
  <c r="DB67" i="44" s="1"/>
  <c r="DB68" i="44" s="1"/>
  <c r="DB69" i="44" s="1"/>
  <c r="DB70" i="44" s="1"/>
  <c r="DB71" i="44" s="1"/>
  <c r="DB72" i="44" s="1"/>
  <c r="DB73" i="44" s="1"/>
  <c r="DB74" i="44" s="1"/>
  <c r="DB75" i="44" s="1"/>
  <c r="DB76" i="44" s="1"/>
  <c r="DB77" i="44" s="1"/>
  <c r="DB78" i="44" s="1"/>
  <c r="DB79" i="44" s="1"/>
  <c r="DB80" i="44" s="1"/>
  <c r="DB81" i="44" s="1"/>
  <c r="DB82" i="44" s="1"/>
  <c r="DB83" i="44" s="1"/>
  <c r="DB84" i="44" s="1"/>
  <c r="DA5" i="44"/>
  <c r="DA6" i="44" s="1"/>
  <c r="DA7" i="44" s="1"/>
  <c r="DA8" i="44" s="1"/>
  <c r="DA9" i="44" s="1"/>
  <c r="DA10" i="44" s="1"/>
  <c r="DA11" i="44" s="1"/>
  <c r="DA12" i="44" s="1"/>
  <c r="DA13" i="44" s="1"/>
  <c r="DA14" i="44" s="1"/>
  <c r="DA15" i="44" s="1"/>
  <c r="DA16" i="44" s="1"/>
  <c r="DA17" i="44" s="1"/>
  <c r="DA18" i="44" s="1"/>
  <c r="DA19" i="44" s="1"/>
  <c r="DA20" i="44" s="1"/>
  <c r="DA21" i="44" s="1"/>
  <c r="DA22" i="44" s="1"/>
  <c r="DA23" i="44" s="1"/>
  <c r="DA24" i="44" s="1"/>
  <c r="DA25" i="44" s="1"/>
  <c r="DA26" i="44" s="1"/>
  <c r="DA27" i="44" s="1"/>
  <c r="DA28" i="44" s="1"/>
  <c r="DA29" i="44" s="1"/>
  <c r="DA30" i="44" s="1"/>
  <c r="DA31" i="44" s="1"/>
  <c r="DA32" i="44" s="1"/>
  <c r="DA33" i="44" s="1"/>
  <c r="DA34" i="44" s="1"/>
  <c r="DA35" i="44" s="1"/>
  <c r="DA36" i="44" s="1"/>
  <c r="DA37" i="44" s="1"/>
  <c r="DA38" i="44" s="1"/>
  <c r="DA39" i="44" s="1"/>
  <c r="DA40" i="44" s="1"/>
  <c r="DA41" i="44" s="1"/>
  <c r="DA42" i="44" s="1"/>
  <c r="DA43" i="44" s="1"/>
  <c r="DA44" i="44" s="1"/>
  <c r="DA45" i="44" s="1"/>
  <c r="DA46" i="44" s="1"/>
  <c r="DA47" i="44" s="1"/>
  <c r="DA48" i="44" s="1"/>
  <c r="DA49" i="44" s="1"/>
  <c r="DA50" i="44" s="1"/>
  <c r="DA51" i="44" s="1"/>
  <c r="DA52" i="44" s="1"/>
  <c r="DA53" i="44" s="1"/>
  <c r="DA54" i="44" s="1"/>
  <c r="DA55" i="44" s="1"/>
  <c r="DA56" i="44" s="1"/>
  <c r="DA57" i="44" s="1"/>
  <c r="DA58" i="44" s="1"/>
  <c r="DA59" i="44" s="1"/>
  <c r="DA60" i="44" s="1"/>
  <c r="DA61" i="44" s="1"/>
  <c r="DA62" i="44" s="1"/>
  <c r="DA63" i="44" s="1"/>
  <c r="DA64" i="44" s="1"/>
  <c r="DA65" i="44" s="1"/>
  <c r="DA66" i="44" s="1"/>
  <c r="DA67" i="44" s="1"/>
  <c r="DA68" i="44" s="1"/>
  <c r="DA69" i="44" s="1"/>
  <c r="DA70" i="44" s="1"/>
  <c r="DA71" i="44" s="1"/>
  <c r="DA72" i="44" s="1"/>
  <c r="DA73" i="44" s="1"/>
  <c r="DA74" i="44" s="1"/>
  <c r="DA75" i="44" s="1"/>
  <c r="DA76" i="44" s="1"/>
  <c r="DA77" i="44" s="1"/>
  <c r="DA78" i="44" s="1"/>
  <c r="DA79" i="44" s="1"/>
  <c r="DA80" i="44" s="1"/>
  <c r="DA81" i="44" s="1"/>
  <c r="DA82" i="44" s="1"/>
  <c r="DA83" i="44" s="1"/>
  <c r="DA84" i="44" s="1"/>
  <c r="CZ5" i="44"/>
  <c r="CZ6" i="44" s="1"/>
  <c r="CZ7" i="44" s="1"/>
  <c r="CZ8" i="44" s="1"/>
  <c r="CZ9" i="44" s="1"/>
  <c r="CZ10" i="44" s="1"/>
  <c r="CZ11" i="44" s="1"/>
  <c r="CZ12" i="44" s="1"/>
  <c r="CZ13" i="44" s="1"/>
  <c r="CZ14" i="44" s="1"/>
  <c r="CZ15" i="44" s="1"/>
  <c r="CZ16" i="44" s="1"/>
  <c r="CZ17" i="44" s="1"/>
  <c r="CZ18" i="44" s="1"/>
  <c r="CZ19" i="44" s="1"/>
  <c r="CZ20" i="44" s="1"/>
  <c r="CZ21" i="44" s="1"/>
  <c r="CZ22" i="44" s="1"/>
  <c r="CZ23" i="44" s="1"/>
  <c r="CZ24" i="44" s="1"/>
  <c r="CZ25" i="44" s="1"/>
  <c r="CZ26" i="44" s="1"/>
  <c r="CZ27" i="44" s="1"/>
  <c r="CZ28" i="44" s="1"/>
  <c r="CZ29" i="44" s="1"/>
  <c r="CZ30" i="44" s="1"/>
  <c r="CZ31" i="44" s="1"/>
  <c r="CZ32" i="44" s="1"/>
  <c r="CZ33" i="44" s="1"/>
  <c r="CZ34" i="44" s="1"/>
  <c r="CZ35" i="44" s="1"/>
  <c r="CZ36" i="44" s="1"/>
  <c r="CZ37" i="44" s="1"/>
  <c r="CZ38" i="44" s="1"/>
  <c r="CZ39" i="44" s="1"/>
  <c r="CZ40" i="44" s="1"/>
  <c r="CZ41" i="44" s="1"/>
  <c r="CZ42" i="44" s="1"/>
  <c r="CZ43" i="44" s="1"/>
  <c r="CZ44" i="44" s="1"/>
  <c r="CZ45" i="44" s="1"/>
  <c r="CZ46" i="44" s="1"/>
  <c r="CZ47" i="44" s="1"/>
  <c r="CZ48" i="44" s="1"/>
  <c r="CZ49" i="44" s="1"/>
  <c r="CZ50" i="44" s="1"/>
  <c r="CZ51" i="44" s="1"/>
  <c r="CZ52" i="44" s="1"/>
  <c r="CZ53" i="44" s="1"/>
  <c r="CZ54" i="44" s="1"/>
  <c r="CZ55" i="44" s="1"/>
  <c r="CZ56" i="44" s="1"/>
  <c r="CZ57" i="44" s="1"/>
  <c r="CZ58" i="44" s="1"/>
  <c r="CZ59" i="44" s="1"/>
  <c r="CZ60" i="44" s="1"/>
  <c r="CZ61" i="44" s="1"/>
  <c r="CZ62" i="44" s="1"/>
  <c r="CZ63" i="44" s="1"/>
  <c r="CZ64" i="44" s="1"/>
  <c r="CZ65" i="44" s="1"/>
  <c r="CZ66" i="44" s="1"/>
  <c r="CZ67" i="44" s="1"/>
  <c r="CZ68" i="44" s="1"/>
  <c r="CZ69" i="44" s="1"/>
  <c r="CZ70" i="44" s="1"/>
  <c r="CZ71" i="44" s="1"/>
  <c r="CZ72" i="44" s="1"/>
  <c r="CZ73" i="44" s="1"/>
  <c r="CZ74" i="44" s="1"/>
  <c r="CZ75" i="44" s="1"/>
  <c r="CZ76" i="44" s="1"/>
  <c r="CZ77" i="44" s="1"/>
  <c r="CZ78" i="44" s="1"/>
  <c r="CZ79" i="44" s="1"/>
  <c r="CZ80" i="44" s="1"/>
  <c r="CZ81" i="44" s="1"/>
  <c r="CZ82" i="44" s="1"/>
  <c r="CZ83" i="44" s="1"/>
  <c r="CZ84" i="44" s="1"/>
  <c r="CY5" i="44"/>
  <c r="CY6" i="44" s="1"/>
  <c r="CY7" i="44" s="1"/>
  <c r="CY8" i="44" s="1"/>
  <c r="CY9" i="44" s="1"/>
  <c r="CY10" i="44" s="1"/>
  <c r="CY11" i="44" s="1"/>
  <c r="CY12" i="44" s="1"/>
  <c r="CY13" i="44" s="1"/>
  <c r="CY14" i="44" s="1"/>
  <c r="CY15" i="44" s="1"/>
  <c r="CY16" i="44" s="1"/>
  <c r="CY17" i="44" s="1"/>
  <c r="CY18" i="44" s="1"/>
  <c r="CY19" i="44" s="1"/>
  <c r="CY20" i="44" s="1"/>
  <c r="CY21" i="44" s="1"/>
  <c r="CY22" i="44" s="1"/>
  <c r="CY23" i="44" s="1"/>
  <c r="CY24" i="44" s="1"/>
  <c r="CY25" i="44" s="1"/>
  <c r="CY26" i="44" s="1"/>
  <c r="CY27" i="44" s="1"/>
  <c r="CY28" i="44" s="1"/>
  <c r="CY29" i="44" s="1"/>
  <c r="CY30" i="44" s="1"/>
  <c r="CY31" i="44" s="1"/>
  <c r="CY32" i="44" s="1"/>
  <c r="CY33" i="44" s="1"/>
  <c r="CY34" i="44" s="1"/>
  <c r="CY35" i="44" s="1"/>
  <c r="CY36" i="44" s="1"/>
  <c r="CY37" i="44" s="1"/>
  <c r="CY38" i="44" s="1"/>
  <c r="CY39" i="44" s="1"/>
  <c r="CY40" i="44" s="1"/>
  <c r="CY41" i="44" s="1"/>
  <c r="CY42" i="44" s="1"/>
  <c r="CY43" i="44" s="1"/>
  <c r="CY44" i="44" s="1"/>
  <c r="CY45" i="44" s="1"/>
  <c r="CY46" i="44" s="1"/>
  <c r="CY47" i="44" s="1"/>
  <c r="CY48" i="44" s="1"/>
  <c r="CY49" i="44" s="1"/>
  <c r="CY50" i="44" s="1"/>
  <c r="CY51" i="44" s="1"/>
  <c r="CY52" i="44" s="1"/>
  <c r="CY53" i="44" s="1"/>
  <c r="CY54" i="44" s="1"/>
  <c r="CY55" i="44" s="1"/>
  <c r="CY56" i="44" s="1"/>
  <c r="CY57" i="44" s="1"/>
  <c r="CY58" i="44" s="1"/>
  <c r="CY59" i="44" s="1"/>
  <c r="CY60" i="44" s="1"/>
  <c r="CY61" i="44" s="1"/>
  <c r="CY62" i="44" s="1"/>
  <c r="CY63" i="44" s="1"/>
  <c r="CY64" i="44" s="1"/>
  <c r="CY65" i="44" s="1"/>
  <c r="CY66" i="44" s="1"/>
  <c r="CY67" i="44" s="1"/>
  <c r="CY68" i="44" s="1"/>
  <c r="CY69" i="44" s="1"/>
  <c r="CY70" i="44" s="1"/>
  <c r="CY71" i="44" s="1"/>
  <c r="CY72" i="44" s="1"/>
  <c r="CY73" i="44" s="1"/>
  <c r="CY74" i="44" s="1"/>
  <c r="CY75" i="44" s="1"/>
  <c r="CY76" i="44" s="1"/>
  <c r="CY77" i="44" s="1"/>
  <c r="CY78" i="44" s="1"/>
  <c r="CY79" i="44" s="1"/>
  <c r="CY80" i="44" s="1"/>
  <c r="CY81" i="44" s="1"/>
  <c r="CY82" i="44" s="1"/>
  <c r="CY83" i="44" s="1"/>
  <c r="CY84" i="44" s="1"/>
  <c r="CX5" i="44"/>
  <c r="CX6" i="44" s="1"/>
  <c r="CX7" i="44" s="1"/>
  <c r="CX8" i="44" s="1"/>
  <c r="CX9" i="44" s="1"/>
  <c r="CX10" i="44" s="1"/>
  <c r="CX11" i="44" s="1"/>
  <c r="CX12" i="44" s="1"/>
  <c r="CX13" i="44" s="1"/>
  <c r="CX14" i="44" s="1"/>
  <c r="CX15" i="44" s="1"/>
  <c r="CX16" i="44" s="1"/>
  <c r="CX17" i="44" s="1"/>
  <c r="CX18" i="44" s="1"/>
  <c r="CX19" i="44" s="1"/>
  <c r="CX20" i="44" s="1"/>
  <c r="CX21" i="44" s="1"/>
  <c r="CX22" i="44" s="1"/>
  <c r="CX23" i="44" s="1"/>
  <c r="CX24" i="44" s="1"/>
  <c r="CX25" i="44" s="1"/>
  <c r="CX26" i="44" s="1"/>
  <c r="CX27" i="44" s="1"/>
  <c r="CX28" i="44" s="1"/>
  <c r="CX29" i="44" s="1"/>
  <c r="CX30" i="44" s="1"/>
  <c r="CX31" i="44" s="1"/>
  <c r="CX32" i="44" s="1"/>
  <c r="CX33" i="44" s="1"/>
  <c r="CX34" i="44" s="1"/>
  <c r="CX35" i="44" s="1"/>
  <c r="CX36" i="44" s="1"/>
  <c r="CX37" i="44" s="1"/>
  <c r="CX38" i="44" s="1"/>
  <c r="CX39" i="44" s="1"/>
  <c r="CX40" i="44" s="1"/>
  <c r="CX41" i="44" s="1"/>
  <c r="CX42" i="44" s="1"/>
  <c r="CX43" i="44" s="1"/>
  <c r="CX44" i="44" s="1"/>
  <c r="CX45" i="44" s="1"/>
  <c r="CX46" i="44" s="1"/>
  <c r="CX47" i="44" s="1"/>
  <c r="CX48" i="44" s="1"/>
  <c r="CX49" i="44" s="1"/>
  <c r="CX50" i="44" s="1"/>
  <c r="CX51" i="44" s="1"/>
  <c r="CX52" i="44" s="1"/>
  <c r="CX53" i="44" s="1"/>
  <c r="CX54" i="44" s="1"/>
  <c r="CX55" i="44" s="1"/>
  <c r="CX56" i="44" s="1"/>
  <c r="CX57" i="44" s="1"/>
  <c r="CX58" i="44" s="1"/>
  <c r="CX59" i="44" s="1"/>
  <c r="CX60" i="44" s="1"/>
  <c r="CX61" i="44" s="1"/>
  <c r="CX62" i="44" s="1"/>
  <c r="CX63" i="44" s="1"/>
  <c r="CX64" i="44" s="1"/>
  <c r="CX65" i="44" s="1"/>
  <c r="CX66" i="44" s="1"/>
  <c r="CX67" i="44" s="1"/>
  <c r="CX68" i="44" s="1"/>
  <c r="CX69" i="44" s="1"/>
  <c r="CX70" i="44" s="1"/>
  <c r="CX71" i="44" s="1"/>
  <c r="CX72" i="44" s="1"/>
  <c r="CX73" i="44" s="1"/>
  <c r="CX74" i="44" s="1"/>
  <c r="CX75" i="44" s="1"/>
  <c r="CX76" i="44" s="1"/>
  <c r="CX77" i="44" s="1"/>
  <c r="CX78" i="44" s="1"/>
  <c r="CX79" i="44" s="1"/>
  <c r="CX80" i="44" s="1"/>
  <c r="CX81" i="44" s="1"/>
  <c r="CX82" i="44" s="1"/>
  <c r="CX83" i="44" s="1"/>
  <c r="CX84" i="44" s="1"/>
  <c r="CW5" i="44"/>
  <c r="CW6" i="44" s="1"/>
  <c r="CW7" i="44" s="1"/>
  <c r="CW8" i="44" s="1"/>
  <c r="CW9" i="44" s="1"/>
  <c r="CW10" i="44" s="1"/>
  <c r="CW11" i="44" s="1"/>
  <c r="CW12" i="44" s="1"/>
  <c r="CW13" i="44" s="1"/>
  <c r="CW14" i="44" s="1"/>
  <c r="CW15" i="44" s="1"/>
  <c r="CW16" i="44" s="1"/>
  <c r="CW17" i="44" s="1"/>
  <c r="CW18" i="44" s="1"/>
  <c r="CW19" i="44" s="1"/>
  <c r="CW20" i="44" s="1"/>
  <c r="CW21" i="44" s="1"/>
  <c r="CW22" i="44" s="1"/>
  <c r="CW23" i="44" s="1"/>
  <c r="CW24" i="44" s="1"/>
  <c r="CW25" i="44" s="1"/>
  <c r="CW26" i="44" s="1"/>
  <c r="CW27" i="44" s="1"/>
  <c r="CW28" i="44" s="1"/>
  <c r="CW29" i="44" s="1"/>
  <c r="CW30" i="44" s="1"/>
  <c r="CW31" i="44" s="1"/>
  <c r="CW32" i="44" s="1"/>
  <c r="CW33" i="44" s="1"/>
  <c r="CW34" i="44" s="1"/>
  <c r="CW35" i="44" s="1"/>
  <c r="CW36" i="44" s="1"/>
  <c r="CW37" i="44" s="1"/>
  <c r="CW38" i="44" s="1"/>
  <c r="CW39" i="44" s="1"/>
  <c r="CW40" i="44" s="1"/>
  <c r="CW41" i="44" s="1"/>
  <c r="CW42" i="44" s="1"/>
  <c r="CW43" i="44" s="1"/>
  <c r="CW44" i="44" s="1"/>
  <c r="CW45" i="44" s="1"/>
  <c r="CW46" i="44" s="1"/>
  <c r="CW47" i="44" s="1"/>
  <c r="CW48" i="44" s="1"/>
  <c r="CW49" i="44" s="1"/>
  <c r="CW50" i="44" s="1"/>
  <c r="CW51" i="44" s="1"/>
  <c r="CW52" i="44" s="1"/>
  <c r="CW53" i="44" s="1"/>
  <c r="CW54" i="44" s="1"/>
  <c r="CW55" i="44" s="1"/>
  <c r="CW56" i="44" s="1"/>
  <c r="CW57" i="44" s="1"/>
  <c r="CW58" i="44" s="1"/>
  <c r="CW59" i="44" s="1"/>
  <c r="CW60" i="44" s="1"/>
  <c r="CW61" i="44" s="1"/>
  <c r="CW62" i="44" s="1"/>
  <c r="CW63" i="44" s="1"/>
  <c r="CW64" i="44" s="1"/>
  <c r="CW65" i="44" s="1"/>
  <c r="CW66" i="44" s="1"/>
  <c r="CW67" i="44" s="1"/>
  <c r="CW68" i="44" s="1"/>
  <c r="CW69" i="44" s="1"/>
  <c r="CW70" i="44" s="1"/>
  <c r="CW71" i="44" s="1"/>
  <c r="CW72" i="44" s="1"/>
  <c r="CW73" i="44" s="1"/>
  <c r="CW74" i="44" s="1"/>
  <c r="CW75" i="44" s="1"/>
  <c r="CW76" i="44" s="1"/>
  <c r="CW77" i="44" s="1"/>
  <c r="CW78" i="44" s="1"/>
  <c r="CW79" i="44" s="1"/>
  <c r="CW80" i="44" s="1"/>
  <c r="CW81" i="44" s="1"/>
  <c r="CW82" i="44" s="1"/>
  <c r="CW83" i="44" s="1"/>
  <c r="CW84" i="44" s="1"/>
  <c r="CV5" i="44"/>
  <c r="CV6" i="44" s="1"/>
  <c r="CV7" i="44" s="1"/>
  <c r="CV8" i="44" s="1"/>
  <c r="CV9" i="44" s="1"/>
  <c r="CV10" i="44" s="1"/>
  <c r="CV11" i="44" s="1"/>
  <c r="CV12" i="44" s="1"/>
  <c r="CV13" i="44" s="1"/>
  <c r="CV14" i="44" s="1"/>
  <c r="CV15" i="44" s="1"/>
  <c r="CV16" i="44" s="1"/>
  <c r="CV17" i="44" s="1"/>
  <c r="CV18" i="44" s="1"/>
  <c r="CV19" i="44" s="1"/>
  <c r="CV20" i="44" s="1"/>
  <c r="CV21" i="44" s="1"/>
  <c r="CV22" i="44" s="1"/>
  <c r="CV23" i="44" s="1"/>
  <c r="CV24" i="44" s="1"/>
  <c r="CV25" i="44" s="1"/>
  <c r="CV26" i="44" s="1"/>
  <c r="CV27" i="44" s="1"/>
  <c r="CV28" i="44" s="1"/>
  <c r="CV29" i="44" s="1"/>
  <c r="CV30" i="44" s="1"/>
  <c r="CV31" i="44" s="1"/>
  <c r="CV32" i="44" s="1"/>
  <c r="CV33" i="44" s="1"/>
  <c r="CV34" i="44" s="1"/>
  <c r="CV35" i="44" s="1"/>
  <c r="CV36" i="44" s="1"/>
  <c r="CV37" i="44" s="1"/>
  <c r="CV38" i="44" s="1"/>
  <c r="CV39" i="44" s="1"/>
  <c r="CV40" i="44" s="1"/>
  <c r="CV41" i="44" s="1"/>
  <c r="CV42" i="44" s="1"/>
  <c r="CV43" i="44" s="1"/>
  <c r="CV44" i="44" s="1"/>
  <c r="CV45" i="44" s="1"/>
  <c r="CV46" i="44" s="1"/>
  <c r="CV47" i="44" s="1"/>
  <c r="CV48" i="44" s="1"/>
  <c r="CV49" i="44" s="1"/>
  <c r="CV50" i="44" s="1"/>
  <c r="CV51" i="44" s="1"/>
  <c r="CV52" i="44" s="1"/>
  <c r="CV53" i="44" s="1"/>
  <c r="CV54" i="44" s="1"/>
  <c r="CV55" i="44" s="1"/>
  <c r="CV56" i="44" s="1"/>
  <c r="CV57" i="44" s="1"/>
  <c r="CV58" i="44" s="1"/>
  <c r="CV59" i="44" s="1"/>
  <c r="CV60" i="44" s="1"/>
  <c r="CV61" i="44" s="1"/>
  <c r="CV62" i="44" s="1"/>
  <c r="CV63" i="44" s="1"/>
  <c r="CV64" i="44" s="1"/>
  <c r="CV65" i="44" s="1"/>
  <c r="CV66" i="44" s="1"/>
  <c r="CV67" i="44" s="1"/>
  <c r="CV68" i="44" s="1"/>
  <c r="CV69" i="44" s="1"/>
  <c r="CV70" i="44" s="1"/>
  <c r="CV71" i="44" s="1"/>
  <c r="CV72" i="44" s="1"/>
  <c r="CV73" i="44" s="1"/>
  <c r="CV74" i="44" s="1"/>
  <c r="CV75" i="44" s="1"/>
  <c r="CV76" i="44" s="1"/>
  <c r="CV77" i="44" s="1"/>
  <c r="CV78" i="44" s="1"/>
  <c r="CV79" i="44" s="1"/>
  <c r="CV80" i="44" s="1"/>
  <c r="CV81" i="44" s="1"/>
  <c r="CV82" i="44" s="1"/>
  <c r="CV83" i="44" s="1"/>
  <c r="CV84" i="44" s="1"/>
  <c r="CU5" i="44"/>
  <c r="CU6" i="44" s="1"/>
  <c r="CU7" i="44" s="1"/>
  <c r="CU8" i="44" s="1"/>
  <c r="CU9" i="44" s="1"/>
  <c r="CU10" i="44" s="1"/>
  <c r="CU11" i="44" s="1"/>
  <c r="CU12" i="44" s="1"/>
  <c r="CU13" i="44" s="1"/>
  <c r="CU14" i="44" s="1"/>
  <c r="CU15" i="44" s="1"/>
  <c r="CU16" i="44" s="1"/>
  <c r="CU17" i="44" s="1"/>
  <c r="CU18" i="44" s="1"/>
  <c r="CU19" i="44" s="1"/>
  <c r="CU20" i="44" s="1"/>
  <c r="CU21" i="44" s="1"/>
  <c r="CU22" i="44" s="1"/>
  <c r="CU23" i="44" s="1"/>
  <c r="CU24" i="44" s="1"/>
  <c r="CU25" i="44" s="1"/>
  <c r="CU26" i="44" s="1"/>
  <c r="CU27" i="44" s="1"/>
  <c r="CU28" i="44" s="1"/>
  <c r="CU29" i="44" s="1"/>
  <c r="CU30" i="44" s="1"/>
  <c r="CU31" i="44" s="1"/>
  <c r="CU32" i="44" s="1"/>
  <c r="CU33" i="44" s="1"/>
  <c r="CU34" i="44" s="1"/>
  <c r="CU35" i="44" s="1"/>
  <c r="CU36" i="44" s="1"/>
  <c r="CU37" i="44" s="1"/>
  <c r="CU38" i="44" s="1"/>
  <c r="CU39" i="44" s="1"/>
  <c r="CU40" i="44" s="1"/>
  <c r="CU41" i="44" s="1"/>
  <c r="CU42" i="44" s="1"/>
  <c r="CU43" i="44" s="1"/>
  <c r="CU44" i="44" s="1"/>
  <c r="CU45" i="44" s="1"/>
  <c r="CU46" i="44" s="1"/>
  <c r="CU47" i="44" s="1"/>
  <c r="CU48" i="44" s="1"/>
  <c r="CU49" i="44" s="1"/>
  <c r="CU50" i="44" s="1"/>
  <c r="CU51" i="44" s="1"/>
  <c r="CU52" i="44" s="1"/>
  <c r="CU53" i="44" s="1"/>
  <c r="CU54" i="44" s="1"/>
  <c r="CU55" i="44" s="1"/>
  <c r="CU56" i="44" s="1"/>
  <c r="CU57" i="44" s="1"/>
  <c r="CU58" i="44" s="1"/>
  <c r="CU59" i="44" s="1"/>
  <c r="CU60" i="44" s="1"/>
  <c r="CU61" i="44" s="1"/>
  <c r="CU62" i="44" s="1"/>
  <c r="CU63" i="44" s="1"/>
  <c r="CU64" i="44" s="1"/>
  <c r="CU65" i="44" s="1"/>
  <c r="CU66" i="44" s="1"/>
  <c r="CU67" i="44" s="1"/>
  <c r="CU68" i="44" s="1"/>
  <c r="CU69" i="44" s="1"/>
  <c r="CU70" i="44" s="1"/>
  <c r="CU71" i="44" s="1"/>
  <c r="CU72" i="44" s="1"/>
  <c r="CU73" i="44" s="1"/>
  <c r="CU74" i="44" s="1"/>
  <c r="CU75" i="44" s="1"/>
  <c r="CU76" i="44" s="1"/>
  <c r="CU77" i="44" s="1"/>
  <c r="CU78" i="44" s="1"/>
  <c r="CU79" i="44" s="1"/>
  <c r="CU80" i="44" s="1"/>
  <c r="CU81" i="44" s="1"/>
  <c r="CU82" i="44" s="1"/>
  <c r="CU83" i="44" s="1"/>
  <c r="CU84" i="44" s="1"/>
  <c r="CT5" i="44"/>
  <c r="CT6" i="44" s="1"/>
  <c r="CT7" i="44" s="1"/>
  <c r="CT8" i="44" s="1"/>
  <c r="CT9" i="44" s="1"/>
  <c r="CT10" i="44" s="1"/>
  <c r="CT11" i="44" s="1"/>
  <c r="CT12" i="44" s="1"/>
  <c r="CT13" i="44" s="1"/>
  <c r="CT14" i="44" s="1"/>
  <c r="CT15" i="44" s="1"/>
  <c r="CT16" i="44" s="1"/>
  <c r="CT17" i="44" s="1"/>
  <c r="CT18" i="44" s="1"/>
  <c r="CT19" i="44" s="1"/>
  <c r="CT20" i="44" s="1"/>
  <c r="CT21" i="44" s="1"/>
  <c r="CT22" i="44" s="1"/>
  <c r="CT23" i="44" s="1"/>
  <c r="CT24" i="44" s="1"/>
  <c r="CT25" i="44" s="1"/>
  <c r="CT26" i="44" s="1"/>
  <c r="CT27" i="44" s="1"/>
  <c r="CT28" i="44" s="1"/>
  <c r="CT29" i="44" s="1"/>
  <c r="CT30" i="44" s="1"/>
  <c r="CT31" i="44" s="1"/>
  <c r="CT32" i="44" s="1"/>
  <c r="CT33" i="44" s="1"/>
  <c r="CT34" i="44" s="1"/>
  <c r="CT35" i="44" s="1"/>
  <c r="CT36" i="44" s="1"/>
  <c r="CT37" i="44" s="1"/>
  <c r="CT38" i="44" s="1"/>
  <c r="CT39" i="44" s="1"/>
  <c r="CT40" i="44" s="1"/>
  <c r="CT41" i="44" s="1"/>
  <c r="CT42" i="44" s="1"/>
  <c r="CT43" i="44" s="1"/>
  <c r="CT44" i="44" s="1"/>
  <c r="CT45" i="44" s="1"/>
  <c r="CT46" i="44" s="1"/>
  <c r="CT47" i="44" s="1"/>
  <c r="CT48" i="44" s="1"/>
  <c r="CT49" i="44" s="1"/>
  <c r="CT50" i="44" s="1"/>
  <c r="CT51" i="44" s="1"/>
  <c r="CT52" i="44" s="1"/>
  <c r="CT53" i="44" s="1"/>
  <c r="CT54" i="44" s="1"/>
  <c r="CT55" i="44" s="1"/>
  <c r="CT56" i="44" s="1"/>
  <c r="CT57" i="44" s="1"/>
  <c r="CT58" i="44" s="1"/>
  <c r="CT59" i="44" s="1"/>
  <c r="CT60" i="44" s="1"/>
  <c r="CT61" i="44" s="1"/>
  <c r="CT62" i="44" s="1"/>
  <c r="CT63" i="44" s="1"/>
  <c r="CT64" i="44" s="1"/>
  <c r="CT65" i="44" s="1"/>
  <c r="CT66" i="44" s="1"/>
  <c r="CT67" i="44" s="1"/>
  <c r="CT68" i="44" s="1"/>
  <c r="CT69" i="44" s="1"/>
  <c r="CT70" i="44" s="1"/>
  <c r="CT71" i="44" s="1"/>
  <c r="CT72" i="44" s="1"/>
  <c r="CT73" i="44" s="1"/>
  <c r="CT74" i="44" s="1"/>
  <c r="CT75" i="44" s="1"/>
  <c r="CT76" i="44" s="1"/>
  <c r="CT77" i="44" s="1"/>
  <c r="CT78" i="44" s="1"/>
  <c r="CT79" i="44" s="1"/>
  <c r="CT80" i="44" s="1"/>
  <c r="CT81" i="44" s="1"/>
  <c r="CT82" i="44" s="1"/>
  <c r="CT83" i="44" s="1"/>
  <c r="CT84" i="44" s="1"/>
  <c r="CS5" i="44"/>
  <c r="CS6" i="44" s="1"/>
  <c r="CS7" i="44" s="1"/>
  <c r="CS8" i="44" s="1"/>
  <c r="CS9" i="44" s="1"/>
  <c r="CS10" i="44" s="1"/>
  <c r="CS11" i="44" s="1"/>
  <c r="CS12" i="44" s="1"/>
  <c r="CS13" i="44" s="1"/>
  <c r="CS14" i="44" s="1"/>
  <c r="CS15" i="44" s="1"/>
  <c r="CS16" i="44" s="1"/>
  <c r="CS17" i="44" s="1"/>
  <c r="CS18" i="44" s="1"/>
  <c r="CS19" i="44" s="1"/>
  <c r="CS20" i="44" s="1"/>
  <c r="CS21" i="44" s="1"/>
  <c r="CS22" i="44" s="1"/>
  <c r="CS23" i="44" s="1"/>
  <c r="CS24" i="44" s="1"/>
  <c r="CS25" i="44" s="1"/>
  <c r="CS26" i="44" s="1"/>
  <c r="CS27" i="44" s="1"/>
  <c r="CS28" i="44" s="1"/>
  <c r="CS29" i="44" s="1"/>
  <c r="CS30" i="44" s="1"/>
  <c r="CS31" i="44" s="1"/>
  <c r="CS32" i="44" s="1"/>
  <c r="CS33" i="44" s="1"/>
  <c r="CS34" i="44" s="1"/>
  <c r="CS35" i="44" s="1"/>
  <c r="CS36" i="44" s="1"/>
  <c r="CS37" i="44" s="1"/>
  <c r="CS38" i="44" s="1"/>
  <c r="CS39" i="44" s="1"/>
  <c r="CS40" i="44" s="1"/>
  <c r="CS41" i="44" s="1"/>
  <c r="CS42" i="44" s="1"/>
  <c r="CS43" i="44" s="1"/>
  <c r="CS44" i="44" s="1"/>
  <c r="CS45" i="44" s="1"/>
  <c r="CS46" i="44" s="1"/>
  <c r="CS47" i="44" s="1"/>
  <c r="CS48" i="44" s="1"/>
  <c r="CS49" i="44" s="1"/>
  <c r="CS50" i="44" s="1"/>
  <c r="CS51" i="44" s="1"/>
  <c r="CS52" i="44" s="1"/>
  <c r="CS53" i="44" s="1"/>
  <c r="CS54" i="44" s="1"/>
  <c r="CS55" i="44" s="1"/>
  <c r="CS56" i="44" s="1"/>
  <c r="CS57" i="44" s="1"/>
  <c r="CS58" i="44" s="1"/>
  <c r="CS59" i="44" s="1"/>
  <c r="CS60" i="44" s="1"/>
  <c r="CS61" i="44" s="1"/>
  <c r="CS62" i="44" s="1"/>
  <c r="CS63" i="44" s="1"/>
  <c r="CS64" i="44" s="1"/>
  <c r="CS65" i="44" s="1"/>
  <c r="CS66" i="44" s="1"/>
  <c r="CS67" i="44" s="1"/>
  <c r="CS68" i="44" s="1"/>
  <c r="CS69" i="44" s="1"/>
  <c r="CS70" i="44" s="1"/>
  <c r="CS71" i="44" s="1"/>
  <c r="CS72" i="44" s="1"/>
  <c r="CS73" i="44" s="1"/>
  <c r="CS74" i="44" s="1"/>
  <c r="CS75" i="44" s="1"/>
  <c r="CS76" i="44" s="1"/>
  <c r="CS77" i="44" s="1"/>
  <c r="CS78" i="44" s="1"/>
  <c r="CS79" i="44" s="1"/>
  <c r="CS80" i="44" s="1"/>
  <c r="CS81" i="44" s="1"/>
  <c r="CS82" i="44" s="1"/>
  <c r="CS83" i="44" s="1"/>
  <c r="CS84" i="44" s="1"/>
  <c r="CR5" i="44"/>
  <c r="CR6" i="44" s="1"/>
  <c r="CR7" i="44" s="1"/>
  <c r="CR8" i="44" s="1"/>
  <c r="CR9" i="44" s="1"/>
  <c r="CR10" i="44" s="1"/>
  <c r="CR11" i="44" s="1"/>
  <c r="CR12" i="44" s="1"/>
  <c r="CR13" i="44" s="1"/>
  <c r="CR14" i="44" s="1"/>
  <c r="CR15" i="44" s="1"/>
  <c r="CR16" i="44" s="1"/>
  <c r="CR17" i="44" s="1"/>
  <c r="CR18" i="44" s="1"/>
  <c r="CR19" i="44" s="1"/>
  <c r="CR20" i="44" s="1"/>
  <c r="CR21" i="44" s="1"/>
  <c r="CR22" i="44" s="1"/>
  <c r="CR23" i="44" s="1"/>
  <c r="CR24" i="44" s="1"/>
  <c r="CR25" i="44" s="1"/>
  <c r="CR26" i="44" s="1"/>
  <c r="CR27" i="44" s="1"/>
  <c r="CR28" i="44" s="1"/>
  <c r="CR29" i="44" s="1"/>
  <c r="CR30" i="44" s="1"/>
  <c r="CR31" i="44" s="1"/>
  <c r="CR32" i="44" s="1"/>
  <c r="CR33" i="44" s="1"/>
  <c r="CR34" i="44" s="1"/>
  <c r="CR35" i="44" s="1"/>
  <c r="CR36" i="44" s="1"/>
  <c r="CR37" i="44" s="1"/>
  <c r="CR38" i="44" s="1"/>
  <c r="CR39" i="44" s="1"/>
  <c r="CR40" i="44" s="1"/>
  <c r="CR41" i="44" s="1"/>
  <c r="CR42" i="44" s="1"/>
  <c r="CR43" i="44" s="1"/>
  <c r="CR44" i="44" s="1"/>
  <c r="CR45" i="44" s="1"/>
  <c r="CR46" i="44" s="1"/>
  <c r="CR47" i="44" s="1"/>
  <c r="CR48" i="44" s="1"/>
  <c r="CR49" i="44" s="1"/>
  <c r="CR50" i="44" s="1"/>
  <c r="CR51" i="44" s="1"/>
  <c r="CR52" i="44" s="1"/>
  <c r="CR53" i="44" s="1"/>
  <c r="CR54" i="44" s="1"/>
  <c r="CR55" i="44" s="1"/>
  <c r="CR56" i="44" s="1"/>
  <c r="CR57" i="44" s="1"/>
  <c r="CR58" i="44" s="1"/>
  <c r="CR59" i="44" s="1"/>
  <c r="CR60" i="44" s="1"/>
  <c r="CR61" i="44" s="1"/>
  <c r="CR62" i="44" s="1"/>
  <c r="CR63" i="44" s="1"/>
  <c r="CR64" i="44" s="1"/>
  <c r="CR65" i="44" s="1"/>
  <c r="CR66" i="44" s="1"/>
  <c r="CR67" i="44" s="1"/>
  <c r="CR68" i="44" s="1"/>
  <c r="CR69" i="44" s="1"/>
  <c r="CR70" i="44" s="1"/>
  <c r="CR71" i="44" s="1"/>
  <c r="CR72" i="44" s="1"/>
  <c r="CR73" i="44" s="1"/>
  <c r="CR74" i="44" s="1"/>
  <c r="CR75" i="44" s="1"/>
  <c r="CR76" i="44" s="1"/>
  <c r="CR77" i="44" s="1"/>
  <c r="CR78" i="44" s="1"/>
  <c r="CR79" i="44" s="1"/>
  <c r="CR80" i="44" s="1"/>
  <c r="CR81" i="44" s="1"/>
  <c r="CR82" i="44" s="1"/>
  <c r="CR83" i="44" s="1"/>
  <c r="CR84" i="44" s="1"/>
  <c r="CQ5" i="44"/>
  <c r="CQ6" i="44" s="1"/>
  <c r="CQ7" i="44" s="1"/>
  <c r="CQ8" i="44" s="1"/>
  <c r="CQ9" i="44" s="1"/>
  <c r="CQ10" i="44" s="1"/>
  <c r="CQ11" i="44" s="1"/>
  <c r="CQ12" i="44" s="1"/>
  <c r="CQ13" i="44" s="1"/>
  <c r="CQ14" i="44" s="1"/>
  <c r="CQ15" i="44" s="1"/>
  <c r="CQ16" i="44" s="1"/>
  <c r="CQ17" i="44" s="1"/>
  <c r="CQ18" i="44" s="1"/>
  <c r="CQ19" i="44" s="1"/>
  <c r="CQ20" i="44" s="1"/>
  <c r="CQ21" i="44" s="1"/>
  <c r="CQ22" i="44" s="1"/>
  <c r="CQ23" i="44" s="1"/>
  <c r="CQ24" i="44" s="1"/>
  <c r="CQ25" i="44" s="1"/>
  <c r="CQ26" i="44" s="1"/>
  <c r="CQ27" i="44" s="1"/>
  <c r="CQ28" i="44" s="1"/>
  <c r="CQ29" i="44" s="1"/>
  <c r="CQ30" i="44" s="1"/>
  <c r="CQ31" i="44" s="1"/>
  <c r="CQ32" i="44" s="1"/>
  <c r="CQ33" i="44" s="1"/>
  <c r="CQ34" i="44" s="1"/>
  <c r="CQ35" i="44" s="1"/>
  <c r="CQ36" i="44" s="1"/>
  <c r="CQ37" i="44" s="1"/>
  <c r="CQ38" i="44" s="1"/>
  <c r="CQ39" i="44" s="1"/>
  <c r="CQ40" i="44" s="1"/>
  <c r="CQ41" i="44" s="1"/>
  <c r="CQ42" i="44" s="1"/>
  <c r="CQ43" i="44" s="1"/>
  <c r="CQ44" i="44" s="1"/>
  <c r="CQ45" i="44" s="1"/>
  <c r="CQ46" i="44" s="1"/>
  <c r="CQ47" i="44" s="1"/>
  <c r="CQ48" i="44" s="1"/>
  <c r="CQ49" i="44" s="1"/>
  <c r="CQ50" i="44" s="1"/>
  <c r="CQ51" i="44" s="1"/>
  <c r="CQ52" i="44" s="1"/>
  <c r="CQ53" i="44" s="1"/>
  <c r="CQ54" i="44" s="1"/>
  <c r="CQ55" i="44" s="1"/>
  <c r="CQ56" i="44" s="1"/>
  <c r="CQ57" i="44" s="1"/>
  <c r="CQ58" i="44" s="1"/>
  <c r="CQ59" i="44" s="1"/>
  <c r="CQ60" i="44" s="1"/>
  <c r="CQ61" i="44" s="1"/>
  <c r="CQ62" i="44" s="1"/>
  <c r="CQ63" i="44" s="1"/>
  <c r="CQ64" i="44" s="1"/>
  <c r="CQ65" i="44" s="1"/>
  <c r="CQ66" i="44" s="1"/>
  <c r="CQ67" i="44" s="1"/>
  <c r="CQ68" i="44" s="1"/>
  <c r="CQ69" i="44" s="1"/>
  <c r="CQ70" i="44" s="1"/>
  <c r="CQ71" i="44" s="1"/>
  <c r="CQ72" i="44" s="1"/>
  <c r="CQ73" i="44" s="1"/>
  <c r="CQ74" i="44" s="1"/>
  <c r="CQ75" i="44" s="1"/>
  <c r="CQ76" i="44" s="1"/>
  <c r="CQ77" i="44" s="1"/>
  <c r="CQ78" i="44" s="1"/>
  <c r="CQ79" i="44" s="1"/>
  <c r="CQ80" i="44" s="1"/>
  <c r="CQ81" i="44" s="1"/>
  <c r="CQ82" i="44" s="1"/>
  <c r="CQ83" i="44" s="1"/>
  <c r="CQ84" i="44" s="1"/>
  <c r="CP5" i="44"/>
  <c r="CP6" i="44" s="1"/>
  <c r="CP7" i="44" s="1"/>
  <c r="CP8" i="44" s="1"/>
  <c r="CP9" i="44" s="1"/>
  <c r="CP10" i="44" s="1"/>
  <c r="CP11" i="44" s="1"/>
  <c r="CP12" i="44" s="1"/>
  <c r="CP13" i="44" s="1"/>
  <c r="CP14" i="44" s="1"/>
  <c r="CP15" i="44" s="1"/>
  <c r="CP16" i="44" s="1"/>
  <c r="CP17" i="44" s="1"/>
  <c r="CP18" i="44" s="1"/>
  <c r="CP19" i="44" s="1"/>
  <c r="CP20" i="44" s="1"/>
  <c r="CP21" i="44" s="1"/>
  <c r="CP22" i="44" s="1"/>
  <c r="CP23" i="44" s="1"/>
  <c r="CP24" i="44" s="1"/>
  <c r="CP25" i="44" s="1"/>
  <c r="CP26" i="44" s="1"/>
  <c r="CP27" i="44" s="1"/>
  <c r="CP28" i="44" s="1"/>
  <c r="CP29" i="44" s="1"/>
  <c r="CP30" i="44" s="1"/>
  <c r="CP31" i="44" s="1"/>
  <c r="CP32" i="44" s="1"/>
  <c r="CP33" i="44" s="1"/>
  <c r="CP34" i="44" s="1"/>
  <c r="CP35" i="44" s="1"/>
  <c r="CP36" i="44" s="1"/>
  <c r="CP37" i="44" s="1"/>
  <c r="CP38" i="44" s="1"/>
  <c r="CP39" i="44" s="1"/>
  <c r="CP40" i="44" s="1"/>
  <c r="CP41" i="44" s="1"/>
  <c r="CP42" i="44" s="1"/>
  <c r="CP43" i="44" s="1"/>
  <c r="CP44" i="44" s="1"/>
  <c r="CP45" i="44" s="1"/>
  <c r="CP46" i="44" s="1"/>
  <c r="CP47" i="44" s="1"/>
  <c r="CP48" i="44" s="1"/>
  <c r="CP49" i="44" s="1"/>
  <c r="CP50" i="44" s="1"/>
  <c r="CP51" i="44" s="1"/>
  <c r="CP52" i="44" s="1"/>
  <c r="CP53" i="44" s="1"/>
  <c r="CP54" i="44" s="1"/>
  <c r="CP55" i="44" s="1"/>
  <c r="CP56" i="44" s="1"/>
  <c r="CP57" i="44" s="1"/>
  <c r="CP58" i="44" s="1"/>
  <c r="CP59" i="44" s="1"/>
  <c r="CP60" i="44" s="1"/>
  <c r="CP61" i="44" s="1"/>
  <c r="CP62" i="44" s="1"/>
  <c r="CP63" i="44" s="1"/>
  <c r="CP64" i="44" s="1"/>
  <c r="CP65" i="44" s="1"/>
  <c r="CP66" i="44" s="1"/>
  <c r="CP67" i="44" s="1"/>
  <c r="CP68" i="44" s="1"/>
  <c r="CP69" i="44" s="1"/>
  <c r="CP70" i="44" s="1"/>
  <c r="CP71" i="44" s="1"/>
  <c r="CP72" i="44" s="1"/>
  <c r="CP73" i="44" s="1"/>
  <c r="CP74" i="44" s="1"/>
  <c r="CP75" i="44" s="1"/>
  <c r="CP76" i="44" s="1"/>
  <c r="CP77" i="44" s="1"/>
  <c r="CP78" i="44" s="1"/>
  <c r="CP79" i="44" s="1"/>
  <c r="CP80" i="44" s="1"/>
  <c r="CP81" i="44" s="1"/>
  <c r="CP82" i="44" s="1"/>
  <c r="CP83" i="44" s="1"/>
  <c r="CP84" i="44" s="1"/>
  <c r="CO5" i="44"/>
  <c r="CO6" i="44" s="1"/>
  <c r="CO7" i="44" s="1"/>
  <c r="CO8" i="44" s="1"/>
  <c r="CO9" i="44" s="1"/>
  <c r="CO10" i="44" s="1"/>
  <c r="CO11" i="44" s="1"/>
  <c r="CO12" i="44" s="1"/>
  <c r="CO13" i="44" s="1"/>
  <c r="CO14" i="44" s="1"/>
  <c r="CO15" i="44" s="1"/>
  <c r="CO16" i="44" s="1"/>
  <c r="CO17" i="44" s="1"/>
  <c r="CO18" i="44" s="1"/>
  <c r="CO19" i="44" s="1"/>
  <c r="CO20" i="44" s="1"/>
  <c r="CO21" i="44" s="1"/>
  <c r="CO22" i="44" s="1"/>
  <c r="CO23" i="44" s="1"/>
  <c r="CO24" i="44" s="1"/>
  <c r="CO25" i="44" s="1"/>
  <c r="CO26" i="44" s="1"/>
  <c r="CO27" i="44" s="1"/>
  <c r="CO28" i="44" s="1"/>
  <c r="CO29" i="44" s="1"/>
  <c r="CO30" i="44" s="1"/>
  <c r="CO31" i="44" s="1"/>
  <c r="CO32" i="44" s="1"/>
  <c r="CO33" i="44" s="1"/>
  <c r="CO34" i="44" s="1"/>
  <c r="CO35" i="44" s="1"/>
  <c r="CO36" i="44" s="1"/>
  <c r="CO37" i="44" s="1"/>
  <c r="CO38" i="44" s="1"/>
  <c r="CO39" i="44" s="1"/>
  <c r="CO40" i="44" s="1"/>
  <c r="CO41" i="44" s="1"/>
  <c r="CO42" i="44" s="1"/>
  <c r="CO43" i="44" s="1"/>
  <c r="CO44" i="44" s="1"/>
  <c r="CO45" i="44" s="1"/>
  <c r="CO46" i="44" s="1"/>
  <c r="CO47" i="44" s="1"/>
  <c r="CO48" i="44" s="1"/>
  <c r="CO49" i="44" s="1"/>
  <c r="CO50" i="44" s="1"/>
  <c r="CO51" i="44" s="1"/>
  <c r="CO52" i="44" s="1"/>
  <c r="CO53" i="44" s="1"/>
  <c r="CO54" i="44" s="1"/>
  <c r="CO55" i="44" s="1"/>
  <c r="CO56" i="44" s="1"/>
  <c r="CO57" i="44" s="1"/>
  <c r="CO58" i="44" s="1"/>
  <c r="CO59" i="44" s="1"/>
  <c r="CO60" i="44" s="1"/>
  <c r="CO61" i="44" s="1"/>
  <c r="CO62" i="44" s="1"/>
  <c r="CO63" i="44" s="1"/>
  <c r="CO64" i="44" s="1"/>
  <c r="CO65" i="44" s="1"/>
  <c r="CO66" i="44" s="1"/>
  <c r="CO67" i="44" s="1"/>
  <c r="CO68" i="44" s="1"/>
  <c r="CO69" i="44" s="1"/>
  <c r="CO70" i="44" s="1"/>
  <c r="CO71" i="44" s="1"/>
  <c r="CO72" i="44" s="1"/>
  <c r="CO73" i="44" s="1"/>
  <c r="CO74" i="44" s="1"/>
  <c r="CO75" i="44" s="1"/>
  <c r="CO76" i="44" s="1"/>
  <c r="CO77" i="44" s="1"/>
  <c r="CO78" i="44" s="1"/>
  <c r="CO79" i="44" s="1"/>
  <c r="CO80" i="44" s="1"/>
  <c r="CO81" i="44" s="1"/>
  <c r="CO82" i="44" s="1"/>
  <c r="CO83" i="44" s="1"/>
  <c r="CO84" i="44" s="1"/>
  <c r="CN5" i="44"/>
  <c r="CN6" i="44" s="1"/>
  <c r="CN7" i="44" s="1"/>
  <c r="CN8" i="44" s="1"/>
  <c r="CN9" i="44" s="1"/>
  <c r="CN10" i="44" s="1"/>
  <c r="CN11" i="44" s="1"/>
  <c r="CN12" i="44" s="1"/>
  <c r="CN13" i="44" s="1"/>
  <c r="CN14" i="44" s="1"/>
  <c r="CN15" i="44" s="1"/>
  <c r="CN16" i="44" s="1"/>
  <c r="CN17" i="44" s="1"/>
  <c r="CN18" i="44" s="1"/>
  <c r="CN19" i="44" s="1"/>
  <c r="CN20" i="44" s="1"/>
  <c r="CN21" i="44" s="1"/>
  <c r="CN22" i="44" s="1"/>
  <c r="CN23" i="44" s="1"/>
  <c r="CN24" i="44" s="1"/>
  <c r="CN25" i="44" s="1"/>
  <c r="CN26" i="44" s="1"/>
  <c r="CN27" i="44" s="1"/>
  <c r="CN28" i="44" s="1"/>
  <c r="CN29" i="44" s="1"/>
  <c r="CN30" i="44" s="1"/>
  <c r="CN31" i="44" s="1"/>
  <c r="CN32" i="44" s="1"/>
  <c r="CN33" i="44" s="1"/>
  <c r="CN34" i="44" s="1"/>
  <c r="CN35" i="44" s="1"/>
  <c r="CN36" i="44" s="1"/>
  <c r="CN37" i="44" s="1"/>
  <c r="CN38" i="44" s="1"/>
  <c r="CN39" i="44" s="1"/>
  <c r="CN40" i="44" s="1"/>
  <c r="CN41" i="44" s="1"/>
  <c r="CN42" i="44" s="1"/>
  <c r="CN43" i="44" s="1"/>
  <c r="CN44" i="44" s="1"/>
  <c r="CN45" i="44" s="1"/>
  <c r="CN46" i="44" s="1"/>
  <c r="CN47" i="44" s="1"/>
  <c r="CN48" i="44" s="1"/>
  <c r="CN49" i="44" s="1"/>
  <c r="CN50" i="44" s="1"/>
  <c r="CN51" i="44" s="1"/>
  <c r="CN52" i="44" s="1"/>
  <c r="CN53" i="44" s="1"/>
  <c r="CN54" i="44" s="1"/>
  <c r="CN55" i="44" s="1"/>
  <c r="CN56" i="44" s="1"/>
  <c r="CN57" i="44" s="1"/>
  <c r="CN58" i="44" s="1"/>
  <c r="CN59" i="44" s="1"/>
  <c r="CN60" i="44" s="1"/>
  <c r="CN61" i="44" s="1"/>
  <c r="CN62" i="44" s="1"/>
  <c r="CN63" i="44" s="1"/>
  <c r="CN64" i="44" s="1"/>
  <c r="CN65" i="44" s="1"/>
  <c r="CN66" i="44" s="1"/>
  <c r="CN67" i="44" s="1"/>
  <c r="CN68" i="44" s="1"/>
  <c r="CN69" i="44" s="1"/>
  <c r="CN70" i="44" s="1"/>
  <c r="CN71" i="44" s="1"/>
  <c r="CN72" i="44" s="1"/>
  <c r="CN73" i="44" s="1"/>
  <c r="CN74" i="44" s="1"/>
  <c r="CN75" i="44" s="1"/>
  <c r="CN76" i="44" s="1"/>
  <c r="CN77" i="44" s="1"/>
  <c r="CN78" i="44" s="1"/>
  <c r="CN79" i="44" s="1"/>
  <c r="CN80" i="44" s="1"/>
  <c r="CN81" i="44" s="1"/>
  <c r="CN82" i="44" s="1"/>
  <c r="CN83" i="44" s="1"/>
  <c r="CN84" i="44" s="1"/>
  <c r="CM5" i="44"/>
  <c r="CM6" i="44" s="1"/>
  <c r="CM7" i="44" s="1"/>
  <c r="CM8" i="44" s="1"/>
  <c r="CM9" i="44" s="1"/>
  <c r="CM10" i="44" s="1"/>
  <c r="CM11" i="44" s="1"/>
  <c r="CM12" i="44" s="1"/>
  <c r="CM13" i="44" s="1"/>
  <c r="CM14" i="44" s="1"/>
  <c r="CM15" i="44" s="1"/>
  <c r="CM16" i="44" s="1"/>
  <c r="CM17" i="44" s="1"/>
  <c r="CM18" i="44" s="1"/>
  <c r="CM19" i="44" s="1"/>
  <c r="CM20" i="44" s="1"/>
  <c r="CM21" i="44" s="1"/>
  <c r="CM22" i="44" s="1"/>
  <c r="CM23" i="44" s="1"/>
  <c r="CM24" i="44" s="1"/>
  <c r="CM25" i="44" s="1"/>
  <c r="CM26" i="44" s="1"/>
  <c r="CM27" i="44" s="1"/>
  <c r="CM28" i="44" s="1"/>
  <c r="CM29" i="44" s="1"/>
  <c r="CM30" i="44" s="1"/>
  <c r="CM31" i="44" s="1"/>
  <c r="CM32" i="44" s="1"/>
  <c r="CM33" i="44" s="1"/>
  <c r="CM34" i="44" s="1"/>
  <c r="CM35" i="44" s="1"/>
  <c r="CM36" i="44" s="1"/>
  <c r="CM37" i="44" s="1"/>
  <c r="CM38" i="44" s="1"/>
  <c r="CM39" i="44" s="1"/>
  <c r="CM40" i="44" s="1"/>
  <c r="CM41" i="44" s="1"/>
  <c r="CM42" i="44" s="1"/>
  <c r="CM43" i="44" s="1"/>
  <c r="CM44" i="44" s="1"/>
  <c r="CM45" i="44" s="1"/>
  <c r="CM46" i="44" s="1"/>
  <c r="CM47" i="44" s="1"/>
  <c r="CM48" i="44" s="1"/>
  <c r="CM49" i="44" s="1"/>
  <c r="CM50" i="44" s="1"/>
  <c r="CM51" i="44" s="1"/>
  <c r="CM52" i="44" s="1"/>
  <c r="CM53" i="44" s="1"/>
  <c r="CM54" i="44" s="1"/>
  <c r="CM55" i="44" s="1"/>
  <c r="CM56" i="44" s="1"/>
  <c r="CM57" i="44" s="1"/>
  <c r="CM58" i="44" s="1"/>
  <c r="CM59" i="44" s="1"/>
  <c r="CM60" i="44" s="1"/>
  <c r="CM61" i="44" s="1"/>
  <c r="CM62" i="44" s="1"/>
  <c r="CM63" i="44" s="1"/>
  <c r="CM64" i="44" s="1"/>
  <c r="CM65" i="44" s="1"/>
  <c r="CM66" i="44" s="1"/>
  <c r="CM67" i="44" s="1"/>
  <c r="CM68" i="44" s="1"/>
  <c r="CM69" i="44" s="1"/>
  <c r="CM70" i="44" s="1"/>
  <c r="CM71" i="44" s="1"/>
  <c r="CM72" i="44" s="1"/>
  <c r="CM73" i="44" s="1"/>
  <c r="CM74" i="44" s="1"/>
  <c r="CM75" i="44" s="1"/>
  <c r="CM76" i="44" s="1"/>
  <c r="CM77" i="44" s="1"/>
  <c r="CM78" i="44" s="1"/>
  <c r="CM79" i="44" s="1"/>
  <c r="CM80" i="44" s="1"/>
  <c r="CM81" i="44" s="1"/>
  <c r="CM82" i="44" s="1"/>
  <c r="CM83" i="44" s="1"/>
  <c r="CM84" i="44" s="1"/>
  <c r="CL5" i="44"/>
  <c r="CL6" i="44" s="1"/>
  <c r="CL7" i="44" s="1"/>
  <c r="CL8" i="44" s="1"/>
  <c r="CL9" i="44" s="1"/>
  <c r="CL10" i="44" s="1"/>
  <c r="CL11" i="44" s="1"/>
  <c r="CL12" i="44" s="1"/>
  <c r="CL13" i="44" s="1"/>
  <c r="CL14" i="44" s="1"/>
  <c r="CL15" i="44" s="1"/>
  <c r="CL16" i="44" s="1"/>
  <c r="CL17" i="44" s="1"/>
  <c r="CL18" i="44" s="1"/>
  <c r="CL19" i="44" s="1"/>
  <c r="CL20" i="44" s="1"/>
  <c r="CL21" i="44" s="1"/>
  <c r="CL22" i="44" s="1"/>
  <c r="CL23" i="44" s="1"/>
  <c r="CL24" i="44" s="1"/>
  <c r="CL25" i="44" s="1"/>
  <c r="CL26" i="44" s="1"/>
  <c r="CL27" i="44" s="1"/>
  <c r="CL28" i="44" s="1"/>
  <c r="CL29" i="44" s="1"/>
  <c r="CL30" i="44" s="1"/>
  <c r="CL31" i="44" s="1"/>
  <c r="CL32" i="44" s="1"/>
  <c r="CL33" i="44" s="1"/>
  <c r="CL34" i="44" s="1"/>
  <c r="CL35" i="44" s="1"/>
  <c r="CL36" i="44" s="1"/>
  <c r="CL37" i="44" s="1"/>
  <c r="CL38" i="44" s="1"/>
  <c r="CL39" i="44" s="1"/>
  <c r="CL40" i="44" s="1"/>
  <c r="CL41" i="44" s="1"/>
  <c r="CL42" i="44" s="1"/>
  <c r="CL43" i="44" s="1"/>
  <c r="CL44" i="44" s="1"/>
  <c r="CL45" i="44" s="1"/>
  <c r="CL46" i="44" s="1"/>
  <c r="CL47" i="44" s="1"/>
  <c r="CL48" i="44" s="1"/>
  <c r="CL49" i="44" s="1"/>
  <c r="CL50" i="44" s="1"/>
  <c r="CL51" i="44" s="1"/>
  <c r="CL52" i="44" s="1"/>
  <c r="CL53" i="44" s="1"/>
  <c r="CL54" i="44" s="1"/>
  <c r="CL55" i="44" s="1"/>
  <c r="CL56" i="44" s="1"/>
  <c r="CL57" i="44" s="1"/>
  <c r="CL58" i="44" s="1"/>
  <c r="CL59" i="44" s="1"/>
  <c r="CL60" i="44" s="1"/>
  <c r="CL61" i="44" s="1"/>
  <c r="CL62" i="44" s="1"/>
  <c r="CL63" i="44" s="1"/>
  <c r="CL64" i="44" s="1"/>
  <c r="CL65" i="44" s="1"/>
  <c r="CL66" i="44" s="1"/>
  <c r="CL67" i="44" s="1"/>
  <c r="CL68" i="44" s="1"/>
  <c r="CL69" i="44" s="1"/>
  <c r="CL70" i="44" s="1"/>
  <c r="CL71" i="44" s="1"/>
  <c r="CL72" i="44" s="1"/>
  <c r="CL73" i="44" s="1"/>
  <c r="CL74" i="44" s="1"/>
  <c r="CL75" i="44" s="1"/>
  <c r="CL76" i="44" s="1"/>
  <c r="CL77" i="44" s="1"/>
  <c r="CL78" i="44" s="1"/>
  <c r="CL79" i="44" s="1"/>
  <c r="CL80" i="44" s="1"/>
  <c r="CL81" i="44" s="1"/>
  <c r="CL82" i="44" s="1"/>
  <c r="CL83" i="44" s="1"/>
  <c r="CL84" i="44" s="1"/>
  <c r="CK5" i="44"/>
  <c r="CK6" i="44" s="1"/>
  <c r="CK7" i="44" s="1"/>
  <c r="CK8" i="44" s="1"/>
  <c r="CK9" i="44" s="1"/>
  <c r="CK10" i="44" s="1"/>
  <c r="CK11" i="44" s="1"/>
  <c r="CK12" i="44" s="1"/>
  <c r="CK13" i="44" s="1"/>
  <c r="CK14" i="44" s="1"/>
  <c r="CK15" i="44" s="1"/>
  <c r="CK16" i="44" s="1"/>
  <c r="CK17" i="44" s="1"/>
  <c r="CK18" i="44" s="1"/>
  <c r="CK19" i="44" s="1"/>
  <c r="CK20" i="44" s="1"/>
  <c r="CK21" i="44" s="1"/>
  <c r="CK22" i="44" s="1"/>
  <c r="CK23" i="44" s="1"/>
  <c r="CK24" i="44" s="1"/>
  <c r="CK25" i="44" s="1"/>
  <c r="CK26" i="44" s="1"/>
  <c r="CK27" i="44" s="1"/>
  <c r="CK28" i="44" s="1"/>
  <c r="CK29" i="44" s="1"/>
  <c r="CK30" i="44" s="1"/>
  <c r="CK31" i="44" s="1"/>
  <c r="CK32" i="44" s="1"/>
  <c r="CK33" i="44" s="1"/>
  <c r="CK34" i="44" s="1"/>
  <c r="CK35" i="44" s="1"/>
  <c r="CK36" i="44" s="1"/>
  <c r="CK37" i="44" s="1"/>
  <c r="CK38" i="44" s="1"/>
  <c r="CK39" i="44" s="1"/>
  <c r="CK40" i="44" s="1"/>
  <c r="CK41" i="44" s="1"/>
  <c r="CK42" i="44" s="1"/>
  <c r="CK43" i="44" s="1"/>
  <c r="CK44" i="44" s="1"/>
  <c r="CK45" i="44" s="1"/>
  <c r="CK46" i="44" s="1"/>
  <c r="CK47" i="44" s="1"/>
  <c r="CK48" i="44" s="1"/>
  <c r="CK49" i="44" s="1"/>
  <c r="CK50" i="44" s="1"/>
  <c r="CK51" i="44" s="1"/>
  <c r="CK52" i="44" s="1"/>
  <c r="CK53" i="44" s="1"/>
  <c r="CK54" i="44" s="1"/>
  <c r="CK55" i="44" s="1"/>
  <c r="CK56" i="44" s="1"/>
  <c r="CK57" i="44" s="1"/>
  <c r="CK58" i="44" s="1"/>
  <c r="CK59" i="44" s="1"/>
  <c r="CK60" i="44" s="1"/>
  <c r="CK61" i="44" s="1"/>
  <c r="CK62" i="44" s="1"/>
  <c r="CK63" i="44" s="1"/>
  <c r="CK64" i="44" s="1"/>
  <c r="CK65" i="44" s="1"/>
  <c r="CK66" i="44" s="1"/>
  <c r="CK67" i="44" s="1"/>
  <c r="CK68" i="44" s="1"/>
  <c r="CK69" i="44" s="1"/>
  <c r="CK70" i="44" s="1"/>
  <c r="CK71" i="44" s="1"/>
  <c r="CK72" i="44" s="1"/>
  <c r="CK73" i="44" s="1"/>
  <c r="CK74" i="44" s="1"/>
  <c r="CK75" i="44" s="1"/>
  <c r="CK76" i="44" s="1"/>
  <c r="CK77" i="44" s="1"/>
  <c r="CK78" i="44" s="1"/>
  <c r="CK79" i="44" s="1"/>
  <c r="CK80" i="44" s="1"/>
  <c r="CK81" i="44" s="1"/>
  <c r="CK82" i="44" s="1"/>
  <c r="CK83" i="44" s="1"/>
  <c r="CK84" i="44" s="1"/>
  <c r="CJ5" i="44"/>
  <c r="CJ6" i="44" s="1"/>
  <c r="CJ7" i="44" s="1"/>
  <c r="CJ8" i="44" s="1"/>
  <c r="CJ9" i="44" s="1"/>
  <c r="CJ10" i="44" s="1"/>
  <c r="CJ11" i="44" s="1"/>
  <c r="CJ12" i="44" s="1"/>
  <c r="CJ13" i="44" s="1"/>
  <c r="CJ14" i="44" s="1"/>
  <c r="CJ15" i="44" s="1"/>
  <c r="CJ16" i="44" s="1"/>
  <c r="CJ17" i="44" s="1"/>
  <c r="CJ18" i="44" s="1"/>
  <c r="CJ19" i="44" s="1"/>
  <c r="CJ20" i="44" s="1"/>
  <c r="CJ21" i="44" s="1"/>
  <c r="CJ22" i="44" s="1"/>
  <c r="CJ23" i="44" s="1"/>
  <c r="CJ24" i="44" s="1"/>
  <c r="CJ25" i="44" s="1"/>
  <c r="CJ26" i="44" s="1"/>
  <c r="CJ27" i="44" s="1"/>
  <c r="CJ28" i="44" s="1"/>
  <c r="CJ29" i="44" s="1"/>
  <c r="CJ30" i="44" s="1"/>
  <c r="CJ31" i="44" s="1"/>
  <c r="CJ32" i="44" s="1"/>
  <c r="CJ33" i="44" s="1"/>
  <c r="CJ34" i="44" s="1"/>
  <c r="CJ35" i="44" s="1"/>
  <c r="CJ36" i="44" s="1"/>
  <c r="CJ37" i="44" s="1"/>
  <c r="CJ38" i="44" s="1"/>
  <c r="CJ39" i="44" s="1"/>
  <c r="CJ40" i="44" s="1"/>
  <c r="CJ41" i="44" s="1"/>
  <c r="CJ42" i="44" s="1"/>
  <c r="CJ43" i="44" s="1"/>
  <c r="CJ44" i="44" s="1"/>
  <c r="CJ45" i="44" s="1"/>
  <c r="CJ46" i="44" s="1"/>
  <c r="CJ47" i="44" s="1"/>
  <c r="CJ48" i="44" s="1"/>
  <c r="CJ49" i="44" s="1"/>
  <c r="CJ50" i="44" s="1"/>
  <c r="CJ51" i="44" s="1"/>
  <c r="CJ52" i="44" s="1"/>
  <c r="CJ53" i="44" s="1"/>
  <c r="CJ54" i="44" s="1"/>
  <c r="CJ55" i="44" s="1"/>
  <c r="CJ56" i="44" s="1"/>
  <c r="CJ57" i="44" s="1"/>
  <c r="CJ58" i="44" s="1"/>
  <c r="CJ59" i="44" s="1"/>
  <c r="CJ60" i="44" s="1"/>
  <c r="CJ61" i="44" s="1"/>
  <c r="CJ62" i="44" s="1"/>
  <c r="CJ63" i="44" s="1"/>
  <c r="CJ64" i="44" s="1"/>
  <c r="CJ65" i="44" s="1"/>
  <c r="CJ66" i="44" s="1"/>
  <c r="CJ67" i="44" s="1"/>
  <c r="CJ68" i="44" s="1"/>
  <c r="CJ69" i="44" s="1"/>
  <c r="CJ70" i="44" s="1"/>
  <c r="CJ71" i="44" s="1"/>
  <c r="CJ72" i="44" s="1"/>
  <c r="CJ73" i="44" s="1"/>
  <c r="CJ74" i="44" s="1"/>
  <c r="CJ75" i="44" s="1"/>
  <c r="CJ76" i="44" s="1"/>
  <c r="CJ77" i="44" s="1"/>
  <c r="CJ78" i="44" s="1"/>
  <c r="CJ79" i="44" s="1"/>
  <c r="CJ80" i="44" s="1"/>
  <c r="CJ81" i="44" s="1"/>
  <c r="CJ82" i="44" s="1"/>
  <c r="CJ83" i="44" s="1"/>
  <c r="CJ84" i="44" s="1"/>
  <c r="CI5" i="44"/>
  <c r="CI6" i="44" s="1"/>
  <c r="CI7" i="44" s="1"/>
  <c r="CI8" i="44" s="1"/>
  <c r="CI9" i="44" s="1"/>
  <c r="CI10" i="44" s="1"/>
  <c r="CI11" i="44" s="1"/>
  <c r="CI12" i="44" s="1"/>
  <c r="CI13" i="44" s="1"/>
  <c r="CI14" i="44" s="1"/>
  <c r="CI15" i="44" s="1"/>
  <c r="CI16" i="44" s="1"/>
  <c r="CI17" i="44" s="1"/>
  <c r="CI18" i="44" s="1"/>
  <c r="CI19" i="44" s="1"/>
  <c r="CI20" i="44" s="1"/>
  <c r="CI21" i="44" s="1"/>
  <c r="CI22" i="44" s="1"/>
  <c r="CI23" i="44" s="1"/>
  <c r="CI24" i="44" s="1"/>
  <c r="CI25" i="44" s="1"/>
  <c r="CI26" i="44" s="1"/>
  <c r="CI27" i="44" s="1"/>
  <c r="CI28" i="44" s="1"/>
  <c r="CI29" i="44" s="1"/>
  <c r="CI30" i="44" s="1"/>
  <c r="CI31" i="44" s="1"/>
  <c r="CI32" i="44" s="1"/>
  <c r="CI33" i="44" s="1"/>
  <c r="CI34" i="44" s="1"/>
  <c r="CI35" i="44" s="1"/>
  <c r="CI36" i="44" s="1"/>
  <c r="CI37" i="44" s="1"/>
  <c r="CI38" i="44" s="1"/>
  <c r="CI39" i="44" s="1"/>
  <c r="CI40" i="44" s="1"/>
  <c r="CI41" i="44" s="1"/>
  <c r="CI42" i="44" s="1"/>
  <c r="CI43" i="44" s="1"/>
  <c r="CI44" i="44" s="1"/>
  <c r="CI45" i="44" s="1"/>
  <c r="CI46" i="44" s="1"/>
  <c r="CI47" i="44" s="1"/>
  <c r="CI48" i="44" s="1"/>
  <c r="CI49" i="44" s="1"/>
  <c r="CI50" i="44" s="1"/>
  <c r="CI51" i="44" s="1"/>
  <c r="CI52" i="44" s="1"/>
  <c r="CI53" i="44" s="1"/>
  <c r="CI54" i="44" s="1"/>
  <c r="CI55" i="44" s="1"/>
  <c r="CI56" i="44" s="1"/>
  <c r="CI57" i="44" s="1"/>
  <c r="CI58" i="44" s="1"/>
  <c r="CI59" i="44" s="1"/>
  <c r="CI60" i="44" s="1"/>
  <c r="CI61" i="44" s="1"/>
  <c r="CI62" i="44" s="1"/>
  <c r="CI63" i="44" s="1"/>
  <c r="CI64" i="44" s="1"/>
  <c r="CI65" i="44" s="1"/>
  <c r="CI66" i="44" s="1"/>
  <c r="CI67" i="44" s="1"/>
  <c r="CI68" i="44" s="1"/>
  <c r="CI69" i="44" s="1"/>
  <c r="CI70" i="44" s="1"/>
  <c r="CI71" i="44" s="1"/>
  <c r="CI72" i="44" s="1"/>
  <c r="CI73" i="44" s="1"/>
  <c r="CI74" i="44" s="1"/>
  <c r="CI75" i="44" s="1"/>
  <c r="CI76" i="44" s="1"/>
  <c r="CI77" i="44" s="1"/>
  <c r="CI78" i="44" s="1"/>
  <c r="CI79" i="44" s="1"/>
  <c r="CI80" i="44" s="1"/>
  <c r="CI81" i="44" s="1"/>
  <c r="CI82" i="44" s="1"/>
  <c r="CI83" i="44" s="1"/>
  <c r="CI84" i="44" s="1"/>
  <c r="CH5" i="44"/>
  <c r="CH6" i="44" s="1"/>
  <c r="CH7" i="44" s="1"/>
  <c r="CH8" i="44" s="1"/>
  <c r="CH9" i="44" s="1"/>
  <c r="CH10" i="44" s="1"/>
  <c r="CH11" i="44" s="1"/>
  <c r="CH12" i="44" s="1"/>
  <c r="CH13" i="44" s="1"/>
  <c r="CH14" i="44" s="1"/>
  <c r="CH15" i="44" s="1"/>
  <c r="CH16" i="44" s="1"/>
  <c r="CH17" i="44" s="1"/>
  <c r="CH18" i="44" s="1"/>
  <c r="CH19" i="44" s="1"/>
  <c r="CH20" i="44" s="1"/>
  <c r="CH21" i="44" s="1"/>
  <c r="CH22" i="44" s="1"/>
  <c r="CH23" i="44" s="1"/>
  <c r="CH24" i="44" s="1"/>
  <c r="CH25" i="44" s="1"/>
  <c r="CH26" i="44" s="1"/>
  <c r="CH27" i="44" s="1"/>
  <c r="CH28" i="44" s="1"/>
  <c r="CH29" i="44" s="1"/>
  <c r="CH30" i="44" s="1"/>
  <c r="CH31" i="44" s="1"/>
  <c r="CH32" i="44" s="1"/>
  <c r="CH33" i="44" s="1"/>
  <c r="CH34" i="44" s="1"/>
  <c r="CH35" i="44" s="1"/>
  <c r="CH36" i="44" s="1"/>
  <c r="CH37" i="44" s="1"/>
  <c r="CH38" i="44" s="1"/>
  <c r="CH39" i="44" s="1"/>
  <c r="CH40" i="44" s="1"/>
  <c r="CH41" i="44" s="1"/>
  <c r="CH42" i="44" s="1"/>
  <c r="CH43" i="44" s="1"/>
  <c r="CH44" i="44" s="1"/>
  <c r="CH45" i="44" s="1"/>
  <c r="CH46" i="44" s="1"/>
  <c r="CH47" i="44" s="1"/>
  <c r="CH48" i="44" s="1"/>
  <c r="CH49" i="44" s="1"/>
  <c r="CH50" i="44" s="1"/>
  <c r="CH51" i="44" s="1"/>
  <c r="CH52" i="44" s="1"/>
  <c r="CH53" i="44" s="1"/>
  <c r="CH54" i="44" s="1"/>
  <c r="CH55" i="44" s="1"/>
  <c r="CH56" i="44" s="1"/>
  <c r="CH57" i="44" s="1"/>
  <c r="CH58" i="44" s="1"/>
  <c r="CH59" i="44" s="1"/>
  <c r="CH60" i="44" s="1"/>
  <c r="CH61" i="44" s="1"/>
  <c r="CH62" i="44" s="1"/>
  <c r="CH63" i="44" s="1"/>
  <c r="CH64" i="44" s="1"/>
  <c r="CH65" i="44" s="1"/>
  <c r="CH66" i="44" s="1"/>
  <c r="CH67" i="44" s="1"/>
  <c r="CH68" i="44" s="1"/>
  <c r="CH69" i="44" s="1"/>
  <c r="CH70" i="44" s="1"/>
  <c r="CH71" i="44" s="1"/>
  <c r="CH72" i="44" s="1"/>
  <c r="CH73" i="44" s="1"/>
  <c r="CH74" i="44" s="1"/>
  <c r="CH75" i="44" s="1"/>
  <c r="CH76" i="44" s="1"/>
  <c r="CH77" i="44" s="1"/>
  <c r="CH78" i="44" s="1"/>
  <c r="CH79" i="44" s="1"/>
  <c r="CH80" i="44" s="1"/>
  <c r="CH81" i="44" s="1"/>
  <c r="CH82" i="44" s="1"/>
  <c r="CH83" i="44" s="1"/>
  <c r="CH84" i="44" s="1"/>
  <c r="CG5" i="44"/>
  <c r="CG6" i="44" s="1"/>
  <c r="CG7" i="44" s="1"/>
  <c r="CG8" i="44" s="1"/>
  <c r="CG9" i="44" s="1"/>
  <c r="CG10" i="44" s="1"/>
  <c r="CG11" i="44" s="1"/>
  <c r="CG12" i="44" s="1"/>
  <c r="CG13" i="44" s="1"/>
  <c r="CG14" i="44" s="1"/>
  <c r="CG15" i="44" s="1"/>
  <c r="CG16" i="44" s="1"/>
  <c r="CG17" i="44" s="1"/>
  <c r="CG18" i="44" s="1"/>
  <c r="CG19" i="44" s="1"/>
  <c r="CG20" i="44" s="1"/>
  <c r="CG21" i="44" s="1"/>
  <c r="CG22" i="44" s="1"/>
  <c r="CG23" i="44" s="1"/>
  <c r="CG24" i="44" s="1"/>
  <c r="CG25" i="44" s="1"/>
  <c r="CG26" i="44" s="1"/>
  <c r="CG27" i="44" s="1"/>
  <c r="CG28" i="44" s="1"/>
  <c r="CG29" i="44" s="1"/>
  <c r="CG30" i="44" s="1"/>
  <c r="CG31" i="44" s="1"/>
  <c r="CG32" i="44" s="1"/>
  <c r="CG33" i="44" s="1"/>
  <c r="CG34" i="44" s="1"/>
  <c r="CG35" i="44" s="1"/>
  <c r="CG36" i="44" s="1"/>
  <c r="CG37" i="44" s="1"/>
  <c r="CG38" i="44" s="1"/>
  <c r="CG39" i="44" s="1"/>
  <c r="CG40" i="44" s="1"/>
  <c r="CG41" i="44" s="1"/>
  <c r="CG42" i="44" s="1"/>
  <c r="CG43" i="44" s="1"/>
  <c r="CG44" i="44" s="1"/>
  <c r="CG45" i="44" s="1"/>
  <c r="CG46" i="44" s="1"/>
  <c r="CG47" i="44" s="1"/>
  <c r="CG48" i="44" s="1"/>
  <c r="CG49" i="44" s="1"/>
  <c r="CG50" i="44" s="1"/>
  <c r="CG51" i="44" s="1"/>
  <c r="CG52" i="44" s="1"/>
  <c r="CG53" i="44" s="1"/>
  <c r="CG54" i="44" s="1"/>
  <c r="CG55" i="44" s="1"/>
  <c r="CG56" i="44" s="1"/>
  <c r="CG57" i="44" s="1"/>
  <c r="CG58" i="44" s="1"/>
  <c r="CG59" i="44" s="1"/>
  <c r="CG60" i="44" s="1"/>
  <c r="CG61" i="44" s="1"/>
  <c r="CG62" i="44" s="1"/>
  <c r="CG63" i="44" s="1"/>
  <c r="CG64" i="44" s="1"/>
  <c r="CG65" i="44" s="1"/>
  <c r="CG66" i="44" s="1"/>
  <c r="CG67" i="44" s="1"/>
  <c r="CG68" i="44" s="1"/>
  <c r="CG69" i="44" s="1"/>
  <c r="CG70" i="44" s="1"/>
  <c r="CG71" i="44" s="1"/>
  <c r="CG72" i="44" s="1"/>
  <c r="CG73" i="44" s="1"/>
  <c r="CG74" i="44" s="1"/>
  <c r="CG75" i="44" s="1"/>
  <c r="CG76" i="44" s="1"/>
  <c r="CG77" i="44" s="1"/>
  <c r="CG78" i="44" s="1"/>
  <c r="CG79" i="44" s="1"/>
  <c r="CG80" i="44" s="1"/>
  <c r="CG81" i="44" s="1"/>
  <c r="CG82" i="44" s="1"/>
  <c r="CG83" i="44" s="1"/>
  <c r="CG84" i="44" s="1"/>
  <c r="CF5" i="44"/>
  <c r="CF6" i="44" s="1"/>
  <c r="CF7" i="44" s="1"/>
  <c r="CF8" i="44" s="1"/>
  <c r="CF9" i="44" s="1"/>
  <c r="CF10" i="44" s="1"/>
  <c r="CF11" i="44" s="1"/>
  <c r="CF12" i="44" s="1"/>
  <c r="CF13" i="44" s="1"/>
  <c r="CF14" i="44" s="1"/>
  <c r="CF15" i="44" s="1"/>
  <c r="CF16" i="44" s="1"/>
  <c r="CF17" i="44" s="1"/>
  <c r="CF18" i="44" s="1"/>
  <c r="CF19" i="44" s="1"/>
  <c r="CF20" i="44" s="1"/>
  <c r="CF21" i="44" s="1"/>
  <c r="CF22" i="44" s="1"/>
  <c r="CF23" i="44" s="1"/>
  <c r="CF24" i="44" s="1"/>
  <c r="CF25" i="44" s="1"/>
  <c r="CF26" i="44" s="1"/>
  <c r="CF27" i="44" s="1"/>
  <c r="CF28" i="44" s="1"/>
  <c r="CF29" i="44" s="1"/>
  <c r="CF30" i="44" s="1"/>
  <c r="CF31" i="44" s="1"/>
  <c r="CF32" i="44" s="1"/>
  <c r="CF33" i="44" s="1"/>
  <c r="CF34" i="44" s="1"/>
  <c r="CF35" i="44" s="1"/>
  <c r="CF36" i="44" s="1"/>
  <c r="CF37" i="44" s="1"/>
  <c r="CF38" i="44" s="1"/>
  <c r="CF39" i="44" s="1"/>
  <c r="CF40" i="44" s="1"/>
  <c r="CF41" i="44" s="1"/>
  <c r="CF42" i="44" s="1"/>
  <c r="CF43" i="44" s="1"/>
  <c r="CF44" i="44" s="1"/>
  <c r="CF45" i="44" s="1"/>
  <c r="CF46" i="44" s="1"/>
  <c r="CF47" i="44" s="1"/>
  <c r="CF48" i="44" s="1"/>
  <c r="CF49" i="44" s="1"/>
  <c r="CF50" i="44" s="1"/>
  <c r="CF51" i="44" s="1"/>
  <c r="CF52" i="44" s="1"/>
  <c r="CF53" i="44" s="1"/>
  <c r="CF54" i="44" s="1"/>
  <c r="CF55" i="44" s="1"/>
  <c r="CF56" i="44" s="1"/>
  <c r="CF57" i="44" s="1"/>
  <c r="CF58" i="44" s="1"/>
  <c r="CF59" i="44" s="1"/>
  <c r="CF60" i="44" s="1"/>
  <c r="CF61" i="44" s="1"/>
  <c r="CF62" i="44" s="1"/>
  <c r="CF63" i="44" s="1"/>
  <c r="CF64" i="44" s="1"/>
  <c r="CF65" i="44" s="1"/>
  <c r="CF66" i="44" s="1"/>
  <c r="CF67" i="44" s="1"/>
  <c r="CF68" i="44" s="1"/>
  <c r="CF69" i="44" s="1"/>
  <c r="CF70" i="44" s="1"/>
  <c r="CF71" i="44" s="1"/>
  <c r="CF72" i="44" s="1"/>
  <c r="CF73" i="44" s="1"/>
  <c r="CF74" i="44" s="1"/>
  <c r="CF75" i="44" s="1"/>
  <c r="CF76" i="44" s="1"/>
  <c r="CF77" i="44" s="1"/>
  <c r="CF78" i="44" s="1"/>
  <c r="CF79" i="44" s="1"/>
  <c r="CF80" i="44" s="1"/>
  <c r="CF81" i="44" s="1"/>
  <c r="CF82" i="44" s="1"/>
  <c r="CF83" i="44" s="1"/>
  <c r="CF84" i="44" s="1"/>
  <c r="CE5" i="44"/>
  <c r="CE6" i="44" s="1"/>
  <c r="CE7" i="44" s="1"/>
  <c r="CE8" i="44" s="1"/>
  <c r="CE9" i="44" s="1"/>
  <c r="CE10" i="44" s="1"/>
  <c r="CE11" i="44" s="1"/>
  <c r="CE12" i="44" s="1"/>
  <c r="CE13" i="44" s="1"/>
  <c r="CE14" i="44" s="1"/>
  <c r="CE15" i="44" s="1"/>
  <c r="CE16" i="44" s="1"/>
  <c r="CE17" i="44" s="1"/>
  <c r="CE18" i="44" s="1"/>
  <c r="CE19" i="44" s="1"/>
  <c r="CE20" i="44" s="1"/>
  <c r="CE21" i="44" s="1"/>
  <c r="CE22" i="44" s="1"/>
  <c r="CE23" i="44" s="1"/>
  <c r="CE24" i="44" s="1"/>
  <c r="CE25" i="44" s="1"/>
  <c r="CE26" i="44" s="1"/>
  <c r="CE27" i="44" s="1"/>
  <c r="CE28" i="44" s="1"/>
  <c r="CE29" i="44" s="1"/>
  <c r="CE30" i="44" s="1"/>
  <c r="CE31" i="44" s="1"/>
  <c r="CE32" i="44" s="1"/>
  <c r="CE33" i="44" s="1"/>
  <c r="CE34" i="44" s="1"/>
  <c r="CE35" i="44" s="1"/>
  <c r="CE36" i="44" s="1"/>
  <c r="CE37" i="44" s="1"/>
  <c r="CE38" i="44" s="1"/>
  <c r="CE39" i="44" s="1"/>
  <c r="CE40" i="44" s="1"/>
  <c r="CE41" i="44" s="1"/>
  <c r="CE42" i="44" s="1"/>
  <c r="CE43" i="44" s="1"/>
  <c r="CE44" i="44" s="1"/>
  <c r="CE45" i="44" s="1"/>
  <c r="CE46" i="44" s="1"/>
  <c r="CE47" i="44" s="1"/>
  <c r="CE48" i="44" s="1"/>
  <c r="CE49" i="44" s="1"/>
  <c r="CE50" i="44" s="1"/>
  <c r="CE51" i="44" s="1"/>
  <c r="CE52" i="44" s="1"/>
  <c r="CE53" i="44" s="1"/>
  <c r="CE54" i="44" s="1"/>
  <c r="CE55" i="44" s="1"/>
  <c r="CE56" i="44" s="1"/>
  <c r="CE57" i="44" s="1"/>
  <c r="CE58" i="44" s="1"/>
  <c r="CE59" i="44" s="1"/>
  <c r="CE60" i="44" s="1"/>
  <c r="CE61" i="44" s="1"/>
  <c r="CE62" i="44" s="1"/>
  <c r="CE63" i="44" s="1"/>
  <c r="CE64" i="44" s="1"/>
  <c r="CE65" i="44" s="1"/>
  <c r="CE66" i="44" s="1"/>
  <c r="CE67" i="44" s="1"/>
  <c r="CE68" i="44" s="1"/>
  <c r="CE69" i="44" s="1"/>
  <c r="CE70" i="44" s="1"/>
  <c r="CE71" i="44" s="1"/>
  <c r="CE72" i="44" s="1"/>
  <c r="CE73" i="44" s="1"/>
  <c r="CE74" i="44" s="1"/>
  <c r="CE75" i="44" s="1"/>
  <c r="CE76" i="44" s="1"/>
  <c r="CE77" i="44" s="1"/>
  <c r="CE78" i="44" s="1"/>
  <c r="CE79" i="44" s="1"/>
  <c r="CE80" i="44" s="1"/>
  <c r="CE81" i="44" s="1"/>
  <c r="CE82" i="44" s="1"/>
  <c r="CE83" i="44" s="1"/>
  <c r="CE84" i="44" s="1"/>
  <c r="CD5" i="44"/>
  <c r="CD6" i="44" s="1"/>
  <c r="CD7" i="44" s="1"/>
  <c r="CD8" i="44" s="1"/>
  <c r="CD9" i="44" s="1"/>
  <c r="CD10" i="44" s="1"/>
  <c r="CD11" i="44" s="1"/>
  <c r="CD12" i="44" s="1"/>
  <c r="CD13" i="44" s="1"/>
  <c r="CD14" i="44" s="1"/>
  <c r="CD15" i="44" s="1"/>
  <c r="CD16" i="44" s="1"/>
  <c r="CD17" i="44" s="1"/>
  <c r="CD18" i="44" s="1"/>
  <c r="CD19" i="44" s="1"/>
  <c r="CD20" i="44" s="1"/>
  <c r="CD21" i="44" s="1"/>
  <c r="CD22" i="44" s="1"/>
  <c r="CD23" i="44" s="1"/>
  <c r="CD24" i="44" s="1"/>
  <c r="CD25" i="44" s="1"/>
  <c r="CD26" i="44" s="1"/>
  <c r="CD27" i="44" s="1"/>
  <c r="CD28" i="44" s="1"/>
  <c r="CD29" i="44" s="1"/>
  <c r="CD30" i="44" s="1"/>
  <c r="CD31" i="44" s="1"/>
  <c r="CD32" i="44" s="1"/>
  <c r="CD33" i="44" s="1"/>
  <c r="CD34" i="44" s="1"/>
  <c r="CD35" i="44" s="1"/>
  <c r="CD36" i="44" s="1"/>
  <c r="CD37" i="44" s="1"/>
  <c r="CD38" i="44" s="1"/>
  <c r="CD39" i="44" s="1"/>
  <c r="CD40" i="44" s="1"/>
  <c r="CD41" i="44" s="1"/>
  <c r="CD42" i="44" s="1"/>
  <c r="CD43" i="44" s="1"/>
  <c r="CD44" i="44" s="1"/>
  <c r="CD45" i="44" s="1"/>
  <c r="CD46" i="44" s="1"/>
  <c r="CD47" i="44" s="1"/>
  <c r="CD48" i="44" s="1"/>
  <c r="CD49" i="44" s="1"/>
  <c r="CD50" i="44" s="1"/>
  <c r="CD51" i="44" s="1"/>
  <c r="CD52" i="44" s="1"/>
  <c r="CD53" i="44" s="1"/>
  <c r="CD54" i="44" s="1"/>
  <c r="CD55" i="44" s="1"/>
  <c r="CD56" i="44" s="1"/>
  <c r="CD57" i="44" s="1"/>
  <c r="CD58" i="44" s="1"/>
  <c r="CD59" i="44" s="1"/>
  <c r="CD60" i="44" s="1"/>
  <c r="CD61" i="44" s="1"/>
  <c r="CD62" i="44" s="1"/>
  <c r="CD63" i="44" s="1"/>
  <c r="CD64" i="44" s="1"/>
  <c r="CD65" i="44" s="1"/>
  <c r="CD66" i="44" s="1"/>
  <c r="CD67" i="44" s="1"/>
  <c r="CD68" i="44" s="1"/>
  <c r="CD69" i="44" s="1"/>
  <c r="CD70" i="44" s="1"/>
  <c r="CD71" i="44" s="1"/>
  <c r="CD72" i="44" s="1"/>
  <c r="CD73" i="44" s="1"/>
  <c r="CD74" i="44" s="1"/>
  <c r="CD75" i="44" s="1"/>
  <c r="CD76" i="44" s="1"/>
  <c r="CD77" i="44" s="1"/>
  <c r="CD78" i="44" s="1"/>
  <c r="CD79" i="44" s="1"/>
  <c r="CD80" i="44" s="1"/>
  <c r="CD81" i="44" s="1"/>
  <c r="CD82" i="44" s="1"/>
  <c r="CD83" i="44" s="1"/>
  <c r="CD84" i="44" s="1"/>
  <c r="CC5" i="44"/>
  <c r="CC6" i="44" s="1"/>
  <c r="CC7" i="44" s="1"/>
  <c r="CC8" i="44" s="1"/>
  <c r="CC9" i="44" s="1"/>
  <c r="CC10" i="44" s="1"/>
  <c r="CC11" i="44" s="1"/>
  <c r="CC12" i="44" s="1"/>
  <c r="CC13" i="44" s="1"/>
  <c r="CC14" i="44" s="1"/>
  <c r="CC15" i="44" s="1"/>
  <c r="CC16" i="44" s="1"/>
  <c r="CC17" i="44" s="1"/>
  <c r="CC18" i="44" s="1"/>
  <c r="CC19" i="44" s="1"/>
  <c r="CC20" i="44" s="1"/>
  <c r="CC21" i="44" s="1"/>
  <c r="CC22" i="44" s="1"/>
  <c r="CC23" i="44" s="1"/>
  <c r="CC24" i="44" s="1"/>
  <c r="CC25" i="44" s="1"/>
  <c r="CC26" i="44" s="1"/>
  <c r="CC27" i="44" s="1"/>
  <c r="CC28" i="44" s="1"/>
  <c r="CC29" i="44" s="1"/>
  <c r="CC30" i="44" s="1"/>
  <c r="CC31" i="44" s="1"/>
  <c r="CC32" i="44" s="1"/>
  <c r="CC33" i="44" s="1"/>
  <c r="CC34" i="44" s="1"/>
  <c r="CC35" i="44" s="1"/>
  <c r="CC36" i="44" s="1"/>
  <c r="CC37" i="44" s="1"/>
  <c r="CC38" i="44" s="1"/>
  <c r="CC39" i="44" s="1"/>
  <c r="CC40" i="44" s="1"/>
  <c r="CC41" i="44" s="1"/>
  <c r="CC42" i="44" s="1"/>
  <c r="CC43" i="44" s="1"/>
  <c r="CC44" i="44" s="1"/>
  <c r="CC45" i="44" s="1"/>
  <c r="CC46" i="44" s="1"/>
  <c r="CC47" i="44" s="1"/>
  <c r="CC48" i="44" s="1"/>
  <c r="CC49" i="44" s="1"/>
  <c r="CC50" i="44" s="1"/>
  <c r="CC51" i="44" s="1"/>
  <c r="CC52" i="44" s="1"/>
  <c r="CC53" i="44" s="1"/>
  <c r="CC54" i="44" s="1"/>
  <c r="CC55" i="44" s="1"/>
  <c r="CC56" i="44" s="1"/>
  <c r="CC57" i="44" s="1"/>
  <c r="CC58" i="44" s="1"/>
  <c r="CC59" i="44" s="1"/>
  <c r="CC60" i="44" s="1"/>
  <c r="CC61" i="44" s="1"/>
  <c r="CC62" i="44" s="1"/>
  <c r="CC63" i="44" s="1"/>
  <c r="CC64" i="44" s="1"/>
  <c r="CC65" i="44" s="1"/>
  <c r="CC66" i="44" s="1"/>
  <c r="CC67" i="44" s="1"/>
  <c r="CC68" i="44" s="1"/>
  <c r="CC69" i="44" s="1"/>
  <c r="CC70" i="44" s="1"/>
  <c r="CC71" i="44" s="1"/>
  <c r="CC72" i="44" s="1"/>
  <c r="CC73" i="44" s="1"/>
  <c r="CC74" i="44" s="1"/>
  <c r="CC75" i="44" s="1"/>
  <c r="CC76" i="44" s="1"/>
  <c r="CC77" i="44" s="1"/>
  <c r="CC78" i="44" s="1"/>
  <c r="CC79" i="44" s="1"/>
  <c r="CC80" i="44" s="1"/>
  <c r="CC81" i="44" s="1"/>
  <c r="CC82" i="44" s="1"/>
  <c r="CC83" i="44" s="1"/>
  <c r="CC84" i="44" s="1"/>
  <c r="CB5" i="44"/>
  <c r="CB6" i="44" s="1"/>
  <c r="CB7" i="44" s="1"/>
  <c r="CB8" i="44" s="1"/>
  <c r="CB9" i="44" s="1"/>
  <c r="CB10" i="44" s="1"/>
  <c r="CB11" i="44" s="1"/>
  <c r="CB12" i="44" s="1"/>
  <c r="CB13" i="44" s="1"/>
  <c r="CB14" i="44" s="1"/>
  <c r="CB15" i="44" s="1"/>
  <c r="CB16" i="44" s="1"/>
  <c r="CB17" i="44" s="1"/>
  <c r="CB18" i="44" s="1"/>
  <c r="CB19" i="44" s="1"/>
  <c r="CB20" i="44" s="1"/>
  <c r="CB21" i="44" s="1"/>
  <c r="CB22" i="44" s="1"/>
  <c r="CB23" i="44" s="1"/>
  <c r="CB24" i="44" s="1"/>
  <c r="CB25" i="44" s="1"/>
  <c r="CB26" i="44" s="1"/>
  <c r="CB27" i="44" s="1"/>
  <c r="CB28" i="44" s="1"/>
  <c r="CB29" i="44" s="1"/>
  <c r="CB30" i="44" s="1"/>
  <c r="CB31" i="44" s="1"/>
  <c r="CB32" i="44" s="1"/>
  <c r="CB33" i="44" s="1"/>
  <c r="CB34" i="44" s="1"/>
  <c r="CB35" i="44" s="1"/>
  <c r="CB36" i="44" s="1"/>
  <c r="CB37" i="44" s="1"/>
  <c r="CB38" i="44" s="1"/>
  <c r="CB39" i="44" s="1"/>
  <c r="CB40" i="44" s="1"/>
  <c r="CB41" i="44" s="1"/>
  <c r="CB42" i="44" s="1"/>
  <c r="CB43" i="44" s="1"/>
  <c r="CB44" i="44" s="1"/>
  <c r="CB45" i="44" s="1"/>
  <c r="CB46" i="44" s="1"/>
  <c r="CB47" i="44" s="1"/>
  <c r="CB48" i="44" s="1"/>
  <c r="CB49" i="44" s="1"/>
  <c r="CB50" i="44" s="1"/>
  <c r="CB51" i="44" s="1"/>
  <c r="CB52" i="44" s="1"/>
  <c r="CB53" i="44" s="1"/>
  <c r="CB54" i="44" s="1"/>
  <c r="CB55" i="44" s="1"/>
  <c r="CB56" i="44" s="1"/>
  <c r="CB57" i="44" s="1"/>
  <c r="CB58" i="44" s="1"/>
  <c r="CB59" i="44" s="1"/>
  <c r="CB60" i="44" s="1"/>
  <c r="CB61" i="44" s="1"/>
  <c r="CB62" i="44" s="1"/>
  <c r="CB63" i="44" s="1"/>
  <c r="CB64" i="44" s="1"/>
  <c r="CB65" i="44" s="1"/>
  <c r="CB66" i="44" s="1"/>
  <c r="CB67" i="44" s="1"/>
  <c r="CB68" i="44" s="1"/>
  <c r="CB69" i="44" s="1"/>
  <c r="CB70" i="44" s="1"/>
  <c r="CB71" i="44" s="1"/>
  <c r="CB72" i="44" s="1"/>
  <c r="CB73" i="44" s="1"/>
  <c r="CB74" i="44" s="1"/>
  <c r="CB75" i="44" s="1"/>
  <c r="CB76" i="44" s="1"/>
  <c r="CB77" i="44" s="1"/>
  <c r="CB78" i="44" s="1"/>
  <c r="CB79" i="44" s="1"/>
  <c r="CB80" i="44" s="1"/>
  <c r="CB81" i="44" s="1"/>
  <c r="CB82" i="44" s="1"/>
  <c r="CB83" i="44" s="1"/>
  <c r="CB84" i="44" s="1"/>
  <c r="CA5" i="44"/>
  <c r="CA6" i="44" s="1"/>
  <c r="CA7" i="44" s="1"/>
  <c r="CA8" i="44" s="1"/>
  <c r="CA9" i="44" s="1"/>
  <c r="CA10" i="44" s="1"/>
  <c r="CA11" i="44" s="1"/>
  <c r="CA12" i="44" s="1"/>
  <c r="CA13" i="44" s="1"/>
  <c r="CA14" i="44" s="1"/>
  <c r="CA15" i="44" s="1"/>
  <c r="CA16" i="44" s="1"/>
  <c r="CA17" i="44" s="1"/>
  <c r="CA18" i="44" s="1"/>
  <c r="CA19" i="44" s="1"/>
  <c r="CA20" i="44" s="1"/>
  <c r="CA21" i="44" s="1"/>
  <c r="CA22" i="44" s="1"/>
  <c r="CA23" i="44" s="1"/>
  <c r="CA24" i="44" s="1"/>
  <c r="CA25" i="44" s="1"/>
  <c r="CA26" i="44" s="1"/>
  <c r="CA27" i="44" s="1"/>
  <c r="CA28" i="44" s="1"/>
  <c r="CA29" i="44" s="1"/>
  <c r="CA30" i="44" s="1"/>
  <c r="CA31" i="44" s="1"/>
  <c r="CA32" i="44" s="1"/>
  <c r="CA33" i="44" s="1"/>
  <c r="CA34" i="44" s="1"/>
  <c r="CA35" i="44" s="1"/>
  <c r="CA36" i="44" s="1"/>
  <c r="CA37" i="44" s="1"/>
  <c r="CA38" i="44" s="1"/>
  <c r="CA39" i="44" s="1"/>
  <c r="CA40" i="44" s="1"/>
  <c r="CA41" i="44" s="1"/>
  <c r="CA42" i="44" s="1"/>
  <c r="CA43" i="44" s="1"/>
  <c r="CA44" i="44" s="1"/>
  <c r="CA45" i="44" s="1"/>
  <c r="CA46" i="44" s="1"/>
  <c r="CA47" i="44" s="1"/>
  <c r="CA48" i="44" s="1"/>
  <c r="CA49" i="44" s="1"/>
  <c r="CA50" i="44" s="1"/>
  <c r="CA51" i="44" s="1"/>
  <c r="CA52" i="44" s="1"/>
  <c r="CA53" i="44" s="1"/>
  <c r="CA54" i="44" s="1"/>
  <c r="CA55" i="44" s="1"/>
  <c r="CA56" i="44" s="1"/>
  <c r="CA57" i="44" s="1"/>
  <c r="CA58" i="44" s="1"/>
  <c r="CA59" i="44" s="1"/>
  <c r="CA60" i="44" s="1"/>
  <c r="CA61" i="44" s="1"/>
  <c r="CA62" i="44" s="1"/>
  <c r="CA63" i="44" s="1"/>
  <c r="CA64" i="44" s="1"/>
  <c r="CA65" i="44" s="1"/>
  <c r="CA66" i="44" s="1"/>
  <c r="CA67" i="44" s="1"/>
  <c r="CA68" i="44" s="1"/>
  <c r="CA69" i="44" s="1"/>
  <c r="CA70" i="44" s="1"/>
  <c r="CA71" i="44" s="1"/>
  <c r="CA72" i="44" s="1"/>
  <c r="CA73" i="44" s="1"/>
  <c r="CA74" i="44" s="1"/>
  <c r="CA75" i="44" s="1"/>
  <c r="CA76" i="44" s="1"/>
  <c r="CA77" i="44" s="1"/>
  <c r="CA78" i="44" s="1"/>
  <c r="CA79" i="44" s="1"/>
  <c r="CA80" i="44" s="1"/>
  <c r="CA81" i="44" s="1"/>
  <c r="CA82" i="44" s="1"/>
  <c r="CA83" i="44" s="1"/>
  <c r="CA84" i="44" s="1"/>
  <c r="BZ5" i="44"/>
  <c r="BZ6" i="44" s="1"/>
  <c r="BZ7" i="44" s="1"/>
  <c r="BZ8" i="44" s="1"/>
  <c r="BZ9" i="44" s="1"/>
  <c r="BZ10" i="44" s="1"/>
  <c r="BZ11" i="44" s="1"/>
  <c r="BZ12" i="44" s="1"/>
  <c r="BZ13" i="44" s="1"/>
  <c r="BZ14" i="44" s="1"/>
  <c r="BZ15" i="44" s="1"/>
  <c r="BZ16" i="44" s="1"/>
  <c r="BZ17" i="44" s="1"/>
  <c r="BZ18" i="44" s="1"/>
  <c r="BZ19" i="44" s="1"/>
  <c r="BZ20" i="44" s="1"/>
  <c r="BZ21" i="44" s="1"/>
  <c r="BZ22" i="44" s="1"/>
  <c r="BZ23" i="44" s="1"/>
  <c r="BZ24" i="44" s="1"/>
  <c r="BZ25" i="44" s="1"/>
  <c r="BZ26" i="44" s="1"/>
  <c r="BZ27" i="44" s="1"/>
  <c r="BZ28" i="44" s="1"/>
  <c r="BZ29" i="44" s="1"/>
  <c r="BZ30" i="44" s="1"/>
  <c r="BZ31" i="44" s="1"/>
  <c r="BZ32" i="44" s="1"/>
  <c r="BZ33" i="44" s="1"/>
  <c r="BZ34" i="44" s="1"/>
  <c r="BZ35" i="44" s="1"/>
  <c r="BZ36" i="44" s="1"/>
  <c r="BZ37" i="44" s="1"/>
  <c r="BZ38" i="44" s="1"/>
  <c r="BZ39" i="44" s="1"/>
  <c r="BZ40" i="44" s="1"/>
  <c r="BZ41" i="44" s="1"/>
  <c r="BZ42" i="44" s="1"/>
  <c r="BZ43" i="44" s="1"/>
  <c r="BZ44" i="44" s="1"/>
  <c r="BZ45" i="44" s="1"/>
  <c r="BZ46" i="44" s="1"/>
  <c r="BZ47" i="44" s="1"/>
  <c r="BZ48" i="44" s="1"/>
  <c r="BZ49" i="44" s="1"/>
  <c r="BZ50" i="44" s="1"/>
  <c r="BZ51" i="44" s="1"/>
  <c r="BZ52" i="44" s="1"/>
  <c r="BZ53" i="44" s="1"/>
  <c r="BZ54" i="44" s="1"/>
  <c r="BZ55" i="44" s="1"/>
  <c r="BZ56" i="44" s="1"/>
  <c r="BZ57" i="44" s="1"/>
  <c r="BZ58" i="44" s="1"/>
  <c r="BZ59" i="44" s="1"/>
  <c r="BZ60" i="44" s="1"/>
  <c r="BZ61" i="44" s="1"/>
  <c r="BZ62" i="44" s="1"/>
  <c r="BZ63" i="44" s="1"/>
  <c r="BZ64" i="44" s="1"/>
  <c r="BZ65" i="44" s="1"/>
  <c r="BZ66" i="44" s="1"/>
  <c r="BZ67" i="44" s="1"/>
  <c r="BZ68" i="44" s="1"/>
  <c r="BZ69" i="44" s="1"/>
  <c r="BZ70" i="44" s="1"/>
  <c r="BZ71" i="44" s="1"/>
  <c r="BZ72" i="44" s="1"/>
  <c r="BZ73" i="44" s="1"/>
  <c r="BZ74" i="44" s="1"/>
  <c r="BZ75" i="44" s="1"/>
  <c r="BZ76" i="44" s="1"/>
  <c r="BZ77" i="44" s="1"/>
  <c r="BZ78" i="44" s="1"/>
  <c r="BZ79" i="44" s="1"/>
  <c r="BZ80" i="44" s="1"/>
  <c r="BZ81" i="44" s="1"/>
  <c r="BZ82" i="44" s="1"/>
  <c r="BZ83" i="44" s="1"/>
  <c r="BZ84" i="44" s="1"/>
  <c r="BY5" i="44"/>
  <c r="BY6" i="44" s="1"/>
  <c r="BY7" i="44" s="1"/>
  <c r="BY8" i="44" s="1"/>
  <c r="BY9" i="44" s="1"/>
  <c r="BY10" i="44" s="1"/>
  <c r="BY11" i="44" s="1"/>
  <c r="BY12" i="44" s="1"/>
  <c r="BY13" i="44" s="1"/>
  <c r="BY14" i="44" s="1"/>
  <c r="BY15" i="44" s="1"/>
  <c r="BY16" i="44" s="1"/>
  <c r="BY17" i="44" s="1"/>
  <c r="BY18" i="44" s="1"/>
  <c r="BY19" i="44" s="1"/>
  <c r="BY20" i="44" s="1"/>
  <c r="BY21" i="44" s="1"/>
  <c r="BY22" i="44" s="1"/>
  <c r="BY23" i="44" s="1"/>
  <c r="BY24" i="44" s="1"/>
  <c r="BY25" i="44" s="1"/>
  <c r="BY26" i="44" s="1"/>
  <c r="BY27" i="44" s="1"/>
  <c r="BY28" i="44" s="1"/>
  <c r="BY29" i="44" s="1"/>
  <c r="BY30" i="44" s="1"/>
  <c r="BY31" i="44" s="1"/>
  <c r="BY32" i="44" s="1"/>
  <c r="BY33" i="44" s="1"/>
  <c r="BY34" i="44" s="1"/>
  <c r="BY35" i="44" s="1"/>
  <c r="BY36" i="44" s="1"/>
  <c r="BY37" i="44" s="1"/>
  <c r="BY38" i="44" s="1"/>
  <c r="BY39" i="44" s="1"/>
  <c r="BY40" i="44" s="1"/>
  <c r="BY41" i="44" s="1"/>
  <c r="BY42" i="44" s="1"/>
  <c r="BY43" i="44" s="1"/>
  <c r="BY44" i="44" s="1"/>
  <c r="BY45" i="44" s="1"/>
  <c r="BY46" i="44" s="1"/>
  <c r="BY47" i="44" s="1"/>
  <c r="BY48" i="44" s="1"/>
  <c r="BY49" i="44" s="1"/>
  <c r="BY50" i="44" s="1"/>
  <c r="BY51" i="44" s="1"/>
  <c r="BY52" i="44" s="1"/>
  <c r="BY53" i="44" s="1"/>
  <c r="BY54" i="44" s="1"/>
  <c r="BY55" i="44" s="1"/>
  <c r="BY56" i="44" s="1"/>
  <c r="BY57" i="44" s="1"/>
  <c r="BY58" i="44" s="1"/>
  <c r="BY59" i="44" s="1"/>
  <c r="BY60" i="44" s="1"/>
  <c r="BY61" i="44" s="1"/>
  <c r="BY62" i="44" s="1"/>
  <c r="BY63" i="44" s="1"/>
  <c r="BY64" i="44" s="1"/>
  <c r="BY65" i="44" s="1"/>
  <c r="BY66" i="44" s="1"/>
  <c r="BY67" i="44" s="1"/>
  <c r="BY68" i="44" s="1"/>
  <c r="BY69" i="44" s="1"/>
  <c r="BY70" i="44" s="1"/>
  <c r="BY71" i="44" s="1"/>
  <c r="BY72" i="44" s="1"/>
  <c r="BY73" i="44" s="1"/>
  <c r="BY74" i="44" s="1"/>
  <c r="BY75" i="44" s="1"/>
  <c r="BY76" i="44" s="1"/>
  <c r="BY77" i="44" s="1"/>
  <c r="BY78" i="44" s="1"/>
  <c r="BY79" i="44" s="1"/>
  <c r="BY80" i="44" s="1"/>
  <c r="BY81" i="44" s="1"/>
  <c r="BY82" i="44" s="1"/>
  <c r="BY83" i="44" s="1"/>
  <c r="BY84" i="44" s="1"/>
  <c r="BX5" i="44"/>
  <c r="BX6" i="44" s="1"/>
  <c r="BX7" i="44" s="1"/>
  <c r="BX8" i="44" s="1"/>
  <c r="BX9" i="44" s="1"/>
  <c r="BX10" i="44" s="1"/>
  <c r="BX11" i="44" s="1"/>
  <c r="BX12" i="44" s="1"/>
  <c r="BX13" i="44" s="1"/>
  <c r="BX14" i="44" s="1"/>
  <c r="BX15" i="44" s="1"/>
  <c r="BX16" i="44" s="1"/>
  <c r="BX17" i="44" s="1"/>
  <c r="BX18" i="44" s="1"/>
  <c r="BX19" i="44" s="1"/>
  <c r="BX20" i="44" s="1"/>
  <c r="BX21" i="44" s="1"/>
  <c r="BX22" i="44" s="1"/>
  <c r="BX23" i="44" s="1"/>
  <c r="BX24" i="44" s="1"/>
  <c r="BX25" i="44" s="1"/>
  <c r="BX26" i="44" s="1"/>
  <c r="BX27" i="44" s="1"/>
  <c r="BX28" i="44" s="1"/>
  <c r="BX29" i="44" s="1"/>
  <c r="BX30" i="44" s="1"/>
  <c r="BX31" i="44" s="1"/>
  <c r="BX32" i="44" s="1"/>
  <c r="BX33" i="44" s="1"/>
  <c r="BX34" i="44" s="1"/>
  <c r="BX35" i="44" s="1"/>
  <c r="BX36" i="44" s="1"/>
  <c r="BX37" i="44" s="1"/>
  <c r="BX38" i="44" s="1"/>
  <c r="BX39" i="44" s="1"/>
  <c r="BX40" i="44" s="1"/>
  <c r="BX41" i="44" s="1"/>
  <c r="BX42" i="44" s="1"/>
  <c r="BX43" i="44" s="1"/>
  <c r="BX44" i="44" s="1"/>
  <c r="BX45" i="44" s="1"/>
  <c r="BX46" i="44" s="1"/>
  <c r="BX47" i="44" s="1"/>
  <c r="BX48" i="44" s="1"/>
  <c r="BX49" i="44" s="1"/>
  <c r="BX50" i="44" s="1"/>
  <c r="BX51" i="44" s="1"/>
  <c r="BX52" i="44" s="1"/>
  <c r="BX53" i="44" s="1"/>
  <c r="BX54" i="44" s="1"/>
  <c r="BX55" i="44" s="1"/>
  <c r="BX56" i="44" s="1"/>
  <c r="BX57" i="44" s="1"/>
  <c r="BX58" i="44" s="1"/>
  <c r="BX59" i="44" s="1"/>
  <c r="BX60" i="44" s="1"/>
  <c r="BX61" i="44" s="1"/>
  <c r="BX62" i="44" s="1"/>
  <c r="BX63" i="44" s="1"/>
  <c r="BX64" i="44" s="1"/>
  <c r="BX65" i="44" s="1"/>
  <c r="BX66" i="44" s="1"/>
  <c r="BX67" i="44" s="1"/>
  <c r="BX68" i="44" s="1"/>
  <c r="BX69" i="44" s="1"/>
  <c r="BX70" i="44" s="1"/>
  <c r="BX71" i="44" s="1"/>
  <c r="BX72" i="44" s="1"/>
  <c r="BX73" i="44" s="1"/>
  <c r="BX74" i="44" s="1"/>
  <c r="BX75" i="44" s="1"/>
  <c r="BX76" i="44" s="1"/>
  <c r="BX77" i="44" s="1"/>
  <c r="BX78" i="44" s="1"/>
  <c r="BX79" i="44" s="1"/>
  <c r="BX80" i="44" s="1"/>
  <c r="BX81" i="44" s="1"/>
  <c r="BX82" i="44" s="1"/>
  <c r="BX83" i="44" s="1"/>
  <c r="BX84" i="44" s="1"/>
  <c r="BW5" i="44"/>
  <c r="BW6" i="44" s="1"/>
  <c r="BW7" i="44" s="1"/>
  <c r="BW8" i="44" s="1"/>
  <c r="BW9" i="44" s="1"/>
  <c r="BW10" i="44" s="1"/>
  <c r="BW11" i="44" s="1"/>
  <c r="BW12" i="44" s="1"/>
  <c r="BW13" i="44" s="1"/>
  <c r="BW14" i="44" s="1"/>
  <c r="BW15" i="44" s="1"/>
  <c r="BW16" i="44" s="1"/>
  <c r="BW17" i="44" s="1"/>
  <c r="BW18" i="44" s="1"/>
  <c r="BW19" i="44" s="1"/>
  <c r="BW20" i="44" s="1"/>
  <c r="BW21" i="44" s="1"/>
  <c r="BW22" i="44" s="1"/>
  <c r="BW23" i="44" s="1"/>
  <c r="BW24" i="44" s="1"/>
  <c r="BW25" i="44" s="1"/>
  <c r="BW26" i="44" s="1"/>
  <c r="BW27" i="44" s="1"/>
  <c r="BW28" i="44" s="1"/>
  <c r="BW29" i="44" s="1"/>
  <c r="BW30" i="44" s="1"/>
  <c r="BW31" i="44" s="1"/>
  <c r="BW32" i="44" s="1"/>
  <c r="BW33" i="44" s="1"/>
  <c r="BW34" i="44" s="1"/>
  <c r="BW35" i="44" s="1"/>
  <c r="BW36" i="44" s="1"/>
  <c r="BW37" i="44" s="1"/>
  <c r="BW38" i="44" s="1"/>
  <c r="BW39" i="44" s="1"/>
  <c r="BW40" i="44" s="1"/>
  <c r="BW41" i="44" s="1"/>
  <c r="BW42" i="44" s="1"/>
  <c r="BW43" i="44" s="1"/>
  <c r="BW44" i="44" s="1"/>
  <c r="BW45" i="44" s="1"/>
  <c r="BW46" i="44" s="1"/>
  <c r="BW47" i="44" s="1"/>
  <c r="BW48" i="44" s="1"/>
  <c r="BW49" i="44" s="1"/>
  <c r="BW50" i="44" s="1"/>
  <c r="BW51" i="44" s="1"/>
  <c r="BW52" i="44" s="1"/>
  <c r="BW53" i="44" s="1"/>
  <c r="BW54" i="44" s="1"/>
  <c r="BW55" i="44" s="1"/>
  <c r="BW56" i="44" s="1"/>
  <c r="BW57" i="44" s="1"/>
  <c r="BW58" i="44" s="1"/>
  <c r="BW59" i="44" s="1"/>
  <c r="BW60" i="44" s="1"/>
  <c r="BW61" i="44" s="1"/>
  <c r="BW62" i="44" s="1"/>
  <c r="BW63" i="44" s="1"/>
  <c r="BW64" i="44" s="1"/>
  <c r="BW65" i="44" s="1"/>
  <c r="BW66" i="44" s="1"/>
  <c r="BW67" i="44" s="1"/>
  <c r="BW68" i="44" s="1"/>
  <c r="BW69" i="44" s="1"/>
  <c r="BW70" i="44" s="1"/>
  <c r="BW71" i="44" s="1"/>
  <c r="BW72" i="44" s="1"/>
  <c r="BW73" i="44" s="1"/>
  <c r="BW74" i="44" s="1"/>
  <c r="BW75" i="44" s="1"/>
  <c r="BW76" i="44" s="1"/>
  <c r="BW77" i="44" s="1"/>
  <c r="BW78" i="44" s="1"/>
  <c r="BW79" i="44" s="1"/>
  <c r="BW80" i="44" s="1"/>
  <c r="BW81" i="44" s="1"/>
  <c r="BW82" i="44" s="1"/>
  <c r="BW83" i="44" s="1"/>
  <c r="BW84" i="44" s="1"/>
  <c r="BV5" i="44"/>
  <c r="BV6" i="44" s="1"/>
  <c r="BV7" i="44" s="1"/>
  <c r="BV8" i="44" s="1"/>
  <c r="BV9" i="44" s="1"/>
  <c r="BV10" i="44" s="1"/>
  <c r="BV11" i="44" s="1"/>
  <c r="BV12" i="44" s="1"/>
  <c r="BV13" i="44" s="1"/>
  <c r="BV14" i="44" s="1"/>
  <c r="BV15" i="44" s="1"/>
  <c r="BV16" i="44" s="1"/>
  <c r="BV17" i="44" s="1"/>
  <c r="BV18" i="44" s="1"/>
  <c r="BV19" i="44" s="1"/>
  <c r="BV20" i="44" s="1"/>
  <c r="BV21" i="44" s="1"/>
  <c r="BV22" i="44" s="1"/>
  <c r="BV23" i="44" s="1"/>
  <c r="BV24" i="44" s="1"/>
  <c r="BV25" i="44" s="1"/>
  <c r="BV26" i="44" s="1"/>
  <c r="BV27" i="44" s="1"/>
  <c r="BV28" i="44" s="1"/>
  <c r="BV29" i="44" s="1"/>
  <c r="BV30" i="44" s="1"/>
  <c r="BV31" i="44" s="1"/>
  <c r="BV32" i="44" s="1"/>
  <c r="BV33" i="44" s="1"/>
  <c r="BV34" i="44" s="1"/>
  <c r="BV35" i="44" s="1"/>
  <c r="BV36" i="44" s="1"/>
  <c r="BV37" i="44" s="1"/>
  <c r="BV38" i="44" s="1"/>
  <c r="BV39" i="44" s="1"/>
  <c r="BV40" i="44" s="1"/>
  <c r="BV41" i="44" s="1"/>
  <c r="BV42" i="44" s="1"/>
  <c r="BV43" i="44" s="1"/>
  <c r="BV44" i="44" s="1"/>
  <c r="BV45" i="44" s="1"/>
  <c r="BV46" i="44" s="1"/>
  <c r="BV47" i="44" s="1"/>
  <c r="BV48" i="44" s="1"/>
  <c r="BV49" i="44" s="1"/>
  <c r="BV50" i="44" s="1"/>
  <c r="BV51" i="44" s="1"/>
  <c r="BV52" i="44" s="1"/>
  <c r="BV53" i="44" s="1"/>
  <c r="BV54" i="44" s="1"/>
  <c r="BV55" i="44" s="1"/>
  <c r="BV56" i="44" s="1"/>
  <c r="BV57" i="44" s="1"/>
  <c r="BV58" i="44" s="1"/>
  <c r="BV59" i="44" s="1"/>
  <c r="BV60" i="44" s="1"/>
  <c r="BV61" i="44" s="1"/>
  <c r="BV62" i="44" s="1"/>
  <c r="BV63" i="44" s="1"/>
  <c r="BV64" i="44" s="1"/>
  <c r="BV65" i="44" s="1"/>
  <c r="BV66" i="44" s="1"/>
  <c r="BV67" i="44" s="1"/>
  <c r="BV68" i="44" s="1"/>
  <c r="BV69" i="44" s="1"/>
  <c r="BV70" i="44" s="1"/>
  <c r="BV71" i="44" s="1"/>
  <c r="BV72" i="44" s="1"/>
  <c r="BV73" i="44" s="1"/>
  <c r="BV74" i="44" s="1"/>
  <c r="BV75" i="44" s="1"/>
  <c r="BV76" i="44" s="1"/>
  <c r="BV77" i="44" s="1"/>
  <c r="BV78" i="44" s="1"/>
  <c r="BV79" i="44" s="1"/>
  <c r="BV80" i="44" s="1"/>
  <c r="BV81" i="44" s="1"/>
  <c r="BV82" i="44" s="1"/>
  <c r="BV83" i="44" s="1"/>
  <c r="BV84" i="44" s="1"/>
  <c r="BU5" i="44"/>
  <c r="BU6" i="44" s="1"/>
  <c r="BU7" i="44" s="1"/>
  <c r="BU8" i="44" s="1"/>
  <c r="BU9" i="44" s="1"/>
  <c r="BU10" i="44" s="1"/>
  <c r="BU11" i="44" s="1"/>
  <c r="BU12" i="44" s="1"/>
  <c r="BU13" i="44" s="1"/>
  <c r="BU14" i="44" s="1"/>
  <c r="BU15" i="44" s="1"/>
  <c r="BU16" i="44" s="1"/>
  <c r="BU17" i="44" s="1"/>
  <c r="BU18" i="44" s="1"/>
  <c r="BU19" i="44" s="1"/>
  <c r="BU20" i="44" s="1"/>
  <c r="BU21" i="44" s="1"/>
  <c r="BU22" i="44" s="1"/>
  <c r="BU23" i="44" s="1"/>
  <c r="BU24" i="44" s="1"/>
  <c r="BU25" i="44" s="1"/>
  <c r="BU26" i="44" s="1"/>
  <c r="BU27" i="44" s="1"/>
  <c r="BU28" i="44" s="1"/>
  <c r="BU29" i="44" s="1"/>
  <c r="BU30" i="44" s="1"/>
  <c r="BU31" i="44" s="1"/>
  <c r="BU32" i="44" s="1"/>
  <c r="BU33" i="44" s="1"/>
  <c r="BU34" i="44" s="1"/>
  <c r="BU35" i="44" s="1"/>
  <c r="BU36" i="44" s="1"/>
  <c r="BU37" i="44" s="1"/>
  <c r="BU38" i="44" s="1"/>
  <c r="BU39" i="44" s="1"/>
  <c r="BU40" i="44" s="1"/>
  <c r="BU41" i="44" s="1"/>
  <c r="BU42" i="44" s="1"/>
  <c r="BU43" i="44" s="1"/>
  <c r="BU44" i="44" s="1"/>
  <c r="BU45" i="44" s="1"/>
  <c r="BU46" i="44" s="1"/>
  <c r="BU47" i="44" s="1"/>
  <c r="BU48" i="44" s="1"/>
  <c r="BU49" i="44" s="1"/>
  <c r="BU50" i="44" s="1"/>
  <c r="BU51" i="44" s="1"/>
  <c r="BU52" i="44" s="1"/>
  <c r="BU53" i="44" s="1"/>
  <c r="BU54" i="44" s="1"/>
  <c r="BU55" i="44" s="1"/>
  <c r="BU56" i="44" s="1"/>
  <c r="BU57" i="44" s="1"/>
  <c r="BU58" i="44" s="1"/>
  <c r="BU59" i="44" s="1"/>
  <c r="BU60" i="44" s="1"/>
  <c r="BU61" i="44" s="1"/>
  <c r="BU62" i="44" s="1"/>
  <c r="BU63" i="44" s="1"/>
  <c r="BU64" i="44" s="1"/>
  <c r="BU65" i="44" s="1"/>
  <c r="BU66" i="44" s="1"/>
  <c r="BU67" i="44" s="1"/>
  <c r="BU68" i="44" s="1"/>
  <c r="BU69" i="44" s="1"/>
  <c r="BU70" i="44" s="1"/>
  <c r="BU71" i="44" s="1"/>
  <c r="BU72" i="44" s="1"/>
  <c r="BU73" i="44" s="1"/>
  <c r="BU74" i="44" s="1"/>
  <c r="BU75" i="44" s="1"/>
  <c r="BU76" i="44" s="1"/>
  <c r="BU77" i="44" s="1"/>
  <c r="BU78" i="44" s="1"/>
  <c r="BU79" i="44" s="1"/>
  <c r="BU80" i="44" s="1"/>
  <c r="BU81" i="44" s="1"/>
  <c r="BU82" i="44" s="1"/>
  <c r="BU83" i="44" s="1"/>
  <c r="BU84" i="44" s="1"/>
  <c r="BT5" i="44"/>
  <c r="BT6" i="44" s="1"/>
  <c r="BT7" i="44" s="1"/>
  <c r="BT8" i="44" s="1"/>
  <c r="BT9" i="44" s="1"/>
  <c r="BT10" i="44" s="1"/>
  <c r="BT11" i="44" s="1"/>
  <c r="BT12" i="44" s="1"/>
  <c r="BT13" i="44" s="1"/>
  <c r="BT14" i="44" s="1"/>
  <c r="BT15" i="44" s="1"/>
  <c r="BT16" i="44" s="1"/>
  <c r="BT17" i="44" s="1"/>
  <c r="BT18" i="44" s="1"/>
  <c r="BT19" i="44" s="1"/>
  <c r="BT20" i="44" s="1"/>
  <c r="BT21" i="44" s="1"/>
  <c r="BT22" i="44" s="1"/>
  <c r="BT23" i="44" s="1"/>
  <c r="BT24" i="44" s="1"/>
  <c r="BT25" i="44" s="1"/>
  <c r="BT26" i="44" s="1"/>
  <c r="BT27" i="44" s="1"/>
  <c r="BT28" i="44" s="1"/>
  <c r="BT29" i="44" s="1"/>
  <c r="BT30" i="44" s="1"/>
  <c r="BT31" i="44" s="1"/>
  <c r="BT32" i="44" s="1"/>
  <c r="BT33" i="44" s="1"/>
  <c r="BT34" i="44" s="1"/>
  <c r="BT35" i="44" s="1"/>
  <c r="BT36" i="44" s="1"/>
  <c r="BT37" i="44" s="1"/>
  <c r="BT38" i="44" s="1"/>
  <c r="BT39" i="44" s="1"/>
  <c r="BT40" i="44" s="1"/>
  <c r="BT41" i="44" s="1"/>
  <c r="BT42" i="44" s="1"/>
  <c r="BT43" i="44" s="1"/>
  <c r="BT44" i="44" s="1"/>
  <c r="BT45" i="44" s="1"/>
  <c r="BT46" i="44" s="1"/>
  <c r="BT47" i="44" s="1"/>
  <c r="BT48" i="44" s="1"/>
  <c r="BT49" i="44" s="1"/>
  <c r="BT50" i="44" s="1"/>
  <c r="BT51" i="44" s="1"/>
  <c r="BT52" i="44" s="1"/>
  <c r="BT53" i="44" s="1"/>
  <c r="BT54" i="44" s="1"/>
  <c r="BT55" i="44" s="1"/>
  <c r="BT56" i="44" s="1"/>
  <c r="BT57" i="44" s="1"/>
  <c r="BT58" i="44" s="1"/>
  <c r="BT59" i="44" s="1"/>
  <c r="BT60" i="44" s="1"/>
  <c r="BT61" i="44" s="1"/>
  <c r="BT62" i="44" s="1"/>
  <c r="BT63" i="44" s="1"/>
  <c r="BT64" i="44" s="1"/>
  <c r="BT65" i="44" s="1"/>
  <c r="BT66" i="44" s="1"/>
  <c r="BT67" i="44" s="1"/>
  <c r="BT68" i="44" s="1"/>
  <c r="BT69" i="44" s="1"/>
  <c r="BT70" i="44" s="1"/>
  <c r="BT71" i="44" s="1"/>
  <c r="BT72" i="44" s="1"/>
  <c r="BT73" i="44" s="1"/>
  <c r="BT74" i="44" s="1"/>
  <c r="BT75" i="44" s="1"/>
  <c r="BT76" i="44" s="1"/>
  <c r="BT77" i="44" s="1"/>
  <c r="BT78" i="44" s="1"/>
  <c r="BT79" i="44" s="1"/>
  <c r="BT80" i="44" s="1"/>
  <c r="BT81" i="44" s="1"/>
  <c r="BT82" i="44" s="1"/>
  <c r="BT83" i="44" s="1"/>
  <c r="BT84" i="44" s="1"/>
  <c r="BS5" i="44"/>
  <c r="BS6" i="44" s="1"/>
  <c r="BS7" i="44" s="1"/>
  <c r="BS8" i="44" s="1"/>
  <c r="BS9" i="44" s="1"/>
  <c r="BS10" i="44" s="1"/>
  <c r="BS11" i="44" s="1"/>
  <c r="BS12" i="44" s="1"/>
  <c r="BS13" i="44" s="1"/>
  <c r="BS14" i="44" s="1"/>
  <c r="BS15" i="44" s="1"/>
  <c r="BS16" i="44" s="1"/>
  <c r="BS17" i="44" s="1"/>
  <c r="BS18" i="44" s="1"/>
  <c r="BS19" i="44" s="1"/>
  <c r="BS20" i="44" s="1"/>
  <c r="BS21" i="44" s="1"/>
  <c r="BS22" i="44" s="1"/>
  <c r="BS23" i="44" s="1"/>
  <c r="BS24" i="44" s="1"/>
  <c r="BS25" i="44" s="1"/>
  <c r="BS26" i="44" s="1"/>
  <c r="BS27" i="44" s="1"/>
  <c r="BS28" i="44" s="1"/>
  <c r="BS29" i="44" s="1"/>
  <c r="BS30" i="44" s="1"/>
  <c r="BS31" i="44" s="1"/>
  <c r="BS32" i="44" s="1"/>
  <c r="BS33" i="44" s="1"/>
  <c r="BS34" i="44" s="1"/>
  <c r="BS35" i="44" s="1"/>
  <c r="BS36" i="44" s="1"/>
  <c r="BS37" i="44" s="1"/>
  <c r="BS38" i="44" s="1"/>
  <c r="BS39" i="44" s="1"/>
  <c r="BS40" i="44" s="1"/>
  <c r="BS41" i="44" s="1"/>
  <c r="BS42" i="44" s="1"/>
  <c r="BS43" i="44" s="1"/>
  <c r="BS44" i="44" s="1"/>
  <c r="BS45" i="44" s="1"/>
  <c r="BS46" i="44" s="1"/>
  <c r="BS47" i="44" s="1"/>
  <c r="BS48" i="44" s="1"/>
  <c r="BS49" i="44" s="1"/>
  <c r="BS50" i="44" s="1"/>
  <c r="BS51" i="44" s="1"/>
  <c r="BS52" i="44" s="1"/>
  <c r="BS53" i="44" s="1"/>
  <c r="BS54" i="44" s="1"/>
  <c r="BS55" i="44" s="1"/>
  <c r="BS56" i="44" s="1"/>
  <c r="BS57" i="44" s="1"/>
  <c r="BS58" i="44" s="1"/>
  <c r="BS59" i="44" s="1"/>
  <c r="BS60" i="44" s="1"/>
  <c r="BS61" i="44" s="1"/>
  <c r="BS62" i="44" s="1"/>
  <c r="BS63" i="44" s="1"/>
  <c r="BS64" i="44" s="1"/>
  <c r="BS65" i="44" s="1"/>
  <c r="BS66" i="44" s="1"/>
  <c r="BS67" i="44" s="1"/>
  <c r="BS68" i="44" s="1"/>
  <c r="BS69" i="44" s="1"/>
  <c r="BS70" i="44" s="1"/>
  <c r="BS71" i="44" s="1"/>
  <c r="BS72" i="44" s="1"/>
  <c r="BS73" i="44" s="1"/>
  <c r="BS74" i="44" s="1"/>
  <c r="BS75" i="44" s="1"/>
  <c r="BS76" i="44" s="1"/>
  <c r="BS77" i="44" s="1"/>
  <c r="BS78" i="44" s="1"/>
  <c r="BS79" i="44" s="1"/>
  <c r="BS80" i="44" s="1"/>
  <c r="BS81" i="44" s="1"/>
  <c r="BS82" i="44" s="1"/>
  <c r="BS83" i="44" s="1"/>
  <c r="BS84" i="44" s="1"/>
  <c r="BR5" i="44"/>
  <c r="BR6" i="44" s="1"/>
  <c r="BR7" i="44" s="1"/>
  <c r="BR8" i="44" s="1"/>
  <c r="BR9" i="44" s="1"/>
  <c r="BR10" i="44" s="1"/>
  <c r="BR11" i="44" s="1"/>
  <c r="BR12" i="44" s="1"/>
  <c r="BR13" i="44" s="1"/>
  <c r="BR14" i="44" s="1"/>
  <c r="BR15" i="44" s="1"/>
  <c r="BR16" i="44" s="1"/>
  <c r="BR17" i="44" s="1"/>
  <c r="BR18" i="44" s="1"/>
  <c r="BR19" i="44" s="1"/>
  <c r="BR20" i="44" s="1"/>
  <c r="BR21" i="44" s="1"/>
  <c r="BR22" i="44" s="1"/>
  <c r="BR23" i="44" s="1"/>
  <c r="BR24" i="44" s="1"/>
  <c r="BR25" i="44" s="1"/>
  <c r="BR26" i="44" s="1"/>
  <c r="BR27" i="44" s="1"/>
  <c r="BR28" i="44" s="1"/>
  <c r="BR29" i="44" s="1"/>
  <c r="BR30" i="44" s="1"/>
  <c r="BR31" i="44" s="1"/>
  <c r="BR32" i="44" s="1"/>
  <c r="BR33" i="44" s="1"/>
  <c r="BR34" i="44" s="1"/>
  <c r="BR35" i="44" s="1"/>
  <c r="BR36" i="44" s="1"/>
  <c r="BR37" i="44" s="1"/>
  <c r="BR38" i="44" s="1"/>
  <c r="BR39" i="44" s="1"/>
  <c r="BR40" i="44" s="1"/>
  <c r="BR41" i="44" s="1"/>
  <c r="BR42" i="44" s="1"/>
  <c r="BR43" i="44" s="1"/>
  <c r="BR44" i="44" s="1"/>
  <c r="BR45" i="44" s="1"/>
  <c r="BR46" i="44" s="1"/>
  <c r="BR47" i="44" s="1"/>
  <c r="BR48" i="44" s="1"/>
  <c r="BR49" i="44" s="1"/>
  <c r="BR50" i="44" s="1"/>
  <c r="BR51" i="44" s="1"/>
  <c r="BR52" i="44" s="1"/>
  <c r="BR53" i="44" s="1"/>
  <c r="BR54" i="44" s="1"/>
  <c r="BR55" i="44" s="1"/>
  <c r="BR56" i="44" s="1"/>
  <c r="BR57" i="44" s="1"/>
  <c r="BR58" i="44" s="1"/>
  <c r="BR59" i="44" s="1"/>
  <c r="BR60" i="44" s="1"/>
  <c r="BR61" i="44" s="1"/>
  <c r="BR62" i="44" s="1"/>
  <c r="BR63" i="44" s="1"/>
  <c r="BR64" i="44" s="1"/>
  <c r="BR65" i="44" s="1"/>
  <c r="BR66" i="44" s="1"/>
  <c r="BR67" i="44" s="1"/>
  <c r="BR68" i="44" s="1"/>
  <c r="BR69" i="44" s="1"/>
  <c r="BR70" i="44" s="1"/>
  <c r="BR71" i="44" s="1"/>
  <c r="BR72" i="44" s="1"/>
  <c r="BR73" i="44" s="1"/>
  <c r="BR74" i="44" s="1"/>
  <c r="BR75" i="44" s="1"/>
  <c r="BR76" i="44" s="1"/>
  <c r="BR77" i="44" s="1"/>
  <c r="BR78" i="44" s="1"/>
  <c r="BR79" i="44" s="1"/>
  <c r="BR80" i="44" s="1"/>
  <c r="BR81" i="44" s="1"/>
  <c r="BR82" i="44" s="1"/>
  <c r="BR83" i="44" s="1"/>
  <c r="BR84" i="44" s="1"/>
  <c r="BQ5" i="44"/>
  <c r="BQ6" i="44" s="1"/>
  <c r="BQ7" i="44" s="1"/>
  <c r="BQ8" i="44" s="1"/>
  <c r="BQ9" i="44" s="1"/>
  <c r="BQ10" i="44" s="1"/>
  <c r="BQ11" i="44" s="1"/>
  <c r="BQ12" i="44" s="1"/>
  <c r="BQ13" i="44" s="1"/>
  <c r="BQ14" i="44" s="1"/>
  <c r="BQ15" i="44" s="1"/>
  <c r="BQ16" i="44" s="1"/>
  <c r="BQ17" i="44" s="1"/>
  <c r="BQ18" i="44" s="1"/>
  <c r="BQ19" i="44" s="1"/>
  <c r="BQ20" i="44" s="1"/>
  <c r="BQ21" i="44" s="1"/>
  <c r="BQ22" i="44" s="1"/>
  <c r="BQ23" i="44" s="1"/>
  <c r="BQ24" i="44" s="1"/>
  <c r="BQ25" i="44" s="1"/>
  <c r="BQ26" i="44" s="1"/>
  <c r="BQ27" i="44" s="1"/>
  <c r="BQ28" i="44" s="1"/>
  <c r="BQ29" i="44" s="1"/>
  <c r="BQ30" i="44" s="1"/>
  <c r="BQ31" i="44" s="1"/>
  <c r="BQ32" i="44" s="1"/>
  <c r="BQ33" i="44" s="1"/>
  <c r="BQ34" i="44" s="1"/>
  <c r="BQ35" i="44" s="1"/>
  <c r="BQ36" i="44" s="1"/>
  <c r="BQ37" i="44" s="1"/>
  <c r="BQ38" i="44" s="1"/>
  <c r="BQ39" i="44" s="1"/>
  <c r="BQ40" i="44" s="1"/>
  <c r="BQ41" i="44" s="1"/>
  <c r="BQ42" i="44" s="1"/>
  <c r="BQ43" i="44" s="1"/>
  <c r="BQ44" i="44" s="1"/>
  <c r="BQ45" i="44" s="1"/>
  <c r="BQ46" i="44" s="1"/>
  <c r="BQ47" i="44" s="1"/>
  <c r="BQ48" i="44" s="1"/>
  <c r="BQ49" i="44" s="1"/>
  <c r="BQ50" i="44" s="1"/>
  <c r="BQ51" i="44" s="1"/>
  <c r="BQ52" i="44" s="1"/>
  <c r="BQ53" i="44" s="1"/>
  <c r="BQ54" i="44" s="1"/>
  <c r="BQ55" i="44" s="1"/>
  <c r="BQ56" i="44" s="1"/>
  <c r="BQ57" i="44" s="1"/>
  <c r="BQ58" i="44" s="1"/>
  <c r="BQ59" i="44" s="1"/>
  <c r="BQ60" i="44" s="1"/>
  <c r="BQ61" i="44" s="1"/>
  <c r="BQ62" i="44" s="1"/>
  <c r="BQ63" i="44" s="1"/>
  <c r="BQ64" i="44" s="1"/>
  <c r="BQ65" i="44" s="1"/>
  <c r="BQ66" i="44" s="1"/>
  <c r="BQ67" i="44" s="1"/>
  <c r="BQ68" i="44" s="1"/>
  <c r="BQ69" i="44" s="1"/>
  <c r="BQ70" i="44" s="1"/>
  <c r="BQ71" i="44" s="1"/>
  <c r="BQ72" i="44" s="1"/>
  <c r="BQ73" i="44" s="1"/>
  <c r="BQ74" i="44" s="1"/>
  <c r="BQ75" i="44" s="1"/>
  <c r="BQ76" i="44" s="1"/>
  <c r="BQ77" i="44" s="1"/>
  <c r="BQ78" i="44" s="1"/>
  <c r="BQ79" i="44" s="1"/>
  <c r="BQ80" i="44" s="1"/>
  <c r="BQ81" i="44" s="1"/>
  <c r="BQ82" i="44" s="1"/>
  <c r="BQ83" i="44" s="1"/>
  <c r="BQ84" i="44" s="1"/>
  <c r="BP5" i="44"/>
  <c r="BP6" i="44" s="1"/>
  <c r="BP7" i="44" s="1"/>
  <c r="BP8" i="44" s="1"/>
  <c r="BP9" i="44" s="1"/>
  <c r="BP10" i="44" s="1"/>
  <c r="BP11" i="44" s="1"/>
  <c r="BP12" i="44" s="1"/>
  <c r="BP13" i="44" s="1"/>
  <c r="BP14" i="44" s="1"/>
  <c r="BP15" i="44" s="1"/>
  <c r="BP16" i="44" s="1"/>
  <c r="BP17" i="44" s="1"/>
  <c r="BP18" i="44" s="1"/>
  <c r="BP19" i="44" s="1"/>
  <c r="BP20" i="44" s="1"/>
  <c r="BP21" i="44" s="1"/>
  <c r="BP22" i="44" s="1"/>
  <c r="BP23" i="44" s="1"/>
  <c r="BP24" i="44" s="1"/>
  <c r="BP25" i="44" s="1"/>
  <c r="BP26" i="44" s="1"/>
  <c r="BP27" i="44" s="1"/>
  <c r="BP28" i="44" s="1"/>
  <c r="BP29" i="44" s="1"/>
  <c r="BP30" i="44" s="1"/>
  <c r="BP31" i="44" s="1"/>
  <c r="BP32" i="44" s="1"/>
  <c r="BP33" i="44" s="1"/>
  <c r="BP34" i="44" s="1"/>
  <c r="BP35" i="44" s="1"/>
  <c r="BP36" i="44" s="1"/>
  <c r="BP37" i="44" s="1"/>
  <c r="BP38" i="44" s="1"/>
  <c r="BP39" i="44" s="1"/>
  <c r="BP40" i="44" s="1"/>
  <c r="BP41" i="44" s="1"/>
  <c r="BP42" i="44" s="1"/>
  <c r="BP43" i="44" s="1"/>
  <c r="BP44" i="44" s="1"/>
  <c r="BP45" i="44" s="1"/>
  <c r="BP46" i="44" s="1"/>
  <c r="BP47" i="44" s="1"/>
  <c r="BP48" i="44" s="1"/>
  <c r="BP49" i="44" s="1"/>
  <c r="BP50" i="44" s="1"/>
  <c r="BP51" i="44" s="1"/>
  <c r="BP52" i="44" s="1"/>
  <c r="BP53" i="44" s="1"/>
  <c r="BP54" i="44" s="1"/>
  <c r="BP55" i="44" s="1"/>
  <c r="BP56" i="44" s="1"/>
  <c r="BP57" i="44" s="1"/>
  <c r="BP58" i="44" s="1"/>
  <c r="BP59" i="44" s="1"/>
  <c r="BP60" i="44" s="1"/>
  <c r="BP61" i="44" s="1"/>
  <c r="BP62" i="44" s="1"/>
  <c r="BP63" i="44" s="1"/>
  <c r="BP64" i="44" s="1"/>
  <c r="BP65" i="44" s="1"/>
  <c r="BP66" i="44" s="1"/>
  <c r="BP67" i="44" s="1"/>
  <c r="BP68" i="44" s="1"/>
  <c r="BP69" i="44" s="1"/>
  <c r="BP70" i="44" s="1"/>
  <c r="BP71" i="44" s="1"/>
  <c r="BP72" i="44" s="1"/>
  <c r="BP73" i="44" s="1"/>
  <c r="BP74" i="44" s="1"/>
  <c r="BP75" i="44" s="1"/>
  <c r="BP76" i="44" s="1"/>
  <c r="BP77" i="44" s="1"/>
  <c r="BP78" i="44" s="1"/>
  <c r="BP79" i="44" s="1"/>
  <c r="BP80" i="44" s="1"/>
  <c r="BP81" i="44" s="1"/>
  <c r="BP82" i="44" s="1"/>
  <c r="BP83" i="44" s="1"/>
  <c r="BP84" i="44" s="1"/>
  <c r="BO5" i="44"/>
  <c r="BO6" i="44" s="1"/>
  <c r="BO7" i="44" s="1"/>
  <c r="BO8" i="44" s="1"/>
  <c r="BO9" i="44" s="1"/>
  <c r="BO10" i="44" s="1"/>
  <c r="BO11" i="44" s="1"/>
  <c r="BO12" i="44" s="1"/>
  <c r="BO13" i="44" s="1"/>
  <c r="BO14" i="44" s="1"/>
  <c r="BO15" i="44" s="1"/>
  <c r="BO16" i="44" s="1"/>
  <c r="BO17" i="44" s="1"/>
  <c r="BO18" i="44" s="1"/>
  <c r="BO19" i="44" s="1"/>
  <c r="BO20" i="44" s="1"/>
  <c r="BO21" i="44" s="1"/>
  <c r="BO22" i="44" s="1"/>
  <c r="BO23" i="44" s="1"/>
  <c r="BO24" i="44" s="1"/>
  <c r="BO25" i="44" s="1"/>
  <c r="BO26" i="44" s="1"/>
  <c r="BO27" i="44" s="1"/>
  <c r="BO28" i="44" s="1"/>
  <c r="BO29" i="44" s="1"/>
  <c r="BO30" i="44" s="1"/>
  <c r="BO31" i="44" s="1"/>
  <c r="BO32" i="44" s="1"/>
  <c r="BO33" i="44" s="1"/>
  <c r="BO34" i="44" s="1"/>
  <c r="BO35" i="44" s="1"/>
  <c r="BO36" i="44" s="1"/>
  <c r="BO37" i="44" s="1"/>
  <c r="BO38" i="44" s="1"/>
  <c r="BO39" i="44" s="1"/>
  <c r="BO40" i="44" s="1"/>
  <c r="BO41" i="44" s="1"/>
  <c r="BO42" i="44" s="1"/>
  <c r="BO43" i="44" s="1"/>
  <c r="BO44" i="44" s="1"/>
  <c r="BO45" i="44" s="1"/>
  <c r="BO46" i="44" s="1"/>
  <c r="BO47" i="44" s="1"/>
  <c r="BO48" i="44" s="1"/>
  <c r="BO49" i="44" s="1"/>
  <c r="BO50" i="44" s="1"/>
  <c r="BO51" i="44" s="1"/>
  <c r="BO52" i="44" s="1"/>
  <c r="BO53" i="44" s="1"/>
  <c r="BO54" i="44" s="1"/>
  <c r="BO55" i="44" s="1"/>
  <c r="BO56" i="44" s="1"/>
  <c r="BO57" i="44" s="1"/>
  <c r="BO58" i="44" s="1"/>
  <c r="BO59" i="44" s="1"/>
  <c r="BO60" i="44" s="1"/>
  <c r="BO61" i="44" s="1"/>
  <c r="BO62" i="44" s="1"/>
  <c r="BO63" i="44" s="1"/>
  <c r="BO64" i="44" s="1"/>
  <c r="BO65" i="44" s="1"/>
  <c r="BO66" i="44" s="1"/>
  <c r="BO67" i="44" s="1"/>
  <c r="BO68" i="44" s="1"/>
  <c r="BO69" i="44" s="1"/>
  <c r="BO70" i="44" s="1"/>
  <c r="BO71" i="44" s="1"/>
  <c r="BO72" i="44" s="1"/>
  <c r="BO73" i="44" s="1"/>
  <c r="BO74" i="44" s="1"/>
  <c r="BO75" i="44" s="1"/>
  <c r="BO76" i="44" s="1"/>
  <c r="BO77" i="44" s="1"/>
  <c r="BO78" i="44" s="1"/>
  <c r="BO79" i="44" s="1"/>
  <c r="BO80" i="44" s="1"/>
  <c r="BO81" i="44" s="1"/>
  <c r="BO82" i="44" s="1"/>
  <c r="BO83" i="44" s="1"/>
  <c r="BO84" i="44" s="1"/>
  <c r="BN5" i="44"/>
  <c r="BN6" i="44" s="1"/>
  <c r="BN7" i="44" s="1"/>
  <c r="BN8" i="44" s="1"/>
  <c r="BN9" i="44" s="1"/>
  <c r="BN10" i="44" s="1"/>
  <c r="BN11" i="44" s="1"/>
  <c r="BN12" i="44" s="1"/>
  <c r="BN13" i="44" s="1"/>
  <c r="BN14" i="44" s="1"/>
  <c r="BN15" i="44" s="1"/>
  <c r="BN16" i="44" s="1"/>
  <c r="BN17" i="44" s="1"/>
  <c r="BN18" i="44" s="1"/>
  <c r="BN19" i="44" s="1"/>
  <c r="BN20" i="44" s="1"/>
  <c r="BN21" i="44" s="1"/>
  <c r="BN22" i="44" s="1"/>
  <c r="BN23" i="44" s="1"/>
  <c r="BN24" i="44" s="1"/>
  <c r="BN25" i="44" s="1"/>
  <c r="BN26" i="44" s="1"/>
  <c r="BN27" i="44" s="1"/>
  <c r="BN28" i="44" s="1"/>
  <c r="BN29" i="44" s="1"/>
  <c r="BN30" i="44" s="1"/>
  <c r="BN31" i="44" s="1"/>
  <c r="BN32" i="44" s="1"/>
  <c r="BN33" i="44" s="1"/>
  <c r="BN34" i="44" s="1"/>
  <c r="BN35" i="44" s="1"/>
  <c r="BN36" i="44" s="1"/>
  <c r="BN37" i="44" s="1"/>
  <c r="BN38" i="44" s="1"/>
  <c r="BN39" i="44" s="1"/>
  <c r="BN40" i="44" s="1"/>
  <c r="BN41" i="44" s="1"/>
  <c r="BN42" i="44" s="1"/>
  <c r="BN43" i="44" s="1"/>
  <c r="BN44" i="44" s="1"/>
  <c r="BN45" i="44" s="1"/>
  <c r="BN46" i="44" s="1"/>
  <c r="BN47" i="44" s="1"/>
  <c r="BN48" i="44" s="1"/>
  <c r="BN49" i="44" s="1"/>
  <c r="BN50" i="44" s="1"/>
  <c r="BN51" i="44" s="1"/>
  <c r="BN52" i="44" s="1"/>
  <c r="BN53" i="44" s="1"/>
  <c r="BN54" i="44" s="1"/>
  <c r="BN55" i="44" s="1"/>
  <c r="BN56" i="44" s="1"/>
  <c r="BN57" i="44" s="1"/>
  <c r="BN58" i="44" s="1"/>
  <c r="BN59" i="44" s="1"/>
  <c r="BN60" i="44" s="1"/>
  <c r="BN61" i="44" s="1"/>
  <c r="BN62" i="44" s="1"/>
  <c r="BN63" i="44" s="1"/>
  <c r="BN64" i="44" s="1"/>
  <c r="BN65" i="44" s="1"/>
  <c r="BN66" i="44" s="1"/>
  <c r="BN67" i="44" s="1"/>
  <c r="BN68" i="44" s="1"/>
  <c r="BN69" i="44" s="1"/>
  <c r="BN70" i="44" s="1"/>
  <c r="BN71" i="44" s="1"/>
  <c r="BN72" i="44" s="1"/>
  <c r="BN73" i="44" s="1"/>
  <c r="BN74" i="44" s="1"/>
  <c r="BN75" i="44" s="1"/>
  <c r="BN76" i="44" s="1"/>
  <c r="BN77" i="44" s="1"/>
  <c r="BN78" i="44" s="1"/>
  <c r="BN79" i="44" s="1"/>
  <c r="BN80" i="44" s="1"/>
  <c r="BN81" i="44" s="1"/>
  <c r="BN82" i="44" s="1"/>
  <c r="BN83" i="44" s="1"/>
  <c r="BN84" i="44" s="1"/>
  <c r="BM5" i="44"/>
  <c r="BM6" i="44" s="1"/>
  <c r="BM7" i="44" s="1"/>
  <c r="BM8" i="44" s="1"/>
  <c r="BM9" i="44" s="1"/>
  <c r="BM10" i="44" s="1"/>
  <c r="BM11" i="44" s="1"/>
  <c r="BM12" i="44" s="1"/>
  <c r="BM13" i="44" s="1"/>
  <c r="BM14" i="44" s="1"/>
  <c r="BM15" i="44" s="1"/>
  <c r="BM16" i="44" s="1"/>
  <c r="BM17" i="44" s="1"/>
  <c r="BM18" i="44" s="1"/>
  <c r="BM19" i="44" s="1"/>
  <c r="BM20" i="44" s="1"/>
  <c r="BM21" i="44" s="1"/>
  <c r="BM22" i="44" s="1"/>
  <c r="BM23" i="44" s="1"/>
  <c r="BM24" i="44" s="1"/>
  <c r="BM25" i="44" s="1"/>
  <c r="BM26" i="44" s="1"/>
  <c r="BM27" i="44" s="1"/>
  <c r="BM28" i="44" s="1"/>
  <c r="BM29" i="44" s="1"/>
  <c r="BM30" i="44" s="1"/>
  <c r="BM31" i="44" s="1"/>
  <c r="BM32" i="44" s="1"/>
  <c r="BM33" i="44" s="1"/>
  <c r="BM34" i="44" s="1"/>
  <c r="BM35" i="44" s="1"/>
  <c r="BM36" i="44" s="1"/>
  <c r="BM37" i="44" s="1"/>
  <c r="BM38" i="44" s="1"/>
  <c r="BM39" i="44" s="1"/>
  <c r="BM40" i="44" s="1"/>
  <c r="BM41" i="44" s="1"/>
  <c r="BM42" i="44" s="1"/>
  <c r="BM43" i="44" s="1"/>
  <c r="BM44" i="44" s="1"/>
  <c r="BM45" i="44" s="1"/>
  <c r="BM46" i="44" s="1"/>
  <c r="BM47" i="44" s="1"/>
  <c r="BM48" i="44" s="1"/>
  <c r="BM49" i="44" s="1"/>
  <c r="BM50" i="44" s="1"/>
  <c r="BM51" i="44" s="1"/>
  <c r="BM52" i="44" s="1"/>
  <c r="BM53" i="44" s="1"/>
  <c r="BM54" i="44" s="1"/>
  <c r="BM55" i="44" s="1"/>
  <c r="BM56" i="44" s="1"/>
  <c r="BM57" i="44" s="1"/>
  <c r="BM58" i="44" s="1"/>
  <c r="BM59" i="44" s="1"/>
  <c r="BM60" i="44" s="1"/>
  <c r="BM61" i="44" s="1"/>
  <c r="BM62" i="44" s="1"/>
  <c r="BM63" i="44" s="1"/>
  <c r="BM64" i="44" s="1"/>
  <c r="BM65" i="44" s="1"/>
  <c r="BM66" i="44" s="1"/>
  <c r="BM67" i="44" s="1"/>
  <c r="BM68" i="44" s="1"/>
  <c r="BM69" i="44" s="1"/>
  <c r="BM70" i="44" s="1"/>
  <c r="BM71" i="44" s="1"/>
  <c r="BM72" i="44" s="1"/>
  <c r="BM73" i="44" s="1"/>
  <c r="BM74" i="44" s="1"/>
  <c r="BM75" i="44" s="1"/>
  <c r="BM76" i="44" s="1"/>
  <c r="BM77" i="44" s="1"/>
  <c r="BM78" i="44" s="1"/>
  <c r="BM79" i="44" s="1"/>
  <c r="BM80" i="44" s="1"/>
  <c r="BM81" i="44" s="1"/>
  <c r="BM82" i="44" s="1"/>
  <c r="BM83" i="44" s="1"/>
  <c r="BM84" i="44" s="1"/>
  <c r="BL5" i="44"/>
  <c r="BL6" i="44" s="1"/>
  <c r="BL7" i="44" s="1"/>
  <c r="BL8" i="44" s="1"/>
  <c r="BL9" i="44" s="1"/>
  <c r="BL10" i="44" s="1"/>
  <c r="BL11" i="44" s="1"/>
  <c r="BL12" i="44" s="1"/>
  <c r="BL13" i="44" s="1"/>
  <c r="BL14" i="44" s="1"/>
  <c r="BL15" i="44" s="1"/>
  <c r="BL16" i="44" s="1"/>
  <c r="BL17" i="44" s="1"/>
  <c r="BL18" i="44" s="1"/>
  <c r="BL19" i="44" s="1"/>
  <c r="BL20" i="44" s="1"/>
  <c r="BL21" i="44" s="1"/>
  <c r="BL22" i="44" s="1"/>
  <c r="BL23" i="44" s="1"/>
  <c r="BL24" i="44" s="1"/>
  <c r="BL25" i="44" s="1"/>
  <c r="BL26" i="44" s="1"/>
  <c r="BL27" i="44" s="1"/>
  <c r="BL28" i="44" s="1"/>
  <c r="BL29" i="44" s="1"/>
  <c r="BL30" i="44" s="1"/>
  <c r="BL31" i="44" s="1"/>
  <c r="BL32" i="44" s="1"/>
  <c r="BL33" i="44" s="1"/>
  <c r="BL34" i="44" s="1"/>
  <c r="BL35" i="44" s="1"/>
  <c r="BL36" i="44" s="1"/>
  <c r="BL37" i="44" s="1"/>
  <c r="BL38" i="44" s="1"/>
  <c r="BL39" i="44" s="1"/>
  <c r="BL40" i="44" s="1"/>
  <c r="BL41" i="44" s="1"/>
  <c r="BL42" i="44" s="1"/>
  <c r="BL43" i="44" s="1"/>
  <c r="BL44" i="44" s="1"/>
  <c r="BL45" i="44" s="1"/>
  <c r="BL46" i="44" s="1"/>
  <c r="BL47" i="44" s="1"/>
  <c r="BL48" i="44" s="1"/>
  <c r="BL49" i="44" s="1"/>
  <c r="BL50" i="44" s="1"/>
  <c r="BL51" i="44" s="1"/>
  <c r="BL52" i="44" s="1"/>
  <c r="BL53" i="44" s="1"/>
  <c r="BL54" i="44" s="1"/>
  <c r="BL55" i="44" s="1"/>
  <c r="BL56" i="44" s="1"/>
  <c r="BL57" i="44" s="1"/>
  <c r="BL58" i="44" s="1"/>
  <c r="BL59" i="44" s="1"/>
  <c r="BL60" i="44" s="1"/>
  <c r="BL61" i="44" s="1"/>
  <c r="BL62" i="44" s="1"/>
  <c r="BL63" i="44" s="1"/>
  <c r="BL64" i="44" s="1"/>
  <c r="BL65" i="44" s="1"/>
  <c r="BL66" i="44" s="1"/>
  <c r="BL67" i="44" s="1"/>
  <c r="BL68" i="44" s="1"/>
  <c r="BL69" i="44" s="1"/>
  <c r="BL70" i="44" s="1"/>
  <c r="BL71" i="44" s="1"/>
  <c r="BL72" i="44" s="1"/>
  <c r="BL73" i="44" s="1"/>
  <c r="BL74" i="44" s="1"/>
  <c r="BL75" i="44" s="1"/>
  <c r="BL76" i="44" s="1"/>
  <c r="BL77" i="44" s="1"/>
  <c r="BL78" i="44" s="1"/>
  <c r="BL79" i="44" s="1"/>
  <c r="BL80" i="44" s="1"/>
  <c r="BL81" i="44" s="1"/>
  <c r="BL82" i="44" s="1"/>
  <c r="BL83" i="44" s="1"/>
  <c r="BL84" i="44" s="1"/>
  <c r="BK5" i="44"/>
  <c r="BK6" i="44" s="1"/>
  <c r="BK7" i="44" s="1"/>
  <c r="BK8" i="44" s="1"/>
  <c r="BK9" i="44" s="1"/>
  <c r="BK10" i="44" s="1"/>
  <c r="BK11" i="44" s="1"/>
  <c r="BK12" i="44" s="1"/>
  <c r="BK13" i="44" s="1"/>
  <c r="BK14" i="44" s="1"/>
  <c r="BK15" i="44" s="1"/>
  <c r="BK16" i="44" s="1"/>
  <c r="BK17" i="44" s="1"/>
  <c r="BK18" i="44" s="1"/>
  <c r="BK19" i="44" s="1"/>
  <c r="BK20" i="44" s="1"/>
  <c r="BK21" i="44" s="1"/>
  <c r="BK22" i="44" s="1"/>
  <c r="BK23" i="44" s="1"/>
  <c r="BK24" i="44" s="1"/>
  <c r="BK25" i="44" s="1"/>
  <c r="BK26" i="44" s="1"/>
  <c r="BK27" i="44" s="1"/>
  <c r="BK28" i="44" s="1"/>
  <c r="BK29" i="44" s="1"/>
  <c r="BK30" i="44" s="1"/>
  <c r="BK31" i="44" s="1"/>
  <c r="BK32" i="44" s="1"/>
  <c r="BK33" i="44" s="1"/>
  <c r="BK34" i="44" s="1"/>
  <c r="BK35" i="44" s="1"/>
  <c r="BK36" i="44" s="1"/>
  <c r="BK37" i="44" s="1"/>
  <c r="BK38" i="44" s="1"/>
  <c r="BK39" i="44" s="1"/>
  <c r="BK40" i="44" s="1"/>
  <c r="BK41" i="44" s="1"/>
  <c r="BK42" i="44" s="1"/>
  <c r="BK43" i="44" s="1"/>
  <c r="BK44" i="44" s="1"/>
  <c r="BK45" i="44" s="1"/>
  <c r="BK46" i="44" s="1"/>
  <c r="BK47" i="44" s="1"/>
  <c r="BK48" i="44" s="1"/>
  <c r="BK49" i="44" s="1"/>
  <c r="BK50" i="44" s="1"/>
  <c r="BK51" i="44" s="1"/>
  <c r="BK52" i="44" s="1"/>
  <c r="BK53" i="44" s="1"/>
  <c r="BK54" i="44" s="1"/>
  <c r="BK55" i="44" s="1"/>
  <c r="BK56" i="44" s="1"/>
  <c r="BK57" i="44" s="1"/>
  <c r="BK58" i="44" s="1"/>
  <c r="BK59" i="44" s="1"/>
  <c r="BK60" i="44" s="1"/>
  <c r="BK61" i="44" s="1"/>
  <c r="BK62" i="44" s="1"/>
  <c r="BK63" i="44" s="1"/>
  <c r="BK64" i="44" s="1"/>
  <c r="BK65" i="44" s="1"/>
  <c r="BK66" i="44" s="1"/>
  <c r="BK67" i="44" s="1"/>
  <c r="BK68" i="44" s="1"/>
  <c r="BK69" i="44" s="1"/>
  <c r="BK70" i="44" s="1"/>
  <c r="BK71" i="44" s="1"/>
  <c r="BK72" i="44" s="1"/>
  <c r="BK73" i="44" s="1"/>
  <c r="BK74" i="44" s="1"/>
  <c r="BK75" i="44" s="1"/>
  <c r="BK76" i="44" s="1"/>
  <c r="BK77" i="44" s="1"/>
  <c r="BK78" i="44" s="1"/>
  <c r="BK79" i="44" s="1"/>
  <c r="BK80" i="44" s="1"/>
  <c r="BK81" i="44" s="1"/>
  <c r="BK82" i="44" s="1"/>
  <c r="BK83" i="44" s="1"/>
  <c r="BK84" i="44" s="1"/>
  <c r="BJ5" i="44"/>
  <c r="BJ6" i="44" s="1"/>
  <c r="BJ7" i="44" s="1"/>
  <c r="BJ8" i="44" s="1"/>
  <c r="BJ9" i="44" s="1"/>
  <c r="BJ10" i="44" s="1"/>
  <c r="BJ11" i="44" s="1"/>
  <c r="BJ12" i="44" s="1"/>
  <c r="BJ13" i="44" s="1"/>
  <c r="BJ14" i="44" s="1"/>
  <c r="BJ15" i="44" s="1"/>
  <c r="BJ16" i="44" s="1"/>
  <c r="BJ17" i="44" s="1"/>
  <c r="BJ18" i="44" s="1"/>
  <c r="BJ19" i="44" s="1"/>
  <c r="BJ20" i="44" s="1"/>
  <c r="BJ21" i="44" s="1"/>
  <c r="BJ22" i="44" s="1"/>
  <c r="BJ23" i="44" s="1"/>
  <c r="BJ24" i="44" s="1"/>
  <c r="BJ25" i="44" s="1"/>
  <c r="BJ26" i="44" s="1"/>
  <c r="BJ27" i="44" s="1"/>
  <c r="BJ28" i="44" s="1"/>
  <c r="BJ29" i="44" s="1"/>
  <c r="BJ30" i="44" s="1"/>
  <c r="BJ31" i="44" s="1"/>
  <c r="BJ32" i="44" s="1"/>
  <c r="BJ33" i="44" s="1"/>
  <c r="BJ34" i="44" s="1"/>
  <c r="BJ35" i="44" s="1"/>
  <c r="BJ36" i="44" s="1"/>
  <c r="BJ37" i="44" s="1"/>
  <c r="BJ38" i="44" s="1"/>
  <c r="BJ39" i="44" s="1"/>
  <c r="BJ40" i="44" s="1"/>
  <c r="BJ41" i="44" s="1"/>
  <c r="BJ42" i="44" s="1"/>
  <c r="BJ43" i="44" s="1"/>
  <c r="BJ44" i="44" s="1"/>
  <c r="BJ45" i="44" s="1"/>
  <c r="BJ46" i="44" s="1"/>
  <c r="BJ47" i="44" s="1"/>
  <c r="BJ48" i="44" s="1"/>
  <c r="BJ49" i="44" s="1"/>
  <c r="BJ50" i="44" s="1"/>
  <c r="BJ51" i="44" s="1"/>
  <c r="BJ52" i="44" s="1"/>
  <c r="BJ53" i="44" s="1"/>
  <c r="BJ54" i="44" s="1"/>
  <c r="BJ55" i="44" s="1"/>
  <c r="BJ56" i="44" s="1"/>
  <c r="BJ57" i="44" s="1"/>
  <c r="BJ58" i="44" s="1"/>
  <c r="BJ59" i="44" s="1"/>
  <c r="BJ60" i="44" s="1"/>
  <c r="BJ61" i="44" s="1"/>
  <c r="BJ62" i="44" s="1"/>
  <c r="BJ63" i="44" s="1"/>
  <c r="BJ64" i="44" s="1"/>
  <c r="BJ65" i="44" s="1"/>
  <c r="BJ66" i="44" s="1"/>
  <c r="BJ67" i="44" s="1"/>
  <c r="BJ68" i="44" s="1"/>
  <c r="BJ69" i="44" s="1"/>
  <c r="BJ70" i="44" s="1"/>
  <c r="BJ71" i="44" s="1"/>
  <c r="BJ72" i="44" s="1"/>
  <c r="BJ73" i="44" s="1"/>
  <c r="BJ74" i="44" s="1"/>
  <c r="BJ75" i="44" s="1"/>
  <c r="BJ76" i="44" s="1"/>
  <c r="BJ77" i="44" s="1"/>
  <c r="BJ78" i="44" s="1"/>
  <c r="BJ79" i="44" s="1"/>
  <c r="BJ80" i="44" s="1"/>
  <c r="BJ81" i="44" s="1"/>
  <c r="BJ82" i="44" s="1"/>
  <c r="BJ83" i="44" s="1"/>
  <c r="BJ84" i="44" s="1"/>
  <c r="BI5" i="44"/>
  <c r="BI6" i="44" s="1"/>
  <c r="BI7" i="44" s="1"/>
  <c r="BI8" i="44" s="1"/>
  <c r="BI9" i="44" s="1"/>
  <c r="BI10" i="44" s="1"/>
  <c r="BI11" i="44" s="1"/>
  <c r="BI12" i="44" s="1"/>
  <c r="BI13" i="44" s="1"/>
  <c r="BI14" i="44" s="1"/>
  <c r="BI15" i="44" s="1"/>
  <c r="BI16" i="44" s="1"/>
  <c r="BI17" i="44" s="1"/>
  <c r="BI18" i="44" s="1"/>
  <c r="BI19" i="44" s="1"/>
  <c r="BI20" i="44" s="1"/>
  <c r="BI21" i="44" s="1"/>
  <c r="BI22" i="44" s="1"/>
  <c r="BI23" i="44" s="1"/>
  <c r="BI24" i="44" s="1"/>
  <c r="BI25" i="44" s="1"/>
  <c r="BI26" i="44" s="1"/>
  <c r="BI27" i="44" s="1"/>
  <c r="BI28" i="44" s="1"/>
  <c r="BI29" i="44" s="1"/>
  <c r="BI30" i="44" s="1"/>
  <c r="BI31" i="44" s="1"/>
  <c r="BI32" i="44" s="1"/>
  <c r="BI33" i="44" s="1"/>
  <c r="BI34" i="44" s="1"/>
  <c r="BI35" i="44" s="1"/>
  <c r="BI36" i="44" s="1"/>
  <c r="BI37" i="44" s="1"/>
  <c r="BI38" i="44" s="1"/>
  <c r="BI39" i="44" s="1"/>
  <c r="BI40" i="44" s="1"/>
  <c r="BI41" i="44" s="1"/>
  <c r="BI42" i="44" s="1"/>
  <c r="BI43" i="44" s="1"/>
  <c r="BI44" i="44" s="1"/>
  <c r="BI45" i="44" s="1"/>
  <c r="BI46" i="44" s="1"/>
  <c r="BI47" i="44" s="1"/>
  <c r="BI48" i="44" s="1"/>
  <c r="BI49" i="44" s="1"/>
  <c r="BI50" i="44" s="1"/>
  <c r="BI51" i="44" s="1"/>
  <c r="BI52" i="44" s="1"/>
  <c r="BI53" i="44" s="1"/>
  <c r="BI54" i="44" s="1"/>
  <c r="BI55" i="44" s="1"/>
  <c r="BI56" i="44" s="1"/>
  <c r="BI57" i="44" s="1"/>
  <c r="BI58" i="44" s="1"/>
  <c r="BI59" i="44" s="1"/>
  <c r="BI60" i="44" s="1"/>
  <c r="BI61" i="44" s="1"/>
  <c r="BI62" i="44" s="1"/>
  <c r="BI63" i="44" s="1"/>
  <c r="BI64" i="44" s="1"/>
  <c r="BI65" i="44" s="1"/>
  <c r="BI66" i="44" s="1"/>
  <c r="BI67" i="44" s="1"/>
  <c r="BI68" i="44" s="1"/>
  <c r="BI69" i="44" s="1"/>
  <c r="BI70" i="44" s="1"/>
  <c r="BI71" i="44" s="1"/>
  <c r="BI72" i="44" s="1"/>
  <c r="BI73" i="44" s="1"/>
  <c r="BI74" i="44" s="1"/>
  <c r="BI75" i="44" s="1"/>
  <c r="BI76" i="44" s="1"/>
  <c r="BI77" i="44" s="1"/>
  <c r="BI78" i="44" s="1"/>
  <c r="BI79" i="44" s="1"/>
  <c r="BI80" i="44" s="1"/>
  <c r="BI81" i="44" s="1"/>
  <c r="BI82" i="44" s="1"/>
  <c r="BI83" i="44" s="1"/>
  <c r="BI84" i="44" s="1"/>
  <c r="BH5" i="44"/>
  <c r="BH6" i="44" s="1"/>
  <c r="BH7" i="44" s="1"/>
  <c r="BH8" i="44" s="1"/>
  <c r="BH9" i="44" s="1"/>
  <c r="BH10" i="44" s="1"/>
  <c r="BH11" i="44" s="1"/>
  <c r="BH12" i="44" s="1"/>
  <c r="BH13" i="44" s="1"/>
  <c r="BH14" i="44" s="1"/>
  <c r="BH15" i="44" s="1"/>
  <c r="BH16" i="44" s="1"/>
  <c r="BH17" i="44" s="1"/>
  <c r="BH18" i="44" s="1"/>
  <c r="BH19" i="44" s="1"/>
  <c r="BH20" i="44" s="1"/>
  <c r="BH21" i="44" s="1"/>
  <c r="BH22" i="44" s="1"/>
  <c r="BH23" i="44" s="1"/>
  <c r="BH24" i="44" s="1"/>
  <c r="BH25" i="44" s="1"/>
  <c r="BH26" i="44" s="1"/>
  <c r="BH27" i="44" s="1"/>
  <c r="BH28" i="44" s="1"/>
  <c r="BH29" i="44" s="1"/>
  <c r="BH30" i="44" s="1"/>
  <c r="BH31" i="44" s="1"/>
  <c r="BH32" i="44" s="1"/>
  <c r="BH33" i="44" s="1"/>
  <c r="BH34" i="44" s="1"/>
  <c r="BH35" i="44" s="1"/>
  <c r="BH36" i="44" s="1"/>
  <c r="BH37" i="44" s="1"/>
  <c r="BH38" i="44" s="1"/>
  <c r="BH39" i="44" s="1"/>
  <c r="BH40" i="44" s="1"/>
  <c r="BH41" i="44" s="1"/>
  <c r="BH42" i="44" s="1"/>
  <c r="BH43" i="44" s="1"/>
  <c r="BH44" i="44" s="1"/>
  <c r="BH45" i="44" s="1"/>
  <c r="BH46" i="44" s="1"/>
  <c r="BH47" i="44" s="1"/>
  <c r="BH48" i="44" s="1"/>
  <c r="BH49" i="44" s="1"/>
  <c r="BH50" i="44" s="1"/>
  <c r="BH51" i="44" s="1"/>
  <c r="BH52" i="44" s="1"/>
  <c r="BH53" i="44" s="1"/>
  <c r="BH54" i="44" s="1"/>
  <c r="BH55" i="44" s="1"/>
  <c r="BH56" i="44" s="1"/>
  <c r="BH57" i="44" s="1"/>
  <c r="BH58" i="44" s="1"/>
  <c r="BH59" i="44" s="1"/>
  <c r="BH60" i="44" s="1"/>
  <c r="BH61" i="44" s="1"/>
  <c r="BH62" i="44" s="1"/>
  <c r="BH63" i="44" s="1"/>
  <c r="BH64" i="44" s="1"/>
  <c r="BH65" i="44" s="1"/>
  <c r="BH66" i="44" s="1"/>
  <c r="BH67" i="44" s="1"/>
  <c r="BH68" i="44" s="1"/>
  <c r="BH69" i="44" s="1"/>
  <c r="BH70" i="44" s="1"/>
  <c r="BH71" i="44" s="1"/>
  <c r="BH72" i="44" s="1"/>
  <c r="BH73" i="44" s="1"/>
  <c r="BH74" i="44" s="1"/>
  <c r="BH75" i="44" s="1"/>
  <c r="BH76" i="44" s="1"/>
  <c r="BH77" i="44" s="1"/>
  <c r="BH78" i="44" s="1"/>
  <c r="BH79" i="44" s="1"/>
  <c r="BH80" i="44" s="1"/>
  <c r="BH81" i="44" s="1"/>
  <c r="BH82" i="44" s="1"/>
  <c r="BH83" i="44" s="1"/>
  <c r="BH84" i="44" s="1"/>
  <c r="BG5" i="44"/>
  <c r="BG6" i="44" s="1"/>
  <c r="BG7" i="44" s="1"/>
  <c r="BG8" i="44" s="1"/>
  <c r="BG9" i="44" s="1"/>
  <c r="BG10" i="44" s="1"/>
  <c r="BG11" i="44" s="1"/>
  <c r="BG12" i="44" s="1"/>
  <c r="BG13" i="44" s="1"/>
  <c r="BG14" i="44" s="1"/>
  <c r="BG15" i="44" s="1"/>
  <c r="BG16" i="44" s="1"/>
  <c r="BG17" i="44" s="1"/>
  <c r="BG18" i="44" s="1"/>
  <c r="BG19" i="44" s="1"/>
  <c r="BG20" i="44" s="1"/>
  <c r="BG21" i="44" s="1"/>
  <c r="BG22" i="44" s="1"/>
  <c r="BG23" i="44" s="1"/>
  <c r="BG24" i="44" s="1"/>
  <c r="BG25" i="44" s="1"/>
  <c r="BG26" i="44" s="1"/>
  <c r="BG27" i="44" s="1"/>
  <c r="BG28" i="44" s="1"/>
  <c r="BG29" i="44" s="1"/>
  <c r="BG30" i="44" s="1"/>
  <c r="BG31" i="44" s="1"/>
  <c r="BG32" i="44" s="1"/>
  <c r="BG33" i="44" s="1"/>
  <c r="BG34" i="44" s="1"/>
  <c r="BG35" i="44" s="1"/>
  <c r="BG36" i="44" s="1"/>
  <c r="BG37" i="44" s="1"/>
  <c r="BG38" i="44" s="1"/>
  <c r="BG39" i="44" s="1"/>
  <c r="BG40" i="44" s="1"/>
  <c r="BG41" i="44" s="1"/>
  <c r="BG42" i="44" s="1"/>
  <c r="BG43" i="44" s="1"/>
  <c r="BG44" i="44" s="1"/>
  <c r="BG45" i="44" s="1"/>
  <c r="BG46" i="44" s="1"/>
  <c r="BG47" i="44" s="1"/>
  <c r="BG48" i="44" s="1"/>
  <c r="BG49" i="44" s="1"/>
  <c r="BG50" i="44" s="1"/>
  <c r="BG51" i="44" s="1"/>
  <c r="BG52" i="44" s="1"/>
  <c r="BG53" i="44" s="1"/>
  <c r="BG54" i="44" s="1"/>
  <c r="BG55" i="44" s="1"/>
  <c r="BG56" i="44" s="1"/>
  <c r="BG57" i="44" s="1"/>
  <c r="BG58" i="44" s="1"/>
  <c r="BG59" i="44" s="1"/>
  <c r="BG60" i="44" s="1"/>
  <c r="BG61" i="44" s="1"/>
  <c r="BG62" i="44" s="1"/>
  <c r="BG63" i="44" s="1"/>
  <c r="BG64" i="44" s="1"/>
  <c r="BG65" i="44" s="1"/>
  <c r="BG66" i="44" s="1"/>
  <c r="BG67" i="44" s="1"/>
  <c r="BG68" i="44" s="1"/>
  <c r="BG69" i="44" s="1"/>
  <c r="BG70" i="44" s="1"/>
  <c r="BG71" i="44" s="1"/>
  <c r="BG72" i="44" s="1"/>
  <c r="BG73" i="44" s="1"/>
  <c r="BG74" i="44" s="1"/>
  <c r="BG75" i="44" s="1"/>
  <c r="BG76" i="44" s="1"/>
  <c r="BG77" i="44" s="1"/>
  <c r="BG78" i="44" s="1"/>
  <c r="BG79" i="44" s="1"/>
  <c r="BG80" i="44" s="1"/>
  <c r="BG81" i="44" s="1"/>
  <c r="BG82" i="44" s="1"/>
  <c r="BG83" i="44" s="1"/>
  <c r="BG84" i="44" s="1"/>
  <c r="BF5" i="44"/>
  <c r="BF6" i="44" s="1"/>
  <c r="BF7" i="44" s="1"/>
  <c r="BF8" i="44" s="1"/>
  <c r="BF9" i="44" s="1"/>
  <c r="BF10" i="44" s="1"/>
  <c r="BF11" i="44" s="1"/>
  <c r="BF12" i="44" s="1"/>
  <c r="BF13" i="44" s="1"/>
  <c r="BF14" i="44" s="1"/>
  <c r="BF15" i="44" s="1"/>
  <c r="BF16" i="44" s="1"/>
  <c r="BF17" i="44" s="1"/>
  <c r="BF18" i="44" s="1"/>
  <c r="BF19" i="44" s="1"/>
  <c r="BF20" i="44" s="1"/>
  <c r="BF21" i="44" s="1"/>
  <c r="BF22" i="44" s="1"/>
  <c r="BF23" i="44" s="1"/>
  <c r="BF24" i="44" s="1"/>
  <c r="BF25" i="44" s="1"/>
  <c r="BF26" i="44" s="1"/>
  <c r="BF27" i="44" s="1"/>
  <c r="BF28" i="44" s="1"/>
  <c r="BF29" i="44" s="1"/>
  <c r="BF30" i="44" s="1"/>
  <c r="BF31" i="44" s="1"/>
  <c r="BF32" i="44" s="1"/>
  <c r="BF33" i="44" s="1"/>
  <c r="BF34" i="44" s="1"/>
  <c r="BF35" i="44" s="1"/>
  <c r="BF36" i="44" s="1"/>
  <c r="BF37" i="44" s="1"/>
  <c r="BF38" i="44" s="1"/>
  <c r="BF39" i="44" s="1"/>
  <c r="BF40" i="44" s="1"/>
  <c r="BF41" i="44" s="1"/>
  <c r="BF42" i="44" s="1"/>
  <c r="BF43" i="44" s="1"/>
  <c r="BF44" i="44" s="1"/>
  <c r="BF45" i="44" s="1"/>
  <c r="BF46" i="44" s="1"/>
  <c r="BF47" i="44" s="1"/>
  <c r="BF48" i="44" s="1"/>
  <c r="BF49" i="44" s="1"/>
  <c r="BF50" i="44" s="1"/>
  <c r="BF51" i="44" s="1"/>
  <c r="BF52" i="44" s="1"/>
  <c r="BF53" i="44" s="1"/>
  <c r="BF54" i="44" s="1"/>
  <c r="BF55" i="44" s="1"/>
  <c r="BF56" i="44" s="1"/>
  <c r="BF57" i="44" s="1"/>
  <c r="BF58" i="44" s="1"/>
  <c r="BF59" i="44" s="1"/>
  <c r="BF60" i="44" s="1"/>
  <c r="BF61" i="44" s="1"/>
  <c r="BF62" i="44" s="1"/>
  <c r="BF63" i="44" s="1"/>
  <c r="BF64" i="44" s="1"/>
  <c r="BF65" i="44" s="1"/>
  <c r="BF66" i="44" s="1"/>
  <c r="BF67" i="44" s="1"/>
  <c r="BF68" i="44" s="1"/>
  <c r="BF69" i="44" s="1"/>
  <c r="BF70" i="44" s="1"/>
  <c r="BF71" i="44" s="1"/>
  <c r="BF72" i="44" s="1"/>
  <c r="BF73" i="44" s="1"/>
  <c r="BF74" i="44" s="1"/>
  <c r="BF75" i="44" s="1"/>
  <c r="BF76" i="44" s="1"/>
  <c r="BF77" i="44" s="1"/>
  <c r="BF78" i="44" s="1"/>
  <c r="BF79" i="44" s="1"/>
  <c r="BF80" i="44" s="1"/>
  <c r="BF81" i="44" s="1"/>
  <c r="BF82" i="44" s="1"/>
  <c r="BF83" i="44" s="1"/>
  <c r="BF84" i="44" s="1"/>
  <c r="BE5" i="44"/>
  <c r="BE6" i="44" s="1"/>
  <c r="BE7" i="44" s="1"/>
  <c r="BE8" i="44" s="1"/>
  <c r="BE9" i="44" s="1"/>
  <c r="BE10" i="44" s="1"/>
  <c r="BE11" i="44" s="1"/>
  <c r="BE12" i="44" s="1"/>
  <c r="BE13" i="44" s="1"/>
  <c r="BE14" i="44" s="1"/>
  <c r="BE15" i="44" s="1"/>
  <c r="BE16" i="44" s="1"/>
  <c r="BE17" i="44" s="1"/>
  <c r="BE18" i="44" s="1"/>
  <c r="BE19" i="44" s="1"/>
  <c r="BE20" i="44" s="1"/>
  <c r="BE21" i="44" s="1"/>
  <c r="BE22" i="44" s="1"/>
  <c r="BE23" i="44" s="1"/>
  <c r="BE24" i="44" s="1"/>
  <c r="BE25" i="44" s="1"/>
  <c r="BE26" i="44" s="1"/>
  <c r="BE27" i="44" s="1"/>
  <c r="BE28" i="44" s="1"/>
  <c r="BE29" i="44" s="1"/>
  <c r="BE30" i="44" s="1"/>
  <c r="BE31" i="44" s="1"/>
  <c r="BE32" i="44" s="1"/>
  <c r="BE33" i="44" s="1"/>
  <c r="BE34" i="44" s="1"/>
  <c r="BE35" i="44" s="1"/>
  <c r="BE36" i="44" s="1"/>
  <c r="BE37" i="44" s="1"/>
  <c r="BE38" i="44" s="1"/>
  <c r="BE39" i="44" s="1"/>
  <c r="BE40" i="44" s="1"/>
  <c r="BE41" i="44" s="1"/>
  <c r="BE42" i="44" s="1"/>
  <c r="BE43" i="44" s="1"/>
  <c r="BE44" i="44" s="1"/>
  <c r="BE45" i="44" s="1"/>
  <c r="BE46" i="44" s="1"/>
  <c r="BE47" i="44" s="1"/>
  <c r="BE48" i="44" s="1"/>
  <c r="BE49" i="44" s="1"/>
  <c r="BE50" i="44" s="1"/>
  <c r="BE51" i="44" s="1"/>
  <c r="BE52" i="44" s="1"/>
  <c r="BE53" i="44" s="1"/>
  <c r="BE54" i="44" s="1"/>
  <c r="BE55" i="44" s="1"/>
  <c r="BE56" i="44" s="1"/>
  <c r="BE57" i="44" s="1"/>
  <c r="BE58" i="44" s="1"/>
  <c r="BE59" i="44" s="1"/>
  <c r="BE60" i="44" s="1"/>
  <c r="BE61" i="44" s="1"/>
  <c r="BE62" i="44" s="1"/>
  <c r="BE63" i="44" s="1"/>
  <c r="BE64" i="44" s="1"/>
  <c r="BE65" i="44" s="1"/>
  <c r="BE66" i="44" s="1"/>
  <c r="BE67" i="44" s="1"/>
  <c r="BE68" i="44" s="1"/>
  <c r="BE69" i="44" s="1"/>
  <c r="BE70" i="44" s="1"/>
  <c r="BE71" i="44" s="1"/>
  <c r="BE72" i="44" s="1"/>
  <c r="BE73" i="44" s="1"/>
  <c r="BE74" i="44" s="1"/>
  <c r="BE75" i="44" s="1"/>
  <c r="BE76" i="44" s="1"/>
  <c r="BE77" i="44" s="1"/>
  <c r="BE78" i="44" s="1"/>
  <c r="BE79" i="44" s="1"/>
  <c r="BE80" i="44" s="1"/>
  <c r="BE81" i="44" s="1"/>
  <c r="BE82" i="44" s="1"/>
  <c r="BE83" i="44" s="1"/>
  <c r="BE84" i="44" s="1"/>
  <c r="BD5" i="44"/>
  <c r="BD6" i="44" s="1"/>
  <c r="BD7" i="44" s="1"/>
  <c r="BD8" i="44" s="1"/>
  <c r="BD9" i="44" s="1"/>
  <c r="BD10" i="44" s="1"/>
  <c r="BD11" i="44" s="1"/>
  <c r="BD12" i="44" s="1"/>
  <c r="BD13" i="44" s="1"/>
  <c r="BD14" i="44" s="1"/>
  <c r="BD15" i="44" s="1"/>
  <c r="BD16" i="44" s="1"/>
  <c r="BD17" i="44" s="1"/>
  <c r="BD18" i="44" s="1"/>
  <c r="BD19" i="44" s="1"/>
  <c r="BD20" i="44" s="1"/>
  <c r="BD21" i="44" s="1"/>
  <c r="BD22" i="44" s="1"/>
  <c r="BD23" i="44" s="1"/>
  <c r="BD24" i="44" s="1"/>
  <c r="BD25" i="44" s="1"/>
  <c r="BD26" i="44" s="1"/>
  <c r="BD27" i="44" s="1"/>
  <c r="BD28" i="44" s="1"/>
  <c r="BD29" i="44" s="1"/>
  <c r="BD30" i="44" s="1"/>
  <c r="BD31" i="44" s="1"/>
  <c r="BD32" i="44" s="1"/>
  <c r="BD33" i="44" s="1"/>
  <c r="BD34" i="44" s="1"/>
  <c r="BD35" i="44" s="1"/>
  <c r="BD36" i="44" s="1"/>
  <c r="BD37" i="44" s="1"/>
  <c r="BD38" i="44" s="1"/>
  <c r="BD39" i="44" s="1"/>
  <c r="BD40" i="44" s="1"/>
  <c r="BD41" i="44" s="1"/>
  <c r="BD42" i="44" s="1"/>
  <c r="BD43" i="44" s="1"/>
  <c r="BD44" i="44" s="1"/>
  <c r="BD45" i="44" s="1"/>
  <c r="BD46" i="44" s="1"/>
  <c r="BD47" i="44" s="1"/>
  <c r="BD48" i="44" s="1"/>
  <c r="BD49" i="44" s="1"/>
  <c r="BD50" i="44" s="1"/>
  <c r="BD51" i="44" s="1"/>
  <c r="BD52" i="44" s="1"/>
  <c r="BD53" i="44" s="1"/>
  <c r="BD54" i="44" s="1"/>
  <c r="BD55" i="44" s="1"/>
  <c r="BD56" i="44" s="1"/>
  <c r="BD57" i="44" s="1"/>
  <c r="BD58" i="44" s="1"/>
  <c r="BD59" i="44" s="1"/>
  <c r="BD60" i="44" s="1"/>
  <c r="BD61" i="44" s="1"/>
  <c r="BD62" i="44" s="1"/>
  <c r="BD63" i="44" s="1"/>
  <c r="BD64" i="44" s="1"/>
  <c r="BD65" i="44" s="1"/>
  <c r="BD66" i="44" s="1"/>
  <c r="BD67" i="44" s="1"/>
  <c r="BD68" i="44" s="1"/>
  <c r="BD69" i="44" s="1"/>
  <c r="BD70" i="44" s="1"/>
  <c r="BD71" i="44" s="1"/>
  <c r="BD72" i="44" s="1"/>
  <c r="BD73" i="44" s="1"/>
  <c r="BD74" i="44" s="1"/>
  <c r="BD75" i="44" s="1"/>
  <c r="BD76" i="44" s="1"/>
  <c r="BD77" i="44" s="1"/>
  <c r="BD78" i="44" s="1"/>
  <c r="BD79" i="44" s="1"/>
  <c r="BD80" i="44" s="1"/>
  <c r="BD81" i="44" s="1"/>
  <c r="BD82" i="44" s="1"/>
  <c r="BD83" i="44" s="1"/>
  <c r="BD84" i="44" s="1"/>
  <c r="BC5" i="44"/>
  <c r="BC6" i="44" s="1"/>
  <c r="BC7" i="44" s="1"/>
  <c r="BC8" i="44" s="1"/>
  <c r="BC9" i="44" s="1"/>
  <c r="BC10" i="44" s="1"/>
  <c r="BC11" i="44" s="1"/>
  <c r="BC12" i="44" s="1"/>
  <c r="BC13" i="44" s="1"/>
  <c r="BC14" i="44" s="1"/>
  <c r="BC15" i="44" s="1"/>
  <c r="BC16" i="44" s="1"/>
  <c r="BC17" i="44" s="1"/>
  <c r="BC18" i="44" s="1"/>
  <c r="BC19" i="44" s="1"/>
  <c r="BC20" i="44" s="1"/>
  <c r="BC21" i="44" s="1"/>
  <c r="BC22" i="44" s="1"/>
  <c r="BC23" i="44" s="1"/>
  <c r="BC24" i="44" s="1"/>
  <c r="BC25" i="44" s="1"/>
  <c r="BC26" i="44" s="1"/>
  <c r="BC27" i="44" s="1"/>
  <c r="BC28" i="44" s="1"/>
  <c r="BC29" i="44" s="1"/>
  <c r="BC30" i="44" s="1"/>
  <c r="BC31" i="44" s="1"/>
  <c r="BC32" i="44" s="1"/>
  <c r="BC33" i="44" s="1"/>
  <c r="BC34" i="44" s="1"/>
  <c r="BC35" i="44" s="1"/>
  <c r="BC36" i="44" s="1"/>
  <c r="BC37" i="44" s="1"/>
  <c r="BC38" i="44" s="1"/>
  <c r="BC39" i="44" s="1"/>
  <c r="BC40" i="44" s="1"/>
  <c r="BC41" i="44" s="1"/>
  <c r="BC42" i="44" s="1"/>
  <c r="BC43" i="44" s="1"/>
  <c r="BC44" i="44" s="1"/>
  <c r="BC45" i="44" s="1"/>
  <c r="BC46" i="44" s="1"/>
  <c r="BC47" i="44" s="1"/>
  <c r="BC48" i="44" s="1"/>
  <c r="BC49" i="44" s="1"/>
  <c r="BC50" i="44" s="1"/>
  <c r="BC51" i="44" s="1"/>
  <c r="BC52" i="44" s="1"/>
  <c r="BC53" i="44" s="1"/>
  <c r="BC54" i="44" s="1"/>
  <c r="BC55" i="44" s="1"/>
  <c r="BC56" i="44" s="1"/>
  <c r="BC57" i="44" s="1"/>
  <c r="BC58" i="44" s="1"/>
  <c r="BC59" i="44" s="1"/>
  <c r="BC60" i="44" s="1"/>
  <c r="BC61" i="44" s="1"/>
  <c r="BC62" i="44" s="1"/>
  <c r="BC63" i="44" s="1"/>
  <c r="BC64" i="44" s="1"/>
  <c r="BC65" i="44" s="1"/>
  <c r="BC66" i="44" s="1"/>
  <c r="BC67" i="44" s="1"/>
  <c r="BC68" i="44" s="1"/>
  <c r="BC69" i="44" s="1"/>
  <c r="BC70" i="44" s="1"/>
  <c r="BC71" i="44" s="1"/>
  <c r="BC72" i="44" s="1"/>
  <c r="BC73" i="44" s="1"/>
  <c r="BC74" i="44" s="1"/>
  <c r="BC75" i="44" s="1"/>
  <c r="BC76" i="44" s="1"/>
  <c r="BC77" i="44" s="1"/>
  <c r="BC78" i="44" s="1"/>
  <c r="BC79" i="44" s="1"/>
  <c r="BC80" i="44" s="1"/>
  <c r="BC81" i="44" s="1"/>
  <c r="BC82" i="44" s="1"/>
  <c r="BC83" i="44" s="1"/>
  <c r="BC84" i="44" s="1"/>
  <c r="BB5" i="44"/>
  <c r="BB6" i="44" s="1"/>
  <c r="BB7" i="44" s="1"/>
  <c r="BB8" i="44" s="1"/>
  <c r="BB9" i="44" s="1"/>
  <c r="BB10" i="44" s="1"/>
  <c r="BB11" i="44" s="1"/>
  <c r="BB12" i="44" s="1"/>
  <c r="BB13" i="44" s="1"/>
  <c r="BB14" i="44" s="1"/>
  <c r="BB15" i="44" s="1"/>
  <c r="BB16" i="44" s="1"/>
  <c r="BB17" i="44" s="1"/>
  <c r="BB18" i="44" s="1"/>
  <c r="BB19" i="44" s="1"/>
  <c r="BB20" i="44" s="1"/>
  <c r="BB21" i="44" s="1"/>
  <c r="BB22" i="44" s="1"/>
  <c r="BB23" i="44" s="1"/>
  <c r="BB24" i="44" s="1"/>
  <c r="BB25" i="44" s="1"/>
  <c r="BB26" i="44" s="1"/>
  <c r="BB27" i="44" s="1"/>
  <c r="BB28" i="44" s="1"/>
  <c r="BB29" i="44" s="1"/>
  <c r="BB30" i="44" s="1"/>
  <c r="BB31" i="44" s="1"/>
  <c r="BB32" i="44" s="1"/>
  <c r="BB33" i="44" s="1"/>
  <c r="BB34" i="44" s="1"/>
  <c r="BB35" i="44" s="1"/>
  <c r="BB36" i="44" s="1"/>
  <c r="BB37" i="44" s="1"/>
  <c r="BB38" i="44" s="1"/>
  <c r="BB39" i="44" s="1"/>
  <c r="BB40" i="44" s="1"/>
  <c r="BB41" i="44" s="1"/>
  <c r="BB42" i="44" s="1"/>
  <c r="BB43" i="44" s="1"/>
  <c r="BB44" i="44" s="1"/>
  <c r="BB45" i="44" s="1"/>
  <c r="BB46" i="44" s="1"/>
  <c r="BB47" i="44" s="1"/>
  <c r="BB48" i="44" s="1"/>
  <c r="BB49" i="44" s="1"/>
  <c r="BB50" i="44" s="1"/>
  <c r="BB51" i="44" s="1"/>
  <c r="BB52" i="44" s="1"/>
  <c r="BB53" i="44" s="1"/>
  <c r="BB54" i="44" s="1"/>
  <c r="BB55" i="44" s="1"/>
  <c r="BB56" i="44" s="1"/>
  <c r="BB57" i="44" s="1"/>
  <c r="BB58" i="44" s="1"/>
  <c r="BB59" i="44" s="1"/>
  <c r="BB60" i="44" s="1"/>
  <c r="BB61" i="44" s="1"/>
  <c r="BB62" i="44" s="1"/>
  <c r="BB63" i="44" s="1"/>
  <c r="BB64" i="44" s="1"/>
  <c r="BB65" i="44" s="1"/>
  <c r="BB66" i="44" s="1"/>
  <c r="BB67" i="44" s="1"/>
  <c r="BB68" i="44" s="1"/>
  <c r="BB69" i="44" s="1"/>
  <c r="BB70" i="44" s="1"/>
  <c r="BB71" i="44" s="1"/>
  <c r="BB72" i="44" s="1"/>
  <c r="BB73" i="44" s="1"/>
  <c r="BB74" i="44" s="1"/>
  <c r="BB75" i="44" s="1"/>
  <c r="BB76" i="44" s="1"/>
  <c r="BB77" i="44" s="1"/>
  <c r="BB78" i="44" s="1"/>
  <c r="BB79" i="44" s="1"/>
  <c r="BB80" i="44" s="1"/>
  <c r="BB81" i="44" s="1"/>
  <c r="BB82" i="44" s="1"/>
  <c r="BB83" i="44" s="1"/>
  <c r="BB84" i="44" s="1"/>
  <c r="BA5" i="44"/>
  <c r="BA6" i="44" s="1"/>
  <c r="BA7" i="44" s="1"/>
  <c r="BA8" i="44" s="1"/>
  <c r="BA9" i="44" s="1"/>
  <c r="BA10" i="44" s="1"/>
  <c r="BA11" i="44" s="1"/>
  <c r="BA12" i="44" s="1"/>
  <c r="BA13" i="44" s="1"/>
  <c r="BA14" i="44" s="1"/>
  <c r="BA15" i="44" s="1"/>
  <c r="BA16" i="44" s="1"/>
  <c r="BA17" i="44" s="1"/>
  <c r="BA18" i="44" s="1"/>
  <c r="BA19" i="44" s="1"/>
  <c r="BA20" i="44" s="1"/>
  <c r="BA21" i="44" s="1"/>
  <c r="BA22" i="44" s="1"/>
  <c r="BA23" i="44" s="1"/>
  <c r="BA24" i="44" s="1"/>
  <c r="BA25" i="44" s="1"/>
  <c r="BA26" i="44" s="1"/>
  <c r="BA27" i="44" s="1"/>
  <c r="BA28" i="44" s="1"/>
  <c r="BA29" i="44" s="1"/>
  <c r="BA30" i="44" s="1"/>
  <c r="BA31" i="44" s="1"/>
  <c r="BA32" i="44" s="1"/>
  <c r="BA33" i="44" s="1"/>
  <c r="BA34" i="44" s="1"/>
  <c r="BA35" i="44" s="1"/>
  <c r="BA36" i="44" s="1"/>
  <c r="BA37" i="44" s="1"/>
  <c r="BA38" i="44" s="1"/>
  <c r="BA39" i="44" s="1"/>
  <c r="BA40" i="44" s="1"/>
  <c r="BA41" i="44" s="1"/>
  <c r="BA42" i="44" s="1"/>
  <c r="BA43" i="44" s="1"/>
  <c r="BA44" i="44" s="1"/>
  <c r="BA45" i="44" s="1"/>
  <c r="BA46" i="44" s="1"/>
  <c r="BA47" i="44" s="1"/>
  <c r="BA48" i="44" s="1"/>
  <c r="BA49" i="44" s="1"/>
  <c r="BA50" i="44" s="1"/>
  <c r="BA51" i="44" s="1"/>
  <c r="BA52" i="44" s="1"/>
  <c r="BA53" i="44" s="1"/>
  <c r="BA54" i="44" s="1"/>
  <c r="BA55" i="44" s="1"/>
  <c r="BA56" i="44" s="1"/>
  <c r="BA57" i="44" s="1"/>
  <c r="BA58" i="44" s="1"/>
  <c r="BA59" i="44" s="1"/>
  <c r="BA60" i="44" s="1"/>
  <c r="BA61" i="44" s="1"/>
  <c r="BA62" i="44" s="1"/>
  <c r="BA63" i="44" s="1"/>
  <c r="BA64" i="44" s="1"/>
  <c r="BA65" i="44" s="1"/>
  <c r="BA66" i="44" s="1"/>
  <c r="BA67" i="44" s="1"/>
  <c r="BA68" i="44" s="1"/>
  <c r="BA69" i="44" s="1"/>
  <c r="BA70" i="44" s="1"/>
  <c r="BA71" i="44" s="1"/>
  <c r="BA72" i="44" s="1"/>
  <c r="BA73" i="44" s="1"/>
  <c r="BA74" i="44" s="1"/>
  <c r="BA75" i="44" s="1"/>
  <c r="BA76" i="44" s="1"/>
  <c r="BA77" i="44" s="1"/>
  <c r="BA78" i="44" s="1"/>
  <c r="BA79" i="44" s="1"/>
  <c r="BA80" i="44" s="1"/>
  <c r="BA81" i="44" s="1"/>
  <c r="BA82" i="44" s="1"/>
  <c r="BA83" i="44" s="1"/>
  <c r="BA84" i="44" s="1"/>
  <c r="AZ5" i="44"/>
  <c r="AZ6" i="44" s="1"/>
  <c r="AZ7" i="44" s="1"/>
  <c r="AZ8" i="44" s="1"/>
  <c r="AZ9" i="44" s="1"/>
  <c r="AZ10" i="44" s="1"/>
  <c r="AZ11" i="44" s="1"/>
  <c r="AZ12" i="44" s="1"/>
  <c r="AZ13" i="44" s="1"/>
  <c r="AZ14" i="44" s="1"/>
  <c r="AZ15" i="44" s="1"/>
  <c r="AZ16" i="44" s="1"/>
  <c r="AZ17" i="44" s="1"/>
  <c r="AZ18" i="44" s="1"/>
  <c r="AZ19" i="44" s="1"/>
  <c r="AZ20" i="44" s="1"/>
  <c r="AZ21" i="44" s="1"/>
  <c r="AZ22" i="44" s="1"/>
  <c r="AZ23" i="44" s="1"/>
  <c r="AZ24" i="44" s="1"/>
  <c r="AZ25" i="44" s="1"/>
  <c r="AZ26" i="44" s="1"/>
  <c r="AZ27" i="44" s="1"/>
  <c r="AZ28" i="44" s="1"/>
  <c r="AZ29" i="44" s="1"/>
  <c r="AZ30" i="44" s="1"/>
  <c r="AZ31" i="44" s="1"/>
  <c r="AZ32" i="44" s="1"/>
  <c r="AZ33" i="44" s="1"/>
  <c r="AZ34" i="44" s="1"/>
  <c r="AZ35" i="44" s="1"/>
  <c r="AZ36" i="44" s="1"/>
  <c r="AZ37" i="44" s="1"/>
  <c r="AZ38" i="44" s="1"/>
  <c r="AZ39" i="44" s="1"/>
  <c r="AZ40" i="44" s="1"/>
  <c r="AZ41" i="44" s="1"/>
  <c r="AZ42" i="44" s="1"/>
  <c r="AZ43" i="44" s="1"/>
  <c r="AZ44" i="44" s="1"/>
  <c r="AZ45" i="44" s="1"/>
  <c r="AZ46" i="44" s="1"/>
  <c r="AZ47" i="44" s="1"/>
  <c r="AZ48" i="44" s="1"/>
  <c r="AZ49" i="44" s="1"/>
  <c r="AZ50" i="44" s="1"/>
  <c r="AZ51" i="44" s="1"/>
  <c r="AZ52" i="44" s="1"/>
  <c r="AZ53" i="44" s="1"/>
  <c r="AZ54" i="44" s="1"/>
  <c r="AZ55" i="44" s="1"/>
  <c r="AZ56" i="44" s="1"/>
  <c r="AZ57" i="44" s="1"/>
  <c r="AZ58" i="44" s="1"/>
  <c r="AZ59" i="44" s="1"/>
  <c r="AZ60" i="44" s="1"/>
  <c r="AZ61" i="44" s="1"/>
  <c r="AZ62" i="44" s="1"/>
  <c r="AZ63" i="44" s="1"/>
  <c r="AZ64" i="44" s="1"/>
  <c r="AZ65" i="44" s="1"/>
  <c r="AZ66" i="44" s="1"/>
  <c r="AZ67" i="44" s="1"/>
  <c r="AZ68" i="44" s="1"/>
  <c r="AZ69" i="44" s="1"/>
  <c r="AZ70" i="44" s="1"/>
  <c r="AZ71" i="44" s="1"/>
  <c r="AZ72" i="44" s="1"/>
  <c r="AZ73" i="44" s="1"/>
  <c r="AZ74" i="44" s="1"/>
  <c r="AZ75" i="44" s="1"/>
  <c r="AZ76" i="44" s="1"/>
  <c r="AZ77" i="44" s="1"/>
  <c r="AZ78" i="44" s="1"/>
  <c r="AZ79" i="44" s="1"/>
  <c r="AZ80" i="44" s="1"/>
  <c r="AZ81" i="44" s="1"/>
  <c r="AZ82" i="44" s="1"/>
  <c r="AZ83" i="44" s="1"/>
  <c r="AZ84" i="44" s="1"/>
  <c r="AY5" i="44"/>
  <c r="AY6" i="44" s="1"/>
  <c r="AY7" i="44" s="1"/>
  <c r="AY8" i="44" s="1"/>
  <c r="AY9" i="44" s="1"/>
  <c r="AY10" i="44" s="1"/>
  <c r="AY11" i="44" s="1"/>
  <c r="AY12" i="44" s="1"/>
  <c r="AY13" i="44" s="1"/>
  <c r="AY14" i="44" s="1"/>
  <c r="AY15" i="44" s="1"/>
  <c r="AY16" i="44" s="1"/>
  <c r="AY17" i="44" s="1"/>
  <c r="AY18" i="44" s="1"/>
  <c r="AY19" i="44" s="1"/>
  <c r="AY20" i="44" s="1"/>
  <c r="AY21" i="44" s="1"/>
  <c r="AY22" i="44" s="1"/>
  <c r="AY23" i="44" s="1"/>
  <c r="AY24" i="44" s="1"/>
  <c r="AY25" i="44" s="1"/>
  <c r="AY26" i="44" s="1"/>
  <c r="AY27" i="44" s="1"/>
  <c r="AY28" i="44" s="1"/>
  <c r="AY29" i="44" s="1"/>
  <c r="AY30" i="44" s="1"/>
  <c r="AY31" i="44" s="1"/>
  <c r="AY32" i="44" s="1"/>
  <c r="AY33" i="44" s="1"/>
  <c r="AY34" i="44" s="1"/>
  <c r="AY35" i="44" s="1"/>
  <c r="AY36" i="44" s="1"/>
  <c r="AY37" i="44" s="1"/>
  <c r="AY38" i="44" s="1"/>
  <c r="AY39" i="44" s="1"/>
  <c r="AY40" i="44" s="1"/>
  <c r="AY41" i="44" s="1"/>
  <c r="AY42" i="44" s="1"/>
  <c r="AY43" i="44" s="1"/>
  <c r="AY44" i="44" s="1"/>
  <c r="AY45" i="44" s="1"/>
  <c r="AY46" i="44" s="1"/>
  <c r="AY47" i="44" s="1"/>
  <c r="AY48" i="44" s="1"/>
  <c r="AY49" i="44" s="1"/>
  <c r="AY50" i="44" s="1"/>
  <c r="AY51" i="44" s="1"/>
  <c r="AY52" i="44" s="1"/>
  <c r="AY53" i="44" s="1"/>
  <c r="AY54" i="44" s="1"/>
  <c r="AY55" i="44" s="1"/>
  <c r="AY56" i="44" s="1"/>
  <c r="AY57" i="44" s="1"/>
  <c r="AY58" i="44" s="1"/>
  <c r="AY59" i="44" s="1"/>
  <c r="AY60" i="44" s="1"/>
  <c r="AY61" i="44" s="1"/>
  <c r="AY62" i="44" s="1"/>
  <c r="AY63" i="44" s="1"/>
  <c r="AY64" i="44" s="1"/>
  <c r="AY65" i="44" s="1"/>
  <c r="AY66" i="44" s="1"/>
  <c r="AY67" i="44" s="1"/>
  <c r="AY68" i="44" s="1"/>
  <c r="AY69" i="44" s="1"/>
  <c r="AY70" i="44" s="1"/>
  <c r="AY71" i="44" s="1"/>
  <c r="AY72" i="44" s="1"/>
  <c r="AY73" i="44" s="1"/>
  <c r="AY74" i="44" s="1"/>
  <c r="AY75" i="44" s="1"/>
  <c r="AY76" i="44" s="1"/>
  <c r="AY77" i="44" s="1"/>
  <c r="AY78" i="44" s="1"/>
  <c r="AY79" i="44" s="1"/>
  <c r="AY80" i="44" s="1"/>
  <c r="AY81" i="44" s="1"/>
  <c r="AY82" i="44" s="1"/>
  <c r="AY83" i="44" s="1"/>
  <c r="AY84" i="44" s="1"/>
  <c r="AX5" i="44"/>
  <c r="AX6" i="44" s="1"/>
  <c r="AX7" i="44" s="1"/>
  <c r="AX8" i="44" s="1"/>
  <c r="AX9" i="44" s="1"/>
  <c r="AX10" i="44" s="1"/>
  <c r="AX11" i="44" s="1"/>
  <c r="AX12" i="44" s="1"/>
  <c r="AX13" i="44" s="1"/>
  <c r="AX14" i="44" s="1"/>
  <c r="AX15" i="44" s="1"/>
  <c r="AX16" i="44" s="1"/>
  <c r="AX17" i="44" s="1"/>
  <c r="AX18" i="44" s="1"/>
  <c r="AX19" i="44" s="1"/>
  <c r="AX20" i="44" s="1"/>
  <c r="AX21" i="44" s="1"/>
  <c r="AX22" i="44" s="1"/>
  <c r="AX23" i="44" s="1"/>
  <c r="AX24" i="44" s="1"/>
  <c r="AX25" i="44" s="1"/>
  <c r="AX26" i="44" s="1"/>
  <c r="AX27" i="44" s="1"/>
  <c r="AX28" i="44" s="1"/>
  <c r="AX29" i="44" s="1"/>
  <c r="AX30" i="44" s="1"/>
  <c r="AX31" i="44" s="1"/>
  <c r="AX32" i="44" s="1"/>
  <c r="AX33" i="44" s="1"/>
  <c r="AX34" i="44" s="1"/>
  <c r="AX35" i="44" s="1"/>
  <c r="AX36" i="44" s="1"/>
  <c r="AX37" i="44" s="1"/>
  <c r="AX38" i="44" s="1"/>
  <c r="AX39" i="44" s="1"/>
  <c r="AX40" i="44" s="1"/>
  <c r="AX41" i="44" s="1"/>
  <c r="AX42" i="44" s="1"/>
  <c r="AX43" i="44" s="1"/>
  <c r="AX44" i="44" s="1"/>
  <c r="AX45" i="44" s="1"/>
  <c r="AX46" i="44" s="1"/>
  <c r="AX47" i="44" s="1"/>
  <c r="AX48" i="44" s="1"/>
  <c r="AX49" i="44" s="1"/>
  <c r="AX50" i="44" s="1"/>
  <c r="AX51" i="44" s="1"/>
  <c r="AX52" i="44" s="1"/>
  <c r="AX53" i="44" s="1"/>
  <c r="AX54" i="44" s="1"/>
  <c r="AX55" i="44" s="1"/>
  <c r="AX56" i="44" s="1"/>
  <c r="AX57" i="44" s="1"/>
  <c r="AX58" i="44" s="1"/>
  <c r="AX59" i="44" s="1"/>
  <c r="AX60" i="44" s="1"/>
  <c r="AX61" i="44" s="1"/>
  <c r="AX62" i="44" s="1"/>
  <c r="AX63" i="44" s="1"/>
  <c r="AX64" i="44" s="1"/>
  <c r="AX65" i="44" s="1"/>
  <c r="AX66" i="44" s="1"/>
  <c r="AX67" i="44" s="1"/>
  <c r="AX68" i="44" s="1"/>
  <c r="AX69" i="44" s="1"/>
  <c r="AX70" i="44" s="1"/>
  <c r="AX71" i="44" s="1"/>
  <c r="AX72" i="44" s="1"/>
  <c r="AX73" i="44" s="1"/>
  <c r="AX74" i="44" s="1"/>
  <c r="AX75" i="44" s="1"/>
  <c r="AX76" i="44" s="1"/>
  <c r="AX77" i="44" s="1"/>
  <c r="AX78" i="44" s="1"/>
  <c r="AX79" i="44" s="1"/>
  <c r="AX80" i="44" s="1"/>
  <c r="AX81" i="44" s="1"/>
  <c r="AX82" i="44" s="1"/>
  <c r="AX83" i="44" s="1"/>
  <c r="AX84" i="44" s="1"/>
  <c r="AW5" i="44"/>
  <c r="AW6" i="44" s="1"/>
  <c r="AW7" i="44" s="1"/>
  <c r="AW8" i="44" s="1"/>
  <c r="AW9" i="44" s="1"/>
  <c r="AW10" i="44" s="1"/>
  <c r="AW11" i="44" s="1"/>
  <c r="AW12" i="44" s="1"/>
  <c r="AW13" i="44" s="1"/>
  <c r="AW14" i="44" s="1"/>
  <c r="AW15" i="44" s="1"/>
  <c r="AW16" i="44" s="1"/>
  <c r="AW17" i="44" s="1"/>
  <c r="AW18" i="44" s="1"/>
  <c r="AW19" i="44" s="1"/>
  <c r="AW20" i="44" s="1"/>
  <c r="AW21" i="44" s="1"/>
  <c r="AW22" i="44" s="1"/>
  <c r="AW23" i="44" s="1"/>
  <c r="AW24" i="44" s="1"/>
  <c r="AW25" i="44" s="1"/>
  <c r="AW26" i="44" s="1"/>
  <c r="AW27" i="44" s="1"/>
  <c r="AW28" i="44" s="1"/>
  <c r="AW29" i="44" s="1"/>
  <c r="AW30" i="44" s="1"/>
  <c r="AW31" i="44" s="1"/>
  <c r="AW32" i="44" s="1"/>
  <c r="AW33" i="44" s="1"/>
  <c r="AW34" i="44" s="1"/>
  <c r="AW35" i="44" s="1"/>
  <c r="AW36" i="44" s="1"/>
  <c r="AW37" i="44" s="1"/>
  <c r="AW38" i="44" s="1"/>
  <c r="AW39" i="44" s="1"/>
  <c r="AW40" i="44" s="1"/>
  <c r="AW41" i="44" s="1"/>
  <c r="AW42" i="44" s="1"/>
  <c r="AW43" i="44" s="1"/>
  <c r="AW44" i="44" s="1"/>
  <c r="AW45" i="44" s="1"/>
  <c r="AW46" i="44" s="1"/>
  <c r="AW47" i="44" s="1"/>
  <c r="AW48" i="44" s="1"/>
  <c r="AW49" i="44" s="1"/>
  <c r="AW50" i="44" s="1"/>
  <c r="AW51" i="44" s="1"/>
  <c r="AW52" i="44" s="1"/>
  <c r="AW53" i="44" s="1"/>
  <c r="AW54" i="44" s="1"/>
  <c r="AW55" i="44" s="1"/>
  <c r="AW56" i="44" s="1"/>
  <c r="AW57" i="44" s="1"/>
  <c r="AW58" i="44" s="1"/>
  <c r="AW59" i="44" s="1"/>
  <c r="AW60" i="44" s="1"/>
  <c r="AW61" i="44" s="1"/>
  <c r="AW62" i="44" s="1"/>
  <c r="AW63" i="44" s="1"/>
  <c r="AW64" i="44" s="1"/>
  <c r="AW65" i="44" s="1"/>
  <c r="AW66" i="44" s="1"/>
  <c r="AW67" i="44" s="1"/>
  <c r="AW68" i="44" s="1"/>
  <c r="AW69" i="44" s="1"/>
  <c r="AW70" i="44" s="1"/>
  <c r="AW71" i="44" s="1"/>
  <c r="AW72" i="44" s="1"/>
  <c r="AW73" i="44" s="1"/>
  <c r="AW74" i="44" s="1"/>
  <c r="AW75" i="44" s="1"/>
  <c r="AW76" i="44" s="1"/>
  <c r="AW77" i="44" s="1"/>
  <c r="AW78" i="44" s="1"/>
  <c r="AW79" i="44" s="1"/>
  <c r="AW80" i="44" s="1"/>
  <c r="AW81" i="44" s="1"/>
  <c r="AW82" i="44" s="1"/>
  <c r="AW83" i="44" s="1"/>
  <c r="AW84" i="44" s="1"/>
  <c r="AV5" i="44"/>
  <c r="AV6" i="44" s="1"/>
  <c r="AV7" i="44" s="1"/>
  <c r="AV8" i="44" s="1"/>
  <c r="AV9" i="44" s="1"/>
  <c r="AV10" i="44" s="1"/>
  <c r="AV11" i="44" s="1"/>
  <c r="AV12" i="44" s="1"/>
  <c r="AV13" i="44" s="1"/>
  <c r="AV14" i="44" s="1"/>
  <c r="AV15" i="44" s="1"/>
  <c r="AV16" i="44" s="1"/>
  <c r="AV17" i="44" s="1"/>
  <c r="AV18" i="44" s="1"/>
  <c r="AV19" i="44" s="1"/>
  <c r="AV20" i="44" s="1"/>
  <c r="AV21" i="44" s="1"/>
  <c r="AV22" i="44" s="1"/>
  <c r="AV23" i="44" s="1"/>
  <c r="AV24" i="44" s="1"/>
  <c r="AV25" i="44" s="1"/>
  <c r="AV26" i="44" s="1"/>
  <c r="AV27" i="44" s="1"/>
  <c r="AV28" i="44" s="1"/>
  <c r="AV29" i="44" s="1"/>
  <c r="AV30" i="44" s="1"/>
  <c r="AV31" i="44" s="1"/>
  <c r="AV32" i="44" s="1"/>
  <c r="AV33" i="44" s="1"/>
  <c r="AV34" i="44" s="1"/>
  <c r="AV35" i="44" s="1"/>
  <c r="AV36" i="44" s="1"/>
  <c r="AV37" i="44" s="1"/>
  <c r="AV38" i="44" s="1"/>
  <c r="AV39" i="44" s="1"/>
  <c r="AV40" i="44" s="1"/>
  <c r="AV41" i="44" s="1"/>
  <c r="AV42" i="44" s="1"/>
  <c r="AV43" i="44" s="1"/>
  <c r="AV44" i="44" s="1"/>
  <c r="AV45" i="44" s="1"/>
  <c r="AV46" i="44" s="1"/>
  <c r="AV47" i="44" s="1"/>
  <c r="AV48" i="44" s="1"/>
  <c r="AV49" i="44" s="1"/>
  <c r="AV50" i="44" s="1"/>
  <c r="AV51" i="44" s="1"/>
  <c r="AV52" i="44" s="1"/>
  <c r="AV53" i="44" s="1"/>
  <c r="AV54" i="44" s="1"/>
  <c r="AV55" i="44" s="1"/>
  <c r="AV56" i="44" s="1"/>
  <c r="AV57" i="44" s="1"/>
  <c r="AV58" i="44" s="1"/>
  <c r="AV59" i="44" s="1"/>
  <c r="AV60" i="44" s="1"/>
  <c r="AV61" i="44" s="1"/>
  <c r="AV62" i="44" s="1"/>
  <c r="AV63" i="44" s="1"/>
  <c r="AV64" i="44" s="1"/>
  <c r="AV65" i="44" s="1"/>
  <c r="AV66" i="44" s="1"/>
  <c r="AV67" i="44" s="1"/>
  <c r="AV68" i="44" s="1"/>
  <c r="AV69" i="44" s="1"/>
  <c r="AV70" i="44" s="1"/>
  <c r="AV71" i="44" s="1"/>
  <c r="AV72" i="44" s="1"/>
  <c r="AV73" i="44" s="1"/>
  <c r="AV74" i="44" s="1"/>
  <c r="AV75" i="44" s="1"/>
  <c r="AV76" i="44" s="1"/>
  <c r="AV77" i="44" s="1"/>
  <c r="AV78" i="44" s="1"/>
  <c r="AV79" i="44" s="1"/>
  <c r="AV80" i="44" s="1"/>
  <c r="AV81" i="44" s="1"/>
  <c r="AV82" i="44" s="1"/>
  <c r="AV83" i="44" s="1"/>
  <c r="AV84" i="44" s="1"/>
  <c r="AU5" i="44"/>
  <c r="AU6" i="44" s="1"/>
  <c r="AU7" i="44" s="1"/>
  <c r="AU8" i="44" s="1"/>
  <c r="AU9" i="44" s="1"/>
  <c r="AU10" i="44" s="1"/>
  <c r="AU11" i="44" s="1"/>
  <c r="AU12" i="44" s="1"/>
  <c r="AU13" i="44" s="1"/>
  <c r="AU14" i="44" s="1"/>
  <c r="AU15" i="44" s="1"/>
  <c r="AU16" i="44" s="1"/>
  <c r="AU17" i="44" s="1"/>
  <c r="AU18" i="44" s="1"/>
  <c r="AU19" i="44" s="1"/>
  <c r="AU20" i="44" s="1"/>
  <c r="AU21" i="44" s="1"/>
  <c r="AU22" i="44" s="1"/>
  <c r="AU23" i="44" s="1"/>
  <c r="AU24" i="44" s="1"/>
  <c r="AU25" i="44" s="1"/>
  <c r="AU26" i="44" s="1"/>
  <c r="AU27" i="44" s="1"/>
  <c r="AU28" i="44" s="1"/>
  <c r="AU29" i="44" s="1"/>
  <c r="AU30" i="44" s="1"/>
  <c r="AU31" i="44" s="1"/>
  <c r="AU32" i="44" s="1"/>
  <c r="AU33" i="44" s="1"/>
  <c r="AU34" i="44" s="1"/>
  <c r="AU35" i="44" s="1"/>
  <c r="AU36" i="44" s="1"/>
  <c r="AU37" i="44" s="1"/>
  <c r="AU38" i="44" s="1"/>
  <c r="AU39" i="44" s="1"/>
  <c r="AU40" i="44" s="1"/>
  <c r="AU41" i="44" s="1"/>
  <c r="AU42" i="44" s="1"/>
  <c r="AU43" i="44" s="1"/>
  <c r="AU44" i="44" s="1"/>
  <c r="AU45" i="44" s="1"/>
  <c r="AU46" i="44" s="1"/>
  <c r="AU47" i="44" s="1"/>
  <c r="AU48" i="44" s="1"/>
  <c r="AU49" i="44" s="1"/>
  <c r="AU50" i="44" s="1"/>
  <c r="AU51" i="44" s="1"/>
  <c r="AU52" i="44" s="1"/>
  <c r="AU53" i="44" s="1"/>
  <c r="AU54" i="44" s="1"/>
  <c r="AU55" i="44" s="1"/>
  <c r="AU56" i="44" s="1"/>
  <c r="AU57" i="44" s="1"/>
  <c r="AU58" i="44" s="1"/>
  <c r="AU59" i="44" s="1"/>
  <c r="AU60" i="44" s="1"/>
  <c r="AU61" i="44" s="1"/>
  <c r="AU62" i="44" s="1"/>
  <c r="AU63" i="44" s="1"/>
  <c r="AU64" i="44" s="1"/>
  <c r="AU65" i="44" s="1"/>
  <c r="AU66" i="44" s="1"/>
  <c r="AU67" i="44" s="1"/>
  <c r="AU68" i="44" s="1"/>
  <c r="AU69" i="44" s="1"/>
  <c r="AU70" i="44" s="1"/>
  <c r="AU71" i="44" s="1"/>
  <c r="AU72" i="44" s="1"/>
  <c r="AU73" i="44" s="1"/>
  <c r="AU74" i="44" s="1"/>
  <c r="AU75" i="44" s="1"/>
  <c r="AU76" i="44" s="1"/>
  <c r="AU77" i="44" s="1"/>
  <c r="AU78" i="44" s="1"/>
  <c r="AU79" i="44" s="1"/>
  <c r="AU80" i="44" s="1"/>
  <c r="AU81" i="44" s="1"/>
  <c r="AU82" i="44" s="1"/>
  <c r="AU83" i="44" s="1"/>
  <c r="AU84" i="44" s="1"/>
  <c r="AT5" i="44"/>
  <c r="AT6" i="44" s="1"/>
  <c r="AT7" i="44" s="1"/>
  <c r="AT8" i="44" s="1"/>
  <c r="AT9" i="44" s="1"/>
  <c r="AT10" i="44" s="1"/>
  <c r="AT11" i="44" s="1"/>
  <c r="AT12" i="44" s="1"/>
  <c r="AT13" i="44" s="1"/>
  <c r="AT14" i="44" s="1"/>
  <c r="AT15" i="44" s="1"/>
  <c r="AT16" i="44" s="1"/>
  <c r="AT17" i="44" s="1"/>
  <c r="AT18" i="44" s="1"/>
  <c r="AT19" i="44" s="1"/>
  <c r="AT20" i="44" s="1"/>
  <c r="AT21" i="44" s="1"/>
  <c r="AT22" i="44" s="1"/>
  <c r="AT23" i="44" s="1"/>
  <c r="AT24" i="44" s="1"/>
  <c r="AT25" i="44" s="1"/>
  <c r="AT26" i="44" s="1"/>
  <c r="AT27" i="44" s="1"/>
  <c r="AT28" i="44" s="1"/>
  <c r="AT29" i="44" s="1"/>
  <c r="AT30" i="44" s="1"/>
  <c r="AT31" i="44" s="1"/>
  <c r="AT32" i="44" s="1"/>
  <c r="AT33" i="44" s="1"/>
  <c r="AT34" i="44" s="1"/>
  <c r="AT35" i="44" s="1"/>
  <c r="AT36" i="44" s="1"/>
  <c r="AT37" i="44" s="1"/>
  <c r="AT38" i="44" s="1"/>
  <c r="AT39" i="44" s="1"/>
  <c r="AT40" i="44" s="1"/>
  <c r="AT41" i="44" s="1"/>
  <c r="AT42" i="44" s="1"/>
  <c r="AT43" i="44" s="1"/>
  <c r="AT44" i="44" s="1"/>
  <c r="AT45" i="44" s="1"/>
  <c r="AT46" i="44" s="1"/>
  <c r="AT47" i="44" s="1"/>
  <c r="AT48" i="44" s="1"/>
  <c r="AT49" i="44" s="1"/>
  <c r="AT50" i="44" s="1"/>
  <c r="AT51" i="44" s="1"/>
  <c r="AT52" i="44" s="1"/>
  <c r="AT53" i="44" s="1"/>
  <c r="AT54" i="44" s="1"/>
  <c r="AT55" i="44" s="1"/>
  <c r="AT56" i="44" s="1"/>
  <c r="AT57" i="44" s="1"/>
  <c r="AT58" i="44" s="1"/>
  <c r="AT59" i="44" s="1"/>
  <c r="AT60" i="44" s="1"/>
  <c r="AT61" i="44" s="1"/>
  <c r="AT62" i="44" s="1"/>
  <c r="AT63" i="44" s="1"/>
  <c r="AT64" i="44" s="1"/>
  <c r="AT65" i="44" s="1"/>
  <c r="AT66" i="44" s="1"/>
  <c r="AT67" i="44" s="1"/>
  <c r="AT68" i="44" s="1"/>
  <c r="AT69" i="44" s="1"/>
  <c r="AT70" i="44" s="1"/>
  <c r="AT71" i="44" s="1"/>
  <c r="AT72" i="44" s="1"/>
  <c r="AT73" i="44" s="1"/>
  <c r="AT74" i="44" s="1"/>
  <c r="AT75" i="44" s="1"/>
  <c r="AT76" i="44" s="1"/>
  <c r="AT77" i="44" s="1"/>
  <c r="AT78" i="44" s="1"/>
  <c r="AT79" i="44" s="1"/>
  <c r="AT80" i="44" s="1"/>
  <c r="AT81" i="44" s="1"/>
  <c r="AT82" i="44" s="1"/>
  <c r="AT83" i="44" s="1"/>
  <c r="AT84" i="44" s="1"/>
  <c r="AS5" i="44"/>
  <c r="AS6" i="44" s="1"/>
  <c r="AS7" i="44" s="1"/>
  <c r="AS8" i="44" s="1"/>
  <c r="AS9" i="44" s="1"/>
  <c r="AS10" i="44" s="1"/>
  <c r="AS11" i="44" s="1"/>
  <c r="AS12" i="44" s="1"/>
  <c r="AS13" i="44" s="1"/>
  <c r="AS14" i="44" s="1"/>
  <c r="AS15" i="44" s="1"/>
  <c r="AS16" i="44" s="1"/>
  <c r="AS17" i="44" s="1"/>
  <c r="AS18" i="44" s="1"/>
  <c r="AS19" i="44" s="1"/>
  <c r="AS20" i="44" s="1"/>
  <c r="AS21" i="44" s="1"/>
  <c r="AS22" i="44" s="1"/>
  <c r="AS23" i="44" s="1"/>
  <c r="AS24" i="44" s="1"/>
  <c r="AS25" i="44" s="1"/>
  <c r="AS26" i="44" s="1"/>
  <c r="AS27" i="44" s="1"/>
  <c r="AS28" i="44" s="1"/>
  <c r="AS29" i="44" s="1"/>
  <c r="AS30" i="44" s="1"/>
  <c r="AS31" i="44" s="1"/>
  <c r="AS32" i="44" s="1"/>
  <c r="AS33" i="44" s="1"/>
  <c r="AS34" i="44" s="1"/>
  <c r="AS35" i="44" s="1"/>
  <c r="AS36" i="44" s="1"/>
  <c r="AS37" i="44" s="1"/>
  <c r="AS38" i="44" s="1"/>
  <c r="AS39" i="44" s="1"/>
  <c r="AS40" i="44" s="1"/>
  <c r="AS41" i="44" s="1"/>
  <c r="AS42" i="44" s="1"/>
  <c r="AS43" i="44" s="1"/>
  <c r="AS44" i="44" s="1"/>
  <c r="AS45" i="44" s="1"/>
  <c r="AS46" i="44" s="1"/>
  <c r="AS47" i="44" s="1"/>
  <c r="AS48" i="44" s="1"/>
  <c r="AS49" i="44" s="1"/>
  <c r="AS50" i="44" s="1"/>
  <c r="AS51" i="44" s="1"/>
  <c r="AS52" i="44" s="1"/>
  <c r="AS53" i="44" s="1"/>
  <c r="AS54" i="44" s="1"/>
  <c r="AS55" i="44" s="1"/>
  <c r="AS56" i="44" s="1"/>
  <c r="AS57" i="44" s="1"/>
  <c r="AS58" i="44" s="1"/>
  <c r="AS59" i="44" s="1"/>
  <c r="AS60" i="44" s="1"/>
  <c r="AS61" i="44" s="1"/>
  <c r="AS62" i="44" s="1"/>
  <c r="AS63" i="44" s="1"/>
  <c r="AS64" i="44" s="1"/>
  <c r="AS65" i="44" s="1"/>
  <c r="AS66" i="44" s="1"/>
  <c r="AS67" i="44" s="1"/>
  <c r="AS68" i="44" s="1"/>
  <c r="AS69" i="44" s="1"/>
  <c r="AS70" i="44" s="1"/>
  <c r="AS71" i="44" s="1"/>
  <c r="AS72" i="44" s="1"/>
  <c r="AS73" i="44" s="1"/>
  <c r="AS74" i="44" s="1"/>
  <c r="AS75" i="44" s="1"/>
  <c r="AS76" i="44" s="1"/>
  <c r="AS77" i="44" s="1"/>
  <c r="AS78" i="44" s="1"/>
  <c r="AS79" i="44" s="1"/>
  <c r="AS80" i="44" s="1"/>
  <c r="AS81" i="44" s="1"/>
  <c r="AS82" i="44" s="1"/>
  <c r="AS83" i="44" s="1"/>
  <c r="AS84" i="44" s="1"/>
  <c r="AR5" i="44"/>
  <c r="AR6" i="44" s="1"/>
  <c r="AR7" i="44" s="1"/>
  <c r="AR8" i="44" s="1"/>
  <c r="AR9" i="44" s="1"/>
  <c r="AR10" i="44" s="1"/>
  <c r="AR11" i="44" s="1"/>
  <c r="AR12" i="44" s="1"/>
  <c r="AR13" i="44" s="1"/>
  <c r="AR14" i="44" s="1"/>
  <c r="AR15" i="44" s="1"/>
  <c r="AR16" i="44" s="1"/>
  <c r="AR17" i="44" s="1"/>
  <c r="AR18" i="44" s="1"/>
  <c r="AR19" i="44" s="1"/>
  <c r="AR20" i="44" s="1"/>
  <c r="AR21" i="44" s="1"/>
  <c r="AR22" i="44" s="1"/>
  <c r="AR23" i="44" s="1"/>
  <c r="AR24" i="44" s="1"/>
  <c r="AR25" i="44" s="1"/>
  <c r="AR26" i="44" s="1"/>
  <c r="AR27" i="44" s="1"/>
  <c r="AR28" i="44" s="1"/>
  <c r="AR29" i="44" s="1"/>
  <c r="AR30" i="44" s="1"/>
  <c r="AR31" i="44" s="1"/>
  <c r="AR32" i="44" s="1"/>
  <c r="AR33" i="44" s="1"/>
  <c r="AR34" i="44" s="1"/>
  <c r="AR35" i="44" s="1"/>
  <c r="AR36" i="44" s="1"/>
  <c r="AR37" i="44" s="1"/>
  <c r="AR38" i="44" s="1"/>
  <c r="AR39" i="44" s="1"/>
  <c r="AR40" i="44" s="1"/>
  <c r="AR41" i="44" s="1"/>
  <c r="AR42" i="44" s="1"/>
  <c r="AR43" i="44" s="1"/>
  <c r="AR44" i="44" s="1"/>
  <c r="AR45" i="44" s="1"/>
  <c r="AR46" i="44" s="1"/>
  <c r="AR47" i="44" s="1"/>
  <c r="AR48" i="44" s="1"/>
  <c r="AR49" i="44" s="1"/>
  <c r="AR50" i="44" s="1"/>
  <c r="AR51" i="44" s="1"/>
  <c r="AR52" i="44" s="1"/>
  <c r="AR53" i="44" s="1"/>
  <c r="AR54" i="44" s="1"/>
  <c r="AR55" i="44" s="1"/>
  <c r="AR56" i="44" s="1"/>
  <c r="AR57" i="44" s="1"/>
  <c r="AR58" i="44" s="1"/>
  <c r="AR59" i="44" s="1"/>
  <c r="AR60" i="44" s="1"/>
  <c r="AR61" i="44" s="1"/>
  <c r="AR62" i="44" s="1"/>
  <c r="AR63" i="44" s="1"/>
  <c r="AR64" i="44" s="1"/>
  <c r="AR65" i="44" s="1"/>
  <c r="AR66" i="44" s="1"/>
  <c r="AR67" i="44" s="1"/>
  <c r="AR68" i="44" s="1"/>
  <c r="AR69" i="44" s="1"/>
  <c r="AR70" i="44" s="1"/>
  <c r="AR71" i="44" s="1"/>
  <c r="AR72" i="44" s="1"/>
  <c r="AR73" i="44" s="1"/>
  <c r="AR74" i="44" s="1"/>
  <c r="AR75" i="44" s="1"/>
  <c r="AR76" i="44" s="1"/>
  <c r="AR77" i="44" s="1"/>
  <c r="AR78" i="44" s="1"/>
  <c r="AR79" i="44" s="1"/>
  <c r="AR80" i="44" s="1"/>
  <c r="AR81" i="44" s="1"/>
  <c r="AR82" i="44" s="1"/>
  <c r="AR83" i="44" s="1"/>
  <c r="AR84" i="44" s="1"/>
  <c r="AQ5" i="44"/>
  <c r="AQ6" i="44" s="1"/>
  <c r="AQ7" i="44" s="1"/>
  <c r="AQ8" i="44" s="1"/>
  <c r="AQ9" i="44" s="1"/>
  <c r="AQ10" i="44" s="1"/>
  <c r="AQ11" i="44" s="1"/>
  <c r="AQ12" i="44" s="1"/>
  <c r="AQ13" i="44" s="1"/>
  <c r="AQ14" i="44" s="1"/>
  <c r="AQ15" i="44" s="1"/>
  <c r="AQ16" i="44" s="1"/>
  <c r="AQ17" i="44" s="1"/>
  <c r="AQ18" i="44" s="1"/>
  <c r="AQ19" i="44" s="1"/>
  <c r="AQ20" i="44" s="1"/>
  <c r="AQ21" i="44" s="1"/>
  <c r="AQ22" i="44" s="1"/>
  <c r="AQ23" i="44" s="1"/>
  <c r="AQ24" i="44" s="1"/>
  <c r="AQ25" i="44" s="1"/>
  <c r="AQ26" i="44" s="1"/>
  <c r="AQ27" i="44" s="1"/>
  <c r="AQ28" i="44" s="1"/>
  <c r="AQ29" i="44" s="1"/>
  <c r="AQ30" i="44" s="1"/>
  <c r="AQ31" i="44" s="1"/>
  <c r="AQ32" i="44" s="1"/>
  <c r="AQ33" i="44" s="1"/>
  <c r="AQ34" i="44" s="1"/>
  <c r="AQ35" i="44" s="1"/>
  <c r="AQ36" i="44" s="1"/>
  <c r="AQ37" i="44" s="1"/>
  <c r="AQ38" i="44" s="1"/>
  <c r="AQ39" i="44" s="1"/>
  <c r="AQ40" i="44" s="1"/>
  <c r="AQ41" i="44" s="1"/>
  <c r="AQ42" i="44" s="1"/>
  <c r="AQ43" i="44" s="1"/>
  <c r="AQ44" i="44" s="1"/>
  <c r="AQ45" i="44" s="1"/>
  <c r="AQ46" i="44" s="1"/>
  <c r="AQ47" i="44" s="1"/>
  <c r="AQ48" i="44" s="1"/>
  <c r="AQ49" i="44" s="1"/>
  <c r="AQ50" i="44" s="1"/>
  <c r="AQ51" i="44" s="1"/>
  <c r="AQ52" i="44" s="1"/>
  <c r="AQ53" i="44" s="1"/>
  <c r="AQ54" i="44" s="1"/>
  <c r="AQ55" i="44" s="1"/>
  <c r="AQ56" i="44" s="1"/>
  <c r="AQ57" i="44" s="1"/>
  <c r="AQ58" i="44" s="1"/>
  <c r="AQ59" i="44" s="1"/>
  <c r="AQ60" i="44" s="1"/>
  <c r="AQ61" i="44" s="1"/>
  <c r="AQ62" i="44" s="1"/>
  <c r="AQ63" i="44" s="1"/>
  <c r="AQ64" i="44" s="1"/>
  <c r="AQ65" i="44" s="1"/>
  <c r="AQ66" i="44" s="1"/>
  <c r="AQ67" i="44" s="1"/>
  <c r="AQ68" i="44" s="1"/>
  <c r="AQ69" i="44" s="1"/>
  <c r="AQ70" i="44" s="1"/>
  <c r="AQ71" i="44" s="1"/>
  <c r="AQ72" i="44" s="1"/>
  <c r="AQ73" i="44" s="1"/>
  <c r="AQ74" i="44" s="1"/>
  <c r="AQ75" i="44" s="1"/>
  <c r="AQ76" i="44" s="1"/>
  <c r="AQ77" i="44" s="1"/>
  <c r="AQ78" i="44" s="1"/>
  <c r="AQ79" i="44" s="1"/>
  <c r="AQ80" i="44" s="1"/>
  <c r="AQ81" i="44" s="1"/>
  <c r="AQ82" i="44" s="1"/>
  <c r="AQ83" i="44" s="1"/>
  <c r="AQ84" i="44" s="1"/>
  <c r="AP5" i="44"/>
  <c r="AP6" i="44" s="1"/>
  <c r="AP7" i="44" s="1"/>
  <c r="AP8" i="44" s="1"/>
  <c r="AP9" i="44" s="1"/>
  <c r="AP10" i="44" s="1"/>
  <c r="AP11" i="44" s="1"/>
  <c r="AP12" i="44" s="1"/>
  <c r="AP13" i="44" s="1"/>
  <c r="AP14" i="44" s="1"/>
  <c r="AP15" i="44" s="1"/>
  <c r="AP16" i="44" s="1"/>
  <c r="AP17" i="44" s="1"/>
  <c r="AP18" i="44" s="1"/>
  <c r="AP19" i="44" s="1"/>
  <c r="AP20" i="44" s="1"/>
  <c r="AP21" i="44" s="1"/>
  <c r="AP22" i="44" s="1"/>
  <c r="AP23" i="44" s="1"/>
  <c r="AP24" i="44" s="1"/>
  <c r="AP25" i="44" s="1"/>
  <c r="AP26" i="44" s="1"/>
  <c r="AP27" i="44" s="1"/>
  <c r="AP28" i="44" s="1"/>
  <c r="AP29" i="44" s="1"/>
  <c r="AP30" i="44" s="1"/>
  <c r="AP31" i="44" s="1"/>
  <c r="AP32" i="44" s="1"/>
  <c r="AP33" i="44" s="1"/>
  <c r="AP34" i="44" s="1"/>
  <c r="AP35" i="44" s="1"/>
  <c r="AP36" i="44" s="1"/>
  <c r="AP37" i="44" s="1"/>
  <c r="AP38" i="44" s="1"/>
  <c r="AP39" i="44" s="1"/>
  <c r="AP40" i="44" s="1"/>
  <c r="AP41" i="44" s="1"/>
  <c r="AP42" i="44" s="1"/>
  <c r="AP43" i="44" s="1"/>
  <c r="AP44" i="44" s="1"/>
  <c r="AP45" i="44" s="1"/>
  <c r="AP46" i="44" s="1"/>
  <c r="AP47" i="44" s="1"/>
  <c r="AP48" i="44" s="1"/>
  <c r="AP49" i="44" s="1"/>
  <c r="AP50" i="44" s="1"/>
  <c r="AP51" i="44" s="1"/>
  <c r="AP52" i="44" s="1"/>
  <c r="AP53" i="44" s="1"/>
  <c r="AP54" i="44" s="1"/>
  <c r="AP55" i="44" s="1"/>
  <c r="AP56" i="44" s="1"/>
  <c r="AP57" i="44" s="1"/>
  <c r="AP58" i="44" s="1"/>
  <c r="AP59" i="44" s="1"/>
  <c r="AP60" i="44" s="1"/>
  <c r="AP61" i="44" s="1"/>
  <c r="AP62" i="44" s="1"/>
  <c r="AP63" i="44" s="1"/>
  <c r="AP64" i="44" s="1"/>
  <c r="AP65" i="44" s="1"/>
  <c r="AP66" i="44" s="1"/>
  <c r="AP67" i="44" s="1"/>
  <c r="AP68" i="44" s="1"/>
  <c r="AP69" i="44" s="1"/>
  <c r="AP70" i="44" s="1"/>
  <c r="AP71" i="44" s="1"/>
  <c r="AP72" i="44" s="1"/>
  <c r="AP73" i="44" s="1"/>
  <c r="AP74" i="44" s="1"/>
  <c r="AP75" i="44" s="1"/>
  <c r="AP76" i="44" s="1"/>
  <c r="AP77" i="44" s="1"/>
  <c r="AP78" i="44" s="1"/>
  <c r="AP79" i="44" s="1"/>
  <c r="AP80" i="44" s="1"/>
  <c r="AP81" i="44" s="1"/>
  <c r="AP82" i="44" s="1"/>
  <c r="AP83" i="44" s="1"/>
  <c r="AP84" i="44" s="1"/>
  <c r="AO5" i="44"/>
  <c r="AO6" i="44" s="1"/>
  <c r="AO7" i="44" s="1"/>
  <c r="AO8" i="44" s="1"/>
  <c r="AO9" i="44" s="1"/>
  <c r="AO10" i="44" s="1"/>
  <c r="AO11" i="44" s="1"/>
  <c r="AO12" i="44" s="1"/>
  <c r="AO13" i="44" s="1"/>
  <c r="AO14" i="44" s="1"/>
  <c r="AO15" i="44" s="1"/>
  <c r="AO16" i="44" s="1"/>
  <c r="AO17" i="44" s="1"/>
  <c r="AO18" i="44" s="1"/>
  <c r="AO19" i="44" s="1"/>
  <c r="AO20" i="44" s="1"/>
  <c r="AO21" i="44" s="1"/>
  <c r="AO22" i="44" s="1"/>
  <c r="AO23" i="44" s="1"/>
  <c r="AO24" i="44" s="1"/>
  <c r="AO25" i="44" s="1"/>
  <c r="AO26" i="44" s="1"/>
  <c r="AO27" i="44" s="1"/>
  <c r="AO28" i="44" s="1"/>
  <c r="AO29" i="44" s="1"/>
  <c r="AO30" i="44" s="1"/>
  <c r="AO31" i="44" s="1"/>
  <c r="AO32" i="44" s="1"/>
  <c r="AO33" i="44" s="1"/>
  <c r="AO34" i="44" s="1"/>
  <c r="AO35" i="44" s="1"/>
  <c r="AO36" i="44" s="1"/>
  <c r="AO37" i="44" s="1"/>
  <c r="AO38" i="44" s="1"/>
  <c r="AO39" i="44" s="1"/>
  <c r="AO40" i="44" s="1"/>
  <c r="AO41" i="44" s="1"/>
  <c r="AO42" i="44" s="1"/>
  <c r="AO43" i="44" s="1"/>
  <c r="AO44" i="44" s="1"/>
  <c r="AO45" i="44" s="1"/>
  <c r="AO46" i="44" s="1"/>
  <c r="AO47" i="44" s="1"/>
  <c r="AO48" i="44" s="1"/>
  <c r="AO49" i="44" s="1"/>
  <c r="AO50" i="44" s="1"/>
  <c r="AO51" i="44" s="1"/>
  <c r="AO52" i="44" s="1"/>
  <c r="AO53" i="44" s="1"/>
  <c r="AO54" i="44" s="1"/>
  <c r="AO55" i="44" s="1"/>
  <c r="AO56" i="44" s="1"/>
  <c r="AO57" i="44" s="1"/>
  <c r="AO58" i="44" s="1"/>
  <c r="AO59" i="44" s="1"/>
  <c r="AO60" i="44" s="1"/>
  <c r="AO61" i="44" s="1"/>
  <c r="AO62" i="44" s="1"/>
  <c r="AO63" i="44" s="1"/>
  <c r="AO64" i="44" s="1"/>
  <c r="AO65" i="44" s="1"/>
  <c r="AO66" i="44" s="1"/>
  <c r="AO67" i="44" s="1"/>
  <c r="AO68" i="44" s="1"/>
  <c r="AO69" i="44" s="1"/>
  <c r="AO70" i="44" s="1"/>
  <c r="AO71" i="44" s="1"/>
  <c r="AO72" i="44" s="1"/>
  <c r="AO73" i="44" s="1"/>
  <c r="AO74" i="44" s="1"/>
  <c r="AO75" i="44" s="1"/>
  <c r="AO76" i="44" s="1"/>
  <c r="AO77" i="44" s="1"/>
  <c r="AO78" i="44" s="1"/>
  <c r="AO79" i="44" s="1"/>
  <c r="AO80" i="44" s="1"/>
  <c r="AO81" i="44" s="1"/>
  <c r="AO82" i="44" s="1"/>
  <c r="AO83" i="44" s="1"/>
  <c r="AO84" i="44" s="1"/>
  <c r="AN5" i="44"/>
  <c r="AN6" i="44" s="1"/>
  <c r="AN7" i="44" s="1"/>
  <c r="AN8" i="44" s="1"/>
  <c r="AN9" i="44" s="1"/>
  <c r="AN10" i="44" s="1"/>
  <c r="AN11" i="44" s="1"/>
  <c r="AN12" i="44" s="1"/>
  <c r="AN13" i="44" s="1"/>
  <c r="AN14" i="44" s="1"/>
  <c r="AN15" i="44" s="1"/>
  <c r="AN16" i="44" s="1"/>
  <c r="AN17" i="44" s="1"/>
  <c r="AN18" i="44" s="1"/>
  <c r="AN19" i="44" s="1"/>
  <c r="AN20" i="44" s="1"/>
  <c r="AN21" i="44" s="1"/>
  <c r="AN22" i="44" s="1"/>
  <c r="AN23" i="44" s="1"/>
  <c r="AN24" i="44" s="1"/>
  <c r="AN25" i="44" s="1"/>
  <c r="AN26" i="44" s="1"/>
  <c r="AN27" i="44" s="1"/>
  <c r="AN28" i="44" s="1"/>
  <c r="AN29" i="44" s="1"/>
  <c r="AN30" i="44" s="1"/>
  <c r="AN31" i="44" s="1"/>
  <c r="AN32" i="44" s="1"/>
  <c r="AN33" i="44" s="1"/>
  <c r="AN34" i="44" s="1"/>
  <c r="AN35" i="44" s="1"/>
  <c r="AN36" i="44" s="1"/>
  <c r="AN37" i="44" s="1"/>
  <c r="AN38" i="44" s="1"/>
  <c r="AN39" i="44" s="1"/>
  <c r="AN40" i="44" s="1"/>
  <c r="AN41" i="44" s="1"/>
  <c r="AN42" i="44" s="1"/>
  <c r="AN43" i="44" s="1"/>
  <c r="AN44" i="44" s="1"/>
  <c r="AN45" i="44" s="1"/>
  <c r="AN46" i="44" s="1"/>
  <c r="AN47" i="44" s="1"/>
  <c r="AN48" i="44" s="1"/>
  <c r="AN49" i="44" s="1"/>
  <c r="AN50" i="44" s="1"/>
  <c r="AN51" i="44" s="1"/>
  <c r="AN52" i="44" s="1"/>
  <c r="AN53" i="44" s="1"/>
  <c r="AN54" i="44" s="1"/>
  <c r="AN55" i="44" s="1"/>
  <c r="AN56" i="44" s="1"/>
  <c r="AN57" i="44" s="1"/>
  <c r="AN58" i="44" s="1"/>
  <c r="AN59" i="44" s="1"/>
  <c r="AN60" i="44" s="1"/>
  <c r="AN61" i="44" s="1"/>
  <c r="AN62" i="44" s="1"/>
  <c r="AN63" i="44" s="1"/>
  <c r="AN64" i="44" s="1"/>
  <c r="AN65" i="44" s="1"/>
  <c r="AN66" i="44" s="1"/>
  <c r="AN67" i="44" s="1"/>
  <c r="AN68" i="44" s="1"/>
  <c r="AN69" i="44" s="1"/>
  <c r="AN70" i="44" s="1"/>
  <c r="AN71" i="44" s="1"/>
  <c r="AN72" i="44" s="1"/>
  <c r="AN73" i="44" s="1"/>
  <c r="AN74" i="44" s="1"/>
  <c r="AN75" i="44" s="1"/>
  <c r="AN76" i="44" s="1"/>
  <c r="AN77" i="44" s="1"/>
  <c r="AN78" i="44" s="1"/>
  <c r="AN79" i="44" s="1"/>
  <c r="AN80" i="44" s="1"/>
  <c r="AN81" i="44" s="1"/>
  <c r="AN82" i="44" s="1"/>
  <c r="AN83" i="44" s="1"/>
  <c r="AN84" i="44" s="1"/>
  <c r="AM5" i="44"/>
  <c r="AM6" i="44" s="1"/>
  <c r="AM7" i="44" s="1"/>
  <c r="AM8" i="44" s="1"/>
  <c r="AM9" i="44" s="1"/>
  <c r="AM10" i="44" s="1"/>
  <c r="AM11" i="44" s="1"/>
  <c r="AM12" i="44" s="1"/>
  <c r="AM13" i="44" s="1"/>
  <c r="AM14" i="44" s="1"/>
  <c r="AM15" i="44" s="1"/>
  <c r="AM16" i="44" s="1"/>
  <c r="AM17" i="44" s="1"/>
  <c r="AM18" i="44" s="1"/>
  <c r="AM19" i="44" s="1"/>
  <c r="AM20" i="44" s="1"/>
  <c r="AM21" i="44" s="1"/>
  <c r="AM22" i="44" s="1"/>
  <c r="AM23" i="44" s="1"/>
  <c r="AM24" i="44" s="1"/>
  <c r="AM25" i="44" s="1"/>
  <c r="AM26" i="44" s="1"/>
  <c r="AM27" i="44" s="1"/>
  <c r="AM28" i="44" s="1"/>
  <c r="AM29" i="44" s="1"/>
  <c r="AM30" i="44" s="1"/>
  <c r="AM31" i="44" s="1"/>
  <c r="AM32" i="44" s="1"/>
  <c r="AM33" i="44" s="1"/>
  <c r="AM34" i="44" s="1"/>
  <c r="AM35" i="44" s="1"/>
  <c r="AM36" i="44" s="1"/>
  <c r="AM37" i="44" s="1"/>
  <c r="AM38" i="44" s="1"/>
  <c r="AM39" i="44" s="1"/>
  <c r="AM40" i="44" s="1"/>
  <c r="AM41" i="44" s="1"/>
  <c r="AM42" i="44" s="1"/>
  <c r="AM43" i="44" s="1"/>
  <c r="AM44" i="44" s="1"/>
  <c r="AM45" i="44" s="1"/>
  <c r="AM46" i="44" s="1"/>
  <c r="AM47" i="44" s="1"/>
  <c r="AM48" i="44" s="1"/>
  <c r="AM49" i="44" s="1"/>
  <c r="AM50" i="44" s="1"/>
  <c r="AM51" i="44" s="1"/>
  <c r="AM52" i="44" s="1"/>
  <c r="AM53" i="44" s="1"/>
  <c r="AM54" i="44" s="1"/>
  <c r="AM55" i="44" s="1"/>
  <c r="AM56" i="44" s="1"/>
  <c r="AM57" i="44" s="1"/>
  <c r="AM58" i="44" s="1"/>
  <c r="AM59" i="44" s="1"/>
  <c r="AM60" i="44" s="1"/>
  <c r="AM61" i="44" s="1"/>
  <c r="AM62" i="44" s="1"/>
  <c r="AM63" i="44" s="1"/>
  <c r="AM64" i="44" s="1"/>
  <c r="AM65" i="44" s="1"/>
  <c r="AM66" i="44" s="1"/>
  <c r="AM67" i="44" s="1"/>
  <c r="AM68" i="44" s="1"/>
  <c r="AM69" i="44" s="1"/>
  <c r="AM70" i="44" s="1"/>
  <c r="AM71" i="44" s="1"/>
  <c r="AM72" i="44" s="1"/>
  <c r="AM73" i="44" s="1"/>
  <c r="AM74" i="44" s="1"/>
  <c r="AM75" i="44" s="1"/>
  <c r="AM76" i="44" s="1"/>
  <c r="AM77" i="44" s="1"/>
  <c r="AM78" i="44" s="1"/>
  <c r="AM79" i="44" s="1"/>
  <c r="AM80" i="44" s="1"/>
  <c r="AM81" i="44" s="1"/>
  <c r="AM82" i="44" s="1"/>
  <c r="AM83" i="44" s="1"/>
  <c r="AM84" i="44" s="1"/>
  <c r="AL5" i="44"/>
  <c r="AL6" i="44" s="1"/>
  <c r="AL7" i="44" s="1"/>
  <c r="AL8" i="44" s="1"/>
  <c r="AL9" i="44" s="1"/>
  <c r="AL10" i="44" s="1"/>
  <c r="AL11" i="44" s="1"/>
  <c r="AL12" i="44" s="1"/>
  <c r="AL13" i="44" s="1"/>
  <c r="AL14" i="44" s="1"/>
  <c r="AL15" i="44" s="1"/>
  <c r="AL16" i="44" s="1"/>
  <c r="AL17" i="44" s="1"/>
  <c r="AL18" i="44" s="1"/>
  <c r="AL19" i="44" s="1"/>
  <c r="AL20" i="44" s="1"/>
  <c r="AL21" i="44" s="1"/>
  <c r="AL22" i="44" s="1"/>
  <c r="AL23" i="44" s="1"/>
  <c r="AL24" i="44" s="1"/>
  <c r="AL25" i="44" s="1"/>
  <c r="AL26" i="44" s="1"/>
  <c r="AL27" i="44" s="1"/>
  <c r="AL28" i="44" s="1"/>
  <c r="AL29" i="44" s="1"/>
  <c r="AL30" i="44" s="1"/>
  <c r="AL31" i="44" s="1"/>
  <c r="AL32" i="44" s="1"/>
  <c r="AL33" i="44" s="1"/>
  <c r="AL34" i="44" s="1"/>
  <c r="AL35" i="44" s="1"/>
  <c r="AL36" i="44" s="1"/>
  <c r="AL37" i="44" s="1"/>
  <c r="AL38" i="44" s="1"/>
  <c r="AL39" i="44" s="1"/>
  <c r="AL40" i="44" s="1"/>
  <c r="AL41" i="44" s="1"/>
  <c r="AL42" i="44" s="1"/>
  <c r="AL43" i="44" s="1"/>
  <c r="AL44" i="44" s="1"/>
  <c r="AL45" i="44" s="1"/>
  <c r="AL46" i="44" s="1"/>
  <c r="AL47" i="44" s="1"/>
  <c r="AL48" i="44" s="1"/>
  <c r="AL49" i="44" s="1"/>
  <c r="AL50" i="44" s="1"/>
  <c r="AL51" i="44" s="1"/>
  <c r="AL52" i="44" s="1"/>
  <c r="AL53" i="44" s="1"/>
  <c r="AL54" i="44" s="1"/>
  <c r="AL55" i="44" s="1"/>
  <c r="AL56" i="44" s="1"/>
  <c r="AL57" i="44" s="1"/>
  <c r="AL58" i="44" s="1"/>
  <c r="AL59" i="44" s="1"/>
  <c r="AL60" i="44" s="1"/>
  <c r="AL61" i="44" s="1"/>
  <c r="AL62" i="44" s="1"/>
  <c r="AL63" i="44" s="1"/>
  <c r="AL64" i="44" s="1"/>
  <c r="AL65" i="44" s="1"/>
  <c r="AL66" i="44" s="1"/>
  <c r="AL67" i="44" s="1"/>
  <c r="AL68" i="44" s="1"/>
  <c r="AL69" i="44" s="1"/>
  <c r="AL70" i="44" s="1"/>
  <c r="AL71" i="44" s="1"/>
  <c r="AL72" i="44" s="1"/>
  <c r="AL73" i="44" s="1"/>
  <c r="AL74" i="44" s="1"/>
  <c r="AL75" i="44" s="1"/>
  <c r="AL76" i="44" s="1"/>
  <c r="AL77" i="44" s="1"/>
  <c r="AL78" i="44" s="1"/>
  <c r="AL79" i="44" s="1"/>
  <c r="AL80" i="44" s="1"/>
  <c r="AL81" i="44" s="1"/>
  <c r="AL82" i="44" s="1"/>
  <c r="AL83" i="44" s="1"/>
  <c r="AL84" i="44" s="1"/>
  <c r="AK5" i="44"/>
  <c r="AK6" i="44" s="1"/>
  <c r="AK7" i="44" s="1"/>
  <c r="AK8" i="44" s="1"/>
  <c r="AK9" i="44" s="1"/>
  <c r="AK10" i="44" s="1"/>
  <c r="AK11" i="44" s="1"/>
  <c r="AK12" i="44" s="1"/>
  <c r="AK13" i="44" s="1"/>
  <c r="AK14" i="44" s="1"/>
  <c r="AK15" i="44" s="1"/>
  <c r="AK16" i="44" s="1"/>
  <c r="AK17" i="44" s="1"/>
  <c r="AK18" i="44" s="1"/>
  <c r="AK19" i="44" s="1"/>
  <c r="AK20" i="44" s="1"/>
  <c r="AK21" i="44" s="1"/>
  <c r="AK22" i="44" s="1"/>
  <c r="AK23" i="44" s="1"/>
  <c r="AK24" i="44" s="1"/>
  <c r="AK25" i="44" s="1"/>
  <c r="AK26" i="44" s="1"/>
  <c r="AK27" i="44" s="1"/>
  <c r="AK28" i="44" s="1"/>
  <c r="AK29" i="44" s="1"/>
  <c r="AK30" i="44" s="1"/>
  <c r="AK31" i="44" s="1"/>
  <c r="AK32" i="44" s="1"/>
  <c r="AK33" i="44" s="1"/>
  <c r="AK34" i="44" s="1"/>
  <c r="AK35" i="44" s="1"/>
  <c r="AK36" i="44" s="1"/>
  <c r="AK37" i="44" s="1"/>
  <c r="AK38" i="44" s="1"/>
  <c r="AK39" i="44" s="1"/>
  <c r="AK40" i="44" s="1"/>
  <c r="AK41" i="44" s="1"/>
  <c r="AK42" i="44" s="1"/>
  <c r="AK43" i="44" s="1"/>
  <c r="AK44" i="44" s="1"/>
  <c r="AK45" i="44" s="1"/>
  <c r="AK46" i="44" s="1"/>
  <c r="AK47" i="44" s="1"/>
  <c r="AK48" i="44" s="1"/>
  <c r="AK49" i="44" s="1"/>
  <c r="AK50" i="44" s="1"/>
  <c r="AK51" i="44" s="1"/>
  <c r="AK52" i="44" s="1"/>
  <c r="AK53" i="44" s="1"/>
  <c r="AK54" i="44" s="1"/>
  <c r="AK55" i="44" s="1"/>
  <c r="AK56" i="44" s="1"/>
  <c r="AK57" i="44" s="1"/>
  <c r="AK58" i="44" s="1"/>
  <c r="AK59" i="44" s="1"/>
  <c r="AK60" i="44" s="1"/>
  <c r="AK61" i="44" s="1"/>
  <c r="AK62" i="44" s="1"/>
  <c r="AK63" i="44" s="1"/>
  <c r="AK64" i="44" s="1"/>
  <c r="AK65" i="44" s="1"/>
  <c r="AK66" i="44" s="1"/>
  <c r="AK67" i="44" s="1"/>
  <c r="AK68" i="44" s="1"/>
  <c r="AK69" i="44" s="1"/>
  <c r="AK70" i="44" s="1"/>
  <c r="AK71" i="44" s="1"/>
  <c r="AK72" i="44" s="1"/>
  <c r="AK73" i="44" s="1"/>
  <c r="AK74" i="44" s="1"/>
  <c r="AK75" i="44" s="1"/>
  <c r="AK76" i="44" s="1"/>
  <c r="AK77" i="44" s="1"/>
  <c r="AK78" i="44" s="1"/>
  <c r="AK79" i="44" s="1"/>
  <c r="AK80" i="44" s="1"/>
  <c r="AK81" i="44" s="1"/>
  <c r="AK82" i="44" s="1"/>
  <c r="AK83" i="44" s="1"/>
  <c r="AK84" i="44" s="1"/>
  <c r="AJ5" i="44"/>
  <c r="AJ6" i="44" s="1"/>
  <c r="AJ7" i="44" s="1"/>
  <c r="AJ8" i="44" s="1"/>
  <c r="AJ9" i="44" s="1"/>
  <c r="AJ10" i="44" s="1"/>
  <c r="AJ11" i="44" s="1"/>
  <c r="AJ12" i="44" s="1"/>
  <c r="AJ13" i="44" s="1"/>
  <c r="AJ14" i="44" s="1"/>
  <c r="AJ15" i="44" s="1"/>
  <c r="AJ16" i="44" s="1"/>
  <c r="AJ17" i="44" s="1"/>
  <c r="AJ18" i="44" s="1"/>
  <c r="AJ19" i="44" s="1"/>
  <c r="AJ20" i="44" s="1"/>
  <c r="AJ21" i="44" s="1"/>
  <c r="AJ22" i="44" s="1"/>
  <c r="AJ23" i="44" s="1"/>
  <c r="AJ24" i="44" s="1"/>
  <c r="AJ25" i="44" s="1"/>
  <c r="AJ26" i="44" s="1"/>
  <c r="AJ27" i="44" s="1"/>
  <c r="AJ28" i="44" s="1"/>
  <c r="AJ29" i="44" s="1"/>
  <c r="AJ30" i="44" s="1"/>
  <c r="AJ31" i="44" s="1"/>
  <c r="AJ32" i="44" s="1"/>
  <c r="AJ33" i="44" s="1"/>
  <c r="AJ34" i="44" s="1"/>
  <c r="AJ35" i="44" s="1"/>
  <c r="AJ36" i="44" s="1"/>
  <c r="AJ37" i="44" s="1"/>
  <c r="AJ38" i="44" s="1"/>
  <c r="AJ39" i="44" s="1"/>
  <c r="AJ40" i="44" s="1"/>
  <c r="AJ41" i="44" s="1"/>
  <c r="AJ42" i="44" s="1"/>
  <c r="AJ43" i="44" s="1"/>
  <c r="AJ44" i="44" s="1"/>
  <c r="AJ45" i="44" s="1"/>
  <c r="AJ46" i="44" s="1"/>
  <c r="AJ47" i="44" s="1"/>
  <c r="AJ48" i="44" s="1"/>
  <c r="AJ49" i="44" s="1"/>
  <c r="AJ50" i="44" s="1"/>
  <c r="AJ51" i="44" s="1"/>
  <c r="AJ52" i="44" s="1"/>
  <c r="AJ53" i="44" s="1"/>
  <c r="AJ54" i="44" s="1"/>
  <c r="AJ55" i="44" s="1"/>
  <c r="AJ56" i="44" s="1"/>
  <c r="AJ57" i="44" s="1"/>
  <c r="AJ58" i="44" s="1"/>
  <c r="AJ59" i="44" s="1"/>
  <c r="AJ60" i="44" s="1"/>
  <c r="AJ61" i="44" s="1"/>
  <c r="AJ62" i="44" s="1"/>
  <c r="AJ63" i="44" s="1"/>
  <c r="AJ64" i="44" s="1"/>
  <c r="AJ65" i="44" s="1"/>
  <c r="AJ66" i="44" s="1"/>
  <c r="AJ67" i="44" s="1"/>
  <c r="AJ68" i="44" s="1"/>
  <c r="AJ69" i="44" s="1"/>
  <c r="AJ70" i="44" s="1"/>
  <c r="AJ71" i="44" s="1"/>
  <c r="AJ72" i="44" s="1"/>
  <c r="AJ73" i="44" s="1"/>
  <c r="AJ74" i="44" s="1"/>
  <c r="AJ75" i="44" s="1"/>
  <c r="AJ76" i="44" s="1"/>
  <c r="AJ77" i="44" s="1"/>
  <c r="AJ78" i="44" s="1"/>
  <c r="AJ79" i="44" s="1"/>
  <c r="AJ80" i="44" s="1"/>
  <c r="AJ81" i="44" s="1"/>
  <c r="AJ82" i="44" s="1"/>
  <c r="AJ83" i="44" s="1"/>
  <c r="AJ84" i="44" s="1"/>
  <c r="AI5" i="44"/>
  <c r="AI6" i="44" s="1"/>
  <c r="AI7" i="44" s="1"/>
  <c r="AI8" i="44" s="1"/>
  <c r="AI9" i="44" s="1"/>
  <c r="AI10" i="44" s="1"/>
  <c r="AI11" i="44" s="1"/>
  <c r="AI12" i="44" s="1"/>
  <c r="AI13" i="44" s="1"/>
  <c r="AI14" i="44" s="1"/>
  <c r="AI15" i="44" s="1"/>
  <c r="AI16" i="44" s="1"/>
  <c r="AI17" i="44" s="1"/>
  <c r="AI18" i="44" s="1"/>
  <c r="AI19" i="44" s="1"/>
  <c r="AI20" i="44" s="1"/>
  <c r="AI21" i="44" s="1"/>
  <c r="AI22" i="44" s="1"/>
  <c r="AI23" i="44" s="1"/>
  <c r="AI24" i="44" s="1"/>
  <c r="AI25" i="44" s="1"/>
  <c r="AI26" i="44" s="1"/>
  <c r="AI27" i="44" s="1"/>
  <c r="AI28" i="44" s="1"/>
  <c r="AI29" i="44" s="1"/>
  <c r="AI30" i="44" s="1"/>
  <c r="AI31" i="44" s="1"/>
  <c r="AI32" i="44" s="1"/>
  <c r="AI33" i="44" s="1"/>
  <c r="AI34" i="44" s="1"/>
  <c r="AI35" i="44" s="1"/>
  <c r="AI36" i="44" s="1"/>
  <c r="AI37" i="44" s="1"/>
  <c r="AI38" i="44" s="1"/>
  <c r="AI39" i="44" s="1"/>
  <c r="AI40" i="44" s="1"/>
  <c r="AI41" i="44" s="1"/>
  <c r="AI42" i="44" s="1"/>
  <c r="AI43" i="44" s="1"/>
  <c r="AI44" i="44" s="1"/>
  <c r="AI45" i="44" s="1"/>
  <c r="AI46" i="44" s="1"/>
  <c r="AI47" i="44" s="1"/>
  <c r="AI48" i="44" s="1"/>
  <c r="AI49" i="44" s="1"/>
  <c r="AI50" i="44" s="1"/>
  <c r="AI51" i="44" s="1"/>
  <c r="AI52" i="44" s="1"/>
  <c r="AI53" i="44" s="1"/>
  <c r="AI54" i="44" s="1"/>
  <c r="AI55" i="44" s="1"/>
  <c r="AI56" i="44" s="1"/>
  <c r="AI57" i="44" s="1"/>
  <c r="AI58" i="44" s="1"/>
  <c r="AI59" i="44" s="1"/>
  <c r="AI60" i="44" s="1"/>
  <c r="AI61" i="44" s="1"/>
  <c r="AI62" i="44" s="1"/>
  <c r="AI63" i="44" s="1"/>
  <c r="AI64" i="44" s="1"/>
  <c r="AI65" i="44" s="1"/>
  <c r="AI66" i="44" s="1"/>
  <c r="AI67" i="44" s="1"/>
  <c r="AI68" i="44" s="1"/>
  <c r="AI69" i="44" s="1"/>
  <c r="AI70" i="44" s="1"/>
  <c r="AI71" i="44" s="1"/>
  <c r="AI72" i="44" s="1"/>
  <c r="AI73" i="44" s="1"/>
  <c r="AI74" i="44" s="1"/>
  <c r="AI75" i="44" s="1"/>
  <c r="AI76" i="44" s="1"/>
  <c r="AI77" i="44" s="1"/>
  <c r="AI78" i="44" s="1"/>
  <c r="AI79" i="44" s="1"/>
  <c r="AI80" i="44" s="1"/>
  <c r="AI81" i="44" s="1"/>
  <c r="AI82" i="44" s="1"/>
  <c r="AI83" i="44" s="1"/>
  <c r="AI84" i="44" s="1"/>
  <c r="AH5" i="44"/>
  <c r="AH6" i="44" s="1"/>
  <c r="AH7" i="44" s="1"/>
  <c r="AH8" i="44" s="1"/>
  <c r="AH9" i="44" s="1"/>
  <c r="AH10" i="44" s="1"/>
  <c r="AH11" i="44" s="1"/>
  <c r="AH12" i="44" s="1"/>
  <c r="AH13" i="44" s="1"/>
  <c r="AH14" i="44" s="1"/>
  <c r="AH15" i="44" s="1"/>
  <c r="AH16" i="44" s="1"/>
  <c r="AH17" i="44" s="1"/>
  <c r="AH18" i="44" s="1"/>
  <c r="AH19" i="44" s="1"/>
  <c r="AH20" i="44" s="1"/>
  <c r="AH21" i="44" s="1"/>
  <c r="AH22" i="44" s="1"/>
  <c r="AH23" i="44" s="1"/>
  <c r="AH24" i="44" s="1"/>
  <c r="AH25" i="44" s="1"/>
  <c r="AH26" i="44" s="1"/>
  <c r="AH27" i="44" s="1"/>
  <c r="AH28" i="44" s="1"/>
  <c r="AH29" i="44" s="1"/>
  <c r="AH30" i="44" s="1"/>
  <c r="AH31" i="44" s="1"/>
  <c r="AH32" i="44" s="1"/>
  <c r="AH33" i="44" s="1"/>
  <c r="AH34" i="44" s="1"/>
  <c r="AH35" i="44" s="1"/>
  <c r="AH36" i="44" s="1"/>
  <c r="AH37" i="44" s="1"/>
  <c r="AH38" i="44" s="1"/>
  <c r="AH39" i="44" s="1"/>
  <c r="AH40" i="44" s="1"/>
  <c r="AH41" i="44" s="1"/>
  <c r="AH42" i="44" s="1"/>
  <c r="AH43" i="44" s="1"/>
  <c r="AH44" i="44" s="1"/>
  <c r="AH45" i="44" s="1"/>
  <c r="AH46" i="44" s="1"/>
  <c r="AH47" i="44" s="1"/>
  <c r="AH48" i="44" s="1"/>
  <c r="AH49" i="44" s="1"/>
  <c r="AH50" i="44" s="1"/>
  <c r="AH51" i="44" s="1"/>
  <c r="AH52" i="44" s="1"/>
  <c r="AH53" i="44" s="1"/>
  <c r="AH54" i="44" s="1"/>
  <c r="AH55" i="44" s="1"/>
  <c r="AH56" i="44" s="1"/>
  <c r="AH57" i="44" s="1"/>
  <c r="AH58" i="44" s="1"/>
  <c r="AH59" i="44" s="1"/>
  <c r="AH60" i="44" s="1"/>
  <c r="AH61" i="44" s="1"/>
  <c r="AH62" i="44" s="1"/>
  <c r="AH63" i="44" s="1"/>
  <c r="AH64" i="44" s="1"/>
  <c r="AH65" i="44" s="1"/>
  <c r="AH66" i="44" s="1"/>
  <c r="AH67" i="44" s="1"/>
  <c r="AH68" i="44" s="1"/>
  <c r="AH69" i="44" s="1"/>
  <c r="AH70" i="44" s="1"/>
  <c r="AH71" i="44" s="1"/>
  <c r="AH72" i="44" s="1"/>
  <c r="AH73" i="44" s="1"/>
  <c r="AH74" i="44" s="1"/>
  <c r="AH75" i="44" s="1"/>
  <c r="AH76" i="44" s="1"/>
  <c r="AH77" i="44" s="1"/>
  <c r="AH78" i="44" s="1"/>
  <c r="AH79" i="44" s="1"/>
  <c r="AH80" i="44" s="1"/>
  <c r="AH81" i="44" s="1"/>
  <c r="AH82" i="44" s="1"/>
  <c r="AH83" i="44" s="1"/>
  <c r="AH84" i="44" s="1"/>
  <c r="AG5" i="44"/>
  <c r="AG6" i="44" s="1"/>
  <c r="AG7" i="44" s="1"/>
  <c r="AG8" i="44" s="1"/>
  <c r="AG9" i="44" s="1"/>
  <c r="AG10" i="44" s="1"/>
  <c r="AG11" i="44" s="1"/>
  <c r="AG12" i="44" s="1"/>
  <c r="AG13" i="44" s="1"/>
  <c r="AG14" i="44" s="1"/>
  <c r="AG15" i="44" s="1"/>
  <c r="AG16" i="44" s="1"/>
  <c r="AG17" i="44" s="1"/>
  <c r="AG18" i="44" s="1"/>
  <c r="AG19" i="44" s="1"/>
  <c r="AG20" i="44" s="1"/>
  <c r="AG21" i="44" s="1"/>
  <c r="AG22" i="44" s="1"/>
  <c r="AG23" i="44" s="1"/>
  <c r="AG24" i="44" s="1"/>
  <c r="AG25" i="44" s="1"/>
  <c r="AG26" i="44" s="1"/>
  <c r="AG27" i="44" s="1"/>
  <c r="AG28" i="44" s="1"/>
  <c r="AG29" i="44" s="1"/>
  <c r="AG30" i="44" s="1"/>
  <c r="AG31" i="44" s="1"/>
  <c r="AG32" i="44" s="1"/>
  <c r="AG33" i="44" s="1"/>
  <c r="AG34" i="44" s="1"/>
  <c r="AG35" i="44" s="1"/>
  <c r="AG36" i="44" s="1"/>
  <c r="AG37" i="44" s="1"/>
  <c r="AG38" i="44" s="1"/>
  <c r="AG39" i="44" s="1"/>
  <c r="AG40" i="44" s="1"/>
  <c r="AG41" i="44" s="1"/>
  <c r="AG42" i="44" s="1"/>
  <c r="AG43" i="44" s="1"/>
  <c r="AG44" i="44" s="1"/>
  <c r="AG45" i="44" s="1"/>
  <c r="AG46" i="44" s="1"/>
  <c r="AG47" i="44" s="1"/>
  <c r="AG48" i="44" s="1"/>
  <c r="AG49" i="44" s="1"/>
  <c r="AG50" i="44" s="1"/>
  <c r="AG51" i="44" s="1"/>
  <c r="AG52" i="44" s="1"/>
  <c r="AG53" i="44" s="1"/>
  <c r="AG54" i="44" s="1"/>
  <c r="AG55" i="44" s="1"/>
  <c r="AG56" i="44" s="1"/>
  <c r="AG57" i="44" s="1"/>
  <c r="AG58" i="44" s="1"/>
  <c r="AG59" i="44" s="1"/>
  <c r="AG60" i="44" s="1"/>
  <c r="AG61" i="44" s="1"/>
  <c r="AG62" i="44" s="1"/>
  <c r="AG63" i="44" s="1"/>
  <c r="AG64" i="44" s="1"/>
  <c r="AG65" i="44" s="1"/>
  <c r="AG66" i="44" s="1"/>
  <c r="AG67" i="44" s="1"/>
  <c r="AG68" i="44" s="1"/>
  <c r="AG69" i="44" s="1"/>
  <c r="AG70" i="44" s="1"/>
  <c r="AG71" i="44" s="1"/>
  <c r="AG72" i="44" s="1"/>
  <c r="AG73" i="44" s="1"/>
  <c r="AG74" i="44" s="1"/>
  <c r="AG75" i="44" s="1"/>
  <c r="AG76" i="44" s="1"/>
  <c r="AG77" i="44" s="1"/>
  <c r="AG78" i="44" s="1"/>
  <c r="AG79" i="44" s="1"/>
  <c r="AG80" i="44" s="1"/>
  <c r="AG81" i="44" s="1"/>
  <c r="AG82" i="44" s="1"/>
  <c r="AG83" i="44" s="1"/>
  <c r="AG84" i="44" s="1"/>
  <c r="AF5" i="44"/>
  <c r="AF6" i="44" s="1"/>
  <c r="AF7" i="44" s="1"/>
  <c r="AF8" i="44" s="1"/>
  <c r="AF9" i="44" s="1"/>
  <c r="AF10" i="44" s="1"/>
  <c r="AF11" i="44" s="1"/>
  <c r="AF12" i="44" s="1"/>
  <c r="AF13" i="44" s="1"/>
  <c r="AF14" i="44" s="1"/>
  <c r="AF15" i="44" s="1"/>
  <c r="AF16" i="44" s="1"/>
  <c r="AF17" i="44" s="1"/>
  <c r="AF18" i="44" s="1"/>
  <c r="AF19" i="44" s="1"/>
  <c r="AF20" i="44" s="1"/>
  <c r="AF21" i="44" s="1"/>
  <c r="AF22" i="44" s="1"/>
  <c r="AF23" i="44" s="1"/>
  <c r="AF24" i="44" s="1"/>
  <c r="AF25" i="44" s="1"/>
  <c r="AF26" i="44" s="1"/>
  <c r="AF27" i="44" s="1"/>
  <c r="AF28" i="44" s="1"/>
  <c r="AF29" i="44" s="1"/>
  <c r="AF30" i="44" s="1"/>
  <c r="AF31" i="44" s="1"/>
  <c r="AF32" i="44" s="1"/>
  <c r="AF33" i="44" s="1"/>
  <c r="AF34" i="44" s="1"/>
  <c r="AF35" i="44" s="1"/>
  <c r="AF36" i="44" s="1"/>
  <c r="AF37" i="44" s="1"/>
  <c r="AF38" i="44" s="1"/>
  <c r="AF39" i="44" s="1"/>
  <c r="AF40" i="44" s="1"/>
  <c r="AF41" i="44" s="1"/>
  <c r="AF42" i="44" s="1"/>
  <c r="AF43" i="44" s="1"/>
  <c r="AF44" i="44" s="1"/>
  <c r="AF45" i="44" s="1"/>
  <c r="AF46" i="44" s="1"/>
  <c r="AF47" i="44" s="1"/>
  <c r="AF48" i="44" s="1"/>
  <c r="AF49" i="44" s="1"/>
  <c r="AF50" i="44" s="1"/>
  <c r="AF51" i="44" s="1"/>
  <c r="AF52" i="44" s="1"/>
  <c r="AF53" i="44" s="1"/>
  <c r="AF54" i="44" s="1"/>
  <c r="AF55" i="44" s="1"/>
  <c r="AF56" i="44" s="1"/>
  <c r="AF57" i="44" s="1"/>
  <c r="AF58" i="44" s="1"/>
  <c r="AF59" i="44" s="1"/>
  <c r="AF60" i="44" s="1"/>
  <c r="AF61" i="44" s="1"/>
  <c r="AF62" i="44" s="1"/>
  <c r="AF63" i="44" s="1"/>
  <c r="AF64" i="44" s="1"/>
  <c r="AF65" i="44" s="1"/>
  <c r="AF66" i="44" s="1"/>
  <c r="AF67" i="44" s="1"/>
  <c r="AF68" i="44" s="1"/>
  <c r="AF69" i="44" s="1"/>
  <c r="AF70" i="44" s="1"/>
  <c r="AF71" i="44" s="1"/>
  <c r="AF72" i="44" s="1"/>
  <c r="AF73" i="44" s="1"/>
  <c r="AF74" i="44" s="1"/>
  <c r="AF75" i="44" s="1"/>
  <c r="AF76" i="44" s="1"/>
  <c r="AF77" i="44" s="1"/>
  <c r="AF78" i="44" s="1"/>
  <c r="AF79" i="44" s="1"/>
  <c r="AF80" i="44" s="1"/>
  <c r="AF81" i="44" s="1"/>
  <c r="AF82" i="44" s="1"/>
  <c r="AF83" i="44" s="1"/>
  <c r="AF84" i="44" s="1"/>
  <c r="AE5" i="44"/>
  <c r="AE6" i="44" s="1"/>
  <c r="AE7" i="44" s="1"/>
  <c r="AE8" i="44" s="1"/>
  <c r="AE9" i="44" s="1"/>
  <c r="AE10" i="44" s="1"/>
  <c r="AE11" i="44" s="1"/>
  <c r="AE12" i="44" s="1"/>
  <c r="AE13" i="44" s="1"/>
  <c r="AE14" i="44" s="1"/>
  <c r="AE15" i="44" s="1"/>
  <c r="AE16" i="44" s="1"/>
  <c r="AE17" i="44" s="1"/>
  <c r="AE18" i="44" s="1"/>
  <c r="AE19" i="44" s="1"/>
  <c r="AE20" i="44" s="1"/>
  <c r="AE21" i="44" s="1"/>
  <c r="AE22" i="44" s="1"/>
  <c r="AE23" i="44" s="1"/>
  <c r="AE24" i="44" s="1"/>
  <c r="AE25" i="44" s="1"/>
  <c r="AE26" i="44" s="1"/>
  <c r="AE27" i="44" s="1"/>
  <c r="AE28" i="44" s="1"/>
  <c r="AE29" i="44" s="1"/>
  <c r="AE30" i="44" s="1"/>
  <c r="AE31" i="44" s="1"/>
  <c r="AE32" i="44" s="1"/>
  <c r="AE33" i="44" s="1"/>
  <c r="AE34" i="44" s="1"/>
  <c r="AE35" i="44" s="1"/>
  <c r="AE36" i="44" s="1"/>
  <c r="AE37" i="44" s="1"/>
  <c r="AE38" i="44" s="1"/>
  <c r="AE39" i="44" s="1"/>
  <c r="AE40" i="44" s="1"/>
  <c r="AE41" i="44" s="1"/>
  <c r="AE42" i="44" s="1"/>
  <c r="AE43" i="44" s="1"/>
  <c r="AE44" i="44" s="1"/>
  <c r="AE45" i="44" s="1"/>
  <c r="AE46" i="44" s="1"/>
  <c r="AE47" i="44" s="1"/>
  <c r="AE48" i="44" s="1"/>
  <c r="AE49" i="44" s="1"/>
  <c r="AE50" i="44" s="1"/>
  <c r="AE51" i="44" s="1"/>
  <c r="AE52" i="44" s="1"/>
  <c r="AE53" i="44" s="1"/>
  <c r="AE54" i="44" s="1"/>
  <c r="AE55" i="44" s="1"/>
  <c r="AE56" i="44" s="1"/>
  <c r="AE57" i="44" s="1"/>
  <c r="AE58" i="44" s="1"/>
  <c r="AE59" i="44" s="1"/>
  <c r="AE60" i="44" s="1"/>
  <c r="AE61" i="44" s="1"/>
  <c r="AE62" i="44" s="1"/>
  <c r="AE63" i="44" s="1"/>
  <c r="AE64" i="44" s="1"/>
  <c r="AE65" i="44" s="1"/>
  <c r="AE66" i="44" s="1"/>
  <c r="AE67" i="44" s="1"/>
  <c r="AE68" i="44" s="1"/>
  <c r="AE69" i="44" s="1"/>
  <c r="AE70" i="44" s="1"/>
  <c r="AE71" i="44" s="1"/>
  <c r="AE72" i="44" s="1"/>
  <c r="AE73" i="44" s="1"/>
  <c r="AE74" i="44" s="1"/>
  <c r="AE75" i="44" s="1"/>
  <c r="AE76" i="44" s="1"/>
  <c r="AE77" i="44" s="1"/>
  <c r="AE78" i="44" s="1"/>
  <c r="AE79" i="44" s="1"/>
  <c r="AE80" i="44" s="1"/>
  <c r="AE81" i="44" s="1"/>
  <c r="AE82" i="44" s="1"/>
  <c r="AE83" i="44" s="1"/>
  <c r="AE84" i="44" s="1"/>
  <c r="AD5" i="44"/>
  <c r="AD6" i="44" s="1"/>
  <c r="AD7" i="44" s="1"/>
  <c r="AD8" i="44" s="1"/>
  <c r="AD9" i="44" s="1"/>
  <c r="AD10" i="44" s="1"/>
  <c r="AD11" i="44" s="1"/>
  <c r="AD12" i="44" s="1"/>
  <c r="AD13" i="44" s="1"/>
  <c r="AD14" i="44" s="1"/>
  <c r="AD15" i="44" s="1"/>
  <c r="AD16" i="44" s="1"/>
  <c r="AD17" i="44" s="1"/>
  <c r="AD18" i="44" s="1"/>
  <c r="AD19" i="44" s="1"/>
  <c r="AD20" i="44" s="1"/>
  <c r="AD21" i="44" s="1"/>
  <c r="AD22" i="44" s="1"/>
  <c r="AD23" i="44" s="1"/>
  <c r="AD24" i="44" s="1"/>
  <c r="AD25" i="44" s="1"/>
  <c r="AD26" i="44" s="1"/>
  <c r="AD27" i="44" s="1"/>
  <c r="AD28" i="44" s="1"/>
  <c r="AD29" i="44" s="1"/>
  <c r="AD30" i="44" s="1"/>
  <c r="AD31" i="44" s="1"/>
  <c r="AD32" i="44" s="1"/>
  <c r="AD33" i="44" s="1"/>
  <c r="AD34" i="44" s="1"/>
  <c r="AD35" i="44" s="1"/>
  <c r="AD36" i="44" s="1"/>
  <c r="AD37" i="44" s="1"/>
  <c r="AD38" i="44" s="1"/>
  <c r="AD39" i="44" s="1"/>
  <c r="AD40" i="44" s="1"/>
  <c r="AD41" i="44" s="1"/>
  <c r="AD42" i="44" s="1"/>
  <c r="AD43" i="44" s="1"/>
  <c r="AD44" i="44" s="1"/>
  <c r="AD45" i="44" s="1"/>
  <c r="AD46" i="44" s="1"/>
  <c r="AD47" i="44" s="1"/>
  <c r="AD48" i="44" s="1"/>
  <c r="AD49" i="44" s="1"/>
  <c r="AD50" i="44" s="1"/>
  <c r="AD51" i="44" s="1"/>
  <c r="AD52" i="44" s="1"/>
  <c r="AD53" i="44" s="1"/>
  <c r="AD54" i="44" s="1"/>
  <c r="AD55" i="44" s="1"/>
  <c r="AD56" i="44" s="1"/>
  <c r="AD57" i="44" s="1"/>
  <c r="AD58" i="44" s="1"/>
  <c r="AD59" i="44" s="1"/>
  <c r="AD60" i="44" s="1"/>
  <c r="AD61" i="44" s="1"/>
  <c r="AD62" i="44" s="1"/>
  <c r="AD63" i="44" s="1"/>
  <c r="AD64" i="44" s="1"/>
  <c r="AD65" i="44" s="1"/>
  <c r="AD66" i="44" s="1"/>
  <c r="AD67" i="44" s="1"/>
  <c r="AD68" i="44" s="1"/>
  <c r="AD69" i="44" s="1"/>
  <c r="AD70" i="44" s="1"/>
  <c r="AD71" i="44" s="1"/>
  <c r="AD72" i="44" s="1"/>
  <c r="AD73" i="44" s="1"/>
  <c r="AD74" i="44" s="1"/>
  <c r="AD75" i="44" s="1"/>
  <c r="AD76" i="44" s="1"/>
  <c r="AD77" i="44" s="1"/>
  <c r="AD78" i="44" s="1"/>
  <c r="AD79" i="44" s="1"/>
  <c r="AD80" i="44" s="1"/>
  <c r="AD81" i="44" s="1"/>
  <c r="AD82" i="44" s="1"/>
  <c r="AD83" i="44" s="1"/>
  <c r="AD84" i="44" s="1"/>
  <c r="AC5" i="44"/>
  <c r="AC6" i="44" s="1"/>
  <c r="AC7" i="44" s="1"/>
  <c r="AC8" i="44" s="1"/>
  <c r="AC9" i="44" s="1"/>
  <c r="AC10" i="44" s="1"/>
  <c r="AC11" i="44" s="1"/>
  <c r="AC12" i="44" s="1"/>
  <c r="AC13" i="44" s="1"/>
  <c r="AC14" i="44" s="1"/>
  <c r="AC15" i="44" s="1"/>
  <c r="AC16" i="44" s="1"/>
  <c r="AC17" i="44" s="1"/>
  <c r="AC18" i="44" s="1"/>
  <c r="AC19" i="44" s="1"/>
  <c r="AC20" i="44" s="1"/>
  <c r="AC21" i="44" s="1"/>
  <c r="AC22" i="44" s="1"/>
  <c r="AC23" i="44" s="1"/>
  <c r="AC24" i="44" s="1"/>
  <c r="AC25" i="44" s="1"/>
  <c r="AC26" i="44" s="1"/>
  <c r="AC27" i="44" s="1"/>
  <c r="AC28" i="44" s="1"/>
  <c r="AC29" i="44" s="1"/>
  <c r="AC30" i="44" s="1"/>
  <c r="AC31" i="44" s="1"/>
  <c r="AC32" i="44" s="1"/>
  <c r="AC33" i="44" s="1"/>
  <c r="AC34" i="44" s="1"/>
  <c r="AC35" i="44" s="1"/>
  <c r="AC36" i="44" s="1"/>
  <c r="AC37" i="44" s="1"/>
  <c r="AC38" i="44" s="1"/>
  <c r="AC39" i="44" s="1"/>
  <c r="AC40" i="44" s="1"/>
  <c r="AC41" i="44" s="1"/>
  <c r="AC42" i="44" s="1"/>
  <c r="AC43" i="44" s="1"/>
  <c r="AC44" i="44" s="1"/>
  <c r="AC45" i="44" s="1"/>
  <c r="AC46" i="44" s="1"/>
  <c r="AC47" i="44" s="1"/>
  <c r="AC48" i="44" s="1"/>
  <c r="AC49" i="44" s="1"/>
  <c r="AC50" i="44" s="1"/>
  <c r="AC51" i="44" s="1"/>
  <c r="AC52" i="44" s="1"/>
  <c r="AC53" i="44" s="1"/>
  <c r="AC54" i="44" s="1"/>
  <c r="AC55" i="44" s="1"/>
  <c r="AC56" i="44" s="1"/>
  <c r="AC57" i="44" s="1"/>
  <c r="AC58" i="44" s="1"/>
  <c r="AC59" i="44" s="1"/>
  <c r="AC60" i="44" s="1"/>
  <c r="AC61" i="44" s="1"/>
  <c r="AC62" i="44" s="1"/>
  <c r="AC63" i="44" s="1"/>
  <c r="AC64" i="44" s="1"/>
  <c r="AC65" i="44" s="1"/>
  <c r="AC66" i="44" s="1"/>
  <c r="AC67" i="44" s="1"/>
  <c r="AC68" i="44" s="1"/>
  <c r="AC69" i="44" s="1"/>
  <c r="AC70" i="44" s="1"/>
  <c r="AC71" i="44" s="1"/>
  <c r="AC72" i="44" s="1"/>
  <c r="AC73" i="44" s="1"/>
  <c r="AC74" i="44" s="1"/>
  <c r="AC75" i="44" s="1"/>
  <c r="AC76" i="44" s="1"/>
  <c r="AC77" i="44" s="1"/>
  <c r="AC78" i="44" s="1"/>
  <c r="AC79" i="44" s="1"/>
  <c r="AC80" i="44" s="1"/>
  <c r="AC81" i="44" s="1"/>
  <c r="AC82" i="44" s="1"/>
  <c r="AC83" i="44" s="1"/>
  <c r="AC84" i="44" s="1"/>
  <c r="AB5" i="44"/>
  <c r="AB6" i="44" s="1"/>
  <c r="AB7" i="44" s="1"/>
  <c r="AB8" i="44" s="1"/>
  <c r="AB9" i="44" s="1"/>
  <c r="AB10" i="44" s="1"/>
  <c r="AB11" i="44" s="1"/>
  <c r="AB12" i="44" s="1"/>
  <c r="AB13" i="44" s="1"/>
  <c r="AB14" i="44" s="1"/>
  <c r="AB15" i="44" s="1"/>
  <c r="AB16" i="44" s="1"/>
  <c r="AB17" i="44" s="1"/>
  <c r="AB18" i="44" s="1"/>
  <c r="AB19" i="44" s="1"/>
  <c r="AB20" i="44" s="1"/>
  <c r="AB21" i="44" s="1"/>
  <c r="AB22" i="44" s="1"/>
  <c r="AB23" i="44" s="1"/>
  <c r="AB24" i="44" s="1"/>
  <c r="AB25" i="44" s="1"/>
  <c r="AB26" i="44" s="1"/>
  <c r="AB27" i="44" s="1"/>
  <c r="AB28" i="44" s="1"/>
  <c r="AB29" i="44" s="1"/>
  <c r="AB30" i="44" s="1"/>
  <c r="AB31" i="44" s="1"/>
  <c r="AB32" i="44" s="1"/>
  <c r="AB33" i="44" s="1"/>
  <c r="AB34" i="44" s="1"/>
  <c r="AB35" i="44" s="1"/>
  <c r="AB36" i="44" s="1"/>
  <c r="AB37" i="44" s="1"/>
  <c r="AB38" i="44" s="1"/>
  <c r="AB39" i="44" s="1"/>
  <c r="AB40" i="44" s="1"/>
  <c r="AB41" i="44" s="1"/>
  <c r="AB42" i="44" s="1"/>
  <c r="AB43" i="44" s="1"/>
  <c r="AB44" i="44" s="1"/>
  <c r="AB45" i="44" s="1"/>
  <c r="AB46" i="44" s="1"/>
  <c r="AB47" i="44" s="1"/>
  <c r="AB48" i="44" s="1"/>
  <c r="AB49" i="44" s="1"/>
  <c r="AB50" i="44" s="1"/>
  <c r="AB51" i="44" s="1"/>
  <c r="AB52" i="44" s="1"/>
  <c r="AB53" i="44" s="1"/>
  <c r="AB54" i="44" s="1"/>
  <c r="AB55" i="44" s="1"/>
  <c r="AB56" i="44" s="1"/>
  <c r="AB57" i="44" s="1"/>
  <c r="AB58" i="44" s="1"/>
  <c r="AB59" i="44" s="1"/>
  <c r="AB60" i="44" s="1"/>
  <c r="AB61" i="44" s="1"/>
  <c r="AB62" i="44" s="1"/>
  <c r="AB63" i="44" s="1"/>
  <c r="AB64" i="44" s="1"/>
  <c r="AB65" i="44" s="1"/>
  <c r="AB66" i="44" s="1"/>
  <c r="AB67" i="44" s="1"/>
  <c r="AB68" i="44" s="1"/>
  <c r="AB69" i="44" s="1"/>
  <c r="AB70" i="44" s="1"/>
  <c r="AB71" i="44" s="1"/>
  <c r="AB72" i="44" s="1"/>
  <c r="AB73" i="44" s="1"/>
  <c r="AB74" i="44" s="1"/>
  <c r="AB75" i="44" s="1"/>
  <c r="AB76" i="44" s="1"/>
  <c r="AB77" i="44" s="1"/>
  <c r="AB78" i="44" s="1"/>
  <c r="AB79" i="44" s="1"/>
  <c r="AB80" i="44" s="1"/>
  <c r="AB81" i="44" s="1"/>
  <c r="AB82" i="44" s="1"/>
  <c r="AB83" i="44" s="1"/>
  <c r="AB84" i="44" s="1"/>
  <c r="AA5" i="44"/>
  <c r="AA6" i="44" s="1"/>
  <c r="AA7" i="44" s="1"/>
  <c r="AA8" i="44" s="1"/>
  <c r="AA9" i="44" s="1"/>
  <c r="AA10" i="44" s="1"/>
  <c r="AA11" i="44" s="1"/>
  <c r="AA12" i="44" s="1"/>
  <c r="AA13" i="44" s="1"/>
  <c r="AA14" i="44" s="1"/>
  <c r="AA15" i="44" s="1"/>
  <c r="AA16" i="44" s="1"/>
  <c r="AA17" i="44" s="1"/>
  <c r="AA18" i="44" s="1"/>
  <c r="AA19" i="44" s="1"/>
  <c r="AA20" i="44" s="1"/>
  <c r="AA21" i="44" s="1"/>
  <c r="AA22" i="44" s="1"/>
  <c r="AA23" i="44" s="1"/>
  <c r="AA24" i="44" s="1"/>
  <c r="AA25" i="44" s="1"/>
  <c r="AA26" i="44" s="1"/>
  <c r="AA27" i="44" s="1"/>
  <c r="AA28" i="44" s="1"/>
  <c r="AA29" i="44" s="1"/>
  <c r="AA30" i="44" s="1"/>
  <c r="AA31" i="44" s="1"/>
  <c r="AA32" i="44" s="1"/>
  <c r="AA33" i="44" s="1"/>
  <c r="AA34" i="44" s="1"/>
  <c r="AA35" i="44" s="1"/>
  <c r="AA36" i="44" s="1"/>
  <c r="AA37" i="44" s="1"/>
  <c r="AA38" i="44" s="1"/>
  <c r="AA39" i="44" s="1"/>
  <c r="AA40" i="44" s="1"/>
  <c r="AA41" i="44" s="1"/>
  <c r="AA42" i="44" s="1"/>
  <c r="AA43" i="44" s="1"/>
  <c r="AA44" i="44" s="1"/>
  <c r="AA45" i="44" s="1"/>
  <c r="AA46" i="44" s="1"/>
  <c r="AA47" i="44" s="1"/>
  <c r="AA48" i="44" s="1"/>
  <c r="AA49" i="44" s="1"/>
  <c r="AA50" i="44" s="1"/>
  <c r="AA51" i="44" s="1"/>
  <c r="AA52" i="44" s="1"/>
  <c r="AA53" i="44" s="1"/>
  <c r="AA54" i="44" s="1"/>
  <c r="AA55" i="44" s="1"/>
  <c r="AA56" i="44" s="1"/>
  <c r="AA57" i="44" s="1"/>
  <c r="AA58" i="44" s="1"/>
  <c r="AA59" i="44" s="1"/>
  <c r="AA60" i="44" s="1"/>
  <c r="AA61" i="44" s="1"/>
  <c r="AA62" i="44" s="1"/>
  <c r="AA63" i="44" s="1"/>
  <c r="AA64" i="44" s="1"/>
  <c r="AA65" i="44" s="1"/>
  <c r="AA66" i="44" s="1"/>
  <c r="AA67" i="44" s="1"/>
  <c r="AA68" i="44" s="1"/>
  <c r="AA69" i="44" s="1"/>
  <c r="AA70" i="44" s="1"/>
  <c r="AA71" i="44" s="1"/>
  <c r="AA72" i="44" s="1"/>
  <c r="AA73" i="44" s="1"/>
  <c r="AA74" i="44" s="1"/>
  <c r="AA75" i="44" s="1"/>
  <c r="AA76" i="44" s="1"/>
  <c r="AA77" i="44" s="1"/>
  <c r="AA78" i="44" s="1"/>
  <c r="AA79" i="44" s="1"/>
  <c r="AA80" i="44" s="1"/>
  <c r="AA81" i="44" s="1"/>
  <c r="AA82" i="44" s="1"/>
  <c r="AA83" i="44" s="1"/>
  <c r="AA84" i="44" s="1"/>
  <c r="Z5" i="44"/>
  <c r="Z6" i="44" s="1"/>
  <c r="Z7" i="44" s="1"/>
  <c r="Z8" i="44" s="1"/>
  <c r="Z9" i="44" s="1"/>
  <c r="Z10" i="44" s="1"/>
  <c r="Z11" i="44" s="1"/>
  <c r="Z12" i="44" s="1"/>
  <c r="Z13" i="44" s="1"/>
  <c r="Z14" i="44" s="1"/>
  <c r="Z15" i="44" s="1"/>
  <c r="Z16" i="44" s="1"/>
  <c r="Z17" i="44" s="1"/>
  <c r="Z18" i="44" s="1"/>
  <c r="Z19" i="44" s="1"/>
  <c r="Z20" i="44" s="1"/>
  <c r="Z21" i="44" s="1"/>
  <c r="Z22" i="44" s="1"/>
  <c r="Z23" i="44" s="1"/>
  <c r="Z24" i="44" s="1"/>
  <c r="Z25" i="44" s="1"/>
  <c r="Z26" i="44" s="1"/>
  <c r="Z27" i="44" s="1"/>
  <c r="Z28" i="44" s="1"/>
  <c r="Z29" i="44" s="1"/>
  <c r="Z30" i="44" s="1"/>
  <c r="Z31" i="44" s="1"/>
  <c r="Z32" i="44" s="1"/>
  <c r="Z33" i="44" s="1"/>
  <c r="Z34" i="44" s="1"/>
  <c r="Z35" i="44" s="1"/>
  <c r="Z36" i="44" s="1"/>
  <c r="Z37" i="44" s="1"/>
  <c r="Z38" i="44" s="1"/>
  <c r="Z39" i="44" s="1"/>
  <c r="Z40" i="44" s="1"/>
  <c r="Z41" i="44" s="1"/>
  <c r="Z42" i="44" s="1"/>
  <c r="Z43" i="44" s="1"/>
  <c r="Z44" i="44" s="1"/>
  <c r="Z45" i="44" s="1"/>
  <c r="Z46" i="44" s="1"/>
  <c r="Z47" i="44" s="1"/>
  <c r="Z48" i="44" s="1"/>
  <c r="Z49" i="44" s="1"/>
  <c r="Z50" i="44" s="1"/>
  <c r="Z51" i="44" s="1"/>
  <c r="Z52" i="44" s="1"/>
  <c r="Z53" i="44" s="1"/>
  <c r="Z54" i="44" s="1"/>
  <c r="Z55" i="44" s="1"/>
  <c r="Z56" i="44" s="1"/>
  <c r="Z57" i="44" s="1"/>
  <c r="Z58" i="44" s="1"/>
  <c r="Z59" i="44" s="1"/>
  <c r="Z60" i="44" s="1"/>
  <c r="Z61" i="44" s="1"/>
  <c r="Z62" i="44" s="1"/>
  <c r="Z63" i="44" s="1"/>
  <c r="Z64" i="44" s="1"/>
  <c r="Z65" i="44" s="1"/>
  <c r="Z66" i="44" s="1"/>
  <c r="Z67" i="44" s="1"/>
  <c r="Z68" i="44" s="1"/>
  <c r="Z69" i="44" s="1"/>
  <c r="Z70" i="44" s="1"/>
  <c r="Z71" i="44" s="1"/>
  <c r="Z72" i="44" s="1"/>
  <c r="Z73" i="44" s="1"/>
  <c r="Z74" i="44" s="1"/>
  <c r="Z75" i="44" s="1"/>
  <c r="Z76" i="44" s="1"/>
  <c r="Z77" i="44" s="1"/>
  <c r="Z78" i="44" s="1"/>
  <c r="Z79" i="44" s="1"/>
  <c r="Z80" i="44" s="1"/>
  <c r="Z81" i="44" s="1"/>
  <c r="Z82" i="44" s="1"/>
  <c r="Z83" i="44" s="1"/>
  <c r="Z84" i="44" s="1"/>
  <c r="Y5" i="44"/>
  <c r="Y6" i="44" s="1"/>
  <c r="Y7" i="44" s="1"/>
  <c r="Y8" i="44" s="1"/>
  <c r="Y9" i="44" s="1"/>
  <c r="Y10" i="44" s="1"/>
  <c r="Y11" i="44" s="1"/>
  <c r="Y12" i="44" s="1"/>
  <c r="Y13" i="44" s="1"/>
  <c r="Y14" i="44" s="1"/>
  <c r="Y15" i="44" s="1"/>
  <c r="Y16" i="44" s="1"/>
  <c r="Y17" i="44" s="1"/>
  <c r="Y18" i="44" s="1"/>
  <c r="Y19" i="44" s="1"/>
  <c r="Y20" i="44" s="1"/>
  <c r="Y21" i="44" s="1"/>
  <c r="Y22" i="44" s="1"/>
  <c r="Y23" i="44" s="1"/>
  <c r="Y24" i="44" s="1"/>
  <c r="Y25" i="44" s="1"/>
  <c r="Y26" i="44" s="1"/>
  <c r="Y27" i="44" s="1"/>
  <c r="Y28" i="44" s="1"/>
  <c r="Y29" i="44" s="1"/>
  <c r="Y30" i="44" s="1"/>
  <c r="Y31" i="44" s="1"/>
  <c r="Y32" i="44" s="1"/>
  <c r="Y33" i="44" s="1"/>
  <c r="Y34" i="44" s="1"/>
  <c r="Y35" i="44" s="1"/>
  <c r="Y36" i="44" s="1"/>
  <c r="Y37" i="44" s="1"/>
  <c r="Y38" i="44" s="1"/>
  <c r="Y39" i="44" s="1"/>
  <c r="Y40" i="44" s="1"/>
  <c r="Y41" i="44" s="1"/>
  <c r="Y42" i="44" s="1"/>
  <c r="Y43" i="44" s="1"/>
  <c r="Y44" i="44" s="1"/>
  <c r="Y45" i="44" s="1"/>
  <c r="Y46" i="44" s="1"/>
  <c r="Y47" i="44" s="1"/>
  <c r="Y48" i="44" s="1"/>
  <c r="Y49" i="44" s="1"/>
  <c r="Y50" i="44" s="1"/>
  <c r="Y51" i="44" s="1"/>
  <c r="Y52" i="44" s="1"/>
  <c r="Y53" i="44" s="1"/>
  <c r="Y54" i="44" s="1"/>
  <c r="Y55" i="44" s="1"/>
  <c r="Y56" i="44" s="1"/>
  <c r="Y57" i="44" s="1"/>
  <c r="Y58" i="44" s="1"/>
  <c r="Y59" i="44" s="1"/>
  <c r="Y60" i="44" s="1"/>
  <c r="Y61" i="44" s="1"/>
  <c r="Y62" i="44" s="1"/>
  <c r="Y63" i="44" s="1"/>
  <c r="Y64" i="44" s="1"/>
  <c r="Y65" i="44" s="1"/>
  <c r="Y66" i="44" s="1"/>
  <c r="Y67" i="44" s="1"/>
  <c r="Y68" i="44" s="1"/>
  <c r="Y69" i="44" s="1"/>
  <c r="Y70" i="44" s="1"/>
  <c r="Y71" i="44" s="1"/>
  <c r="Y72" i="44" s="1"/>
  <c r="Y73" i="44" s="1"/>
  <c r="Y74" i="44" s="1"/>
  <c r="Y75" i="44" s="1"/>
  <c r="Y76" i="44" s="1"/>
  <c r="Y77" i="44" s="1"/>
  <c r="Y78" i="44" s="1"/>
  <c r="Y79" i="44" s="1"/>
  <c r="Y80" i="44" s="1"/>
  <c r="Y81" i="44" s="1"/>
  <c r="Y82" i="44" s="1"/>
  <c r="Y83" i="44" s="1"/>
  <c r="Y84" i="44" s="1"/>
  <c r="X5" i="44"/>
  <c r="X6" i="44" s="1"/>
  <c r="X7" i="44" s="1"/>
  <c r="X8" i="44" s="1"/>
  <c r="X9" i="44" s="1"/>
  <c r="X10" i="44" s="1"/>
  <c r="X11" i="44" s="1"/>
  <c r="X12" i="44" s="1"/>
  <c r="X13" i="44" s="1"/>
  <c r="X14" i="44" s="1"/>
  <c r="X15" i="44" s="1"/>
  <c r="X16" i="44" s="1"/>
  <c r="X17" i="44" s="1"/>
  <c r="X18" i="44" s="1"/>
  <c r="X19" i="44" s="1"/>
  <c r="X20" i="44" s="1"/>
  <c r="X21" i="44" s="1"/>
  <c r="X22" i="44" s="1"/>
  <c r="X23" i="44" s="1"/>
  <c r="X24" i="44" s="1"/>
  <c r="X25" i="44" s="1"/>
  <c r="X26" i="44" s="1"/>
  <c r="X27" i="44" s="1"/>
  <c r="X28" i="44" s="1"/>
  <c r="X29" i="44" s="1"/>
  <c r="X30" i="44" s="1"/>
  <c r="X31" i="44" s="1"/>
  <c r="X32" i="44" s="1"/>
  <c r="X33" i="44" s="1"/>
  <c r="X34" i="44" s="1"/>
  <c r="X35" i="44" s="1"/>
  <c r="X36" i="44" s="1"/>
  <c r="X37" i="44" s="1"/>
  <c r="X38" i="44" s="1"/>
  <c r="X39" i="44" s="1"/>
  <c r="X40" i="44" s="1"/>
  <c r="X41" i="44" s="1"/>
  <c r="X42" i="44" s="1"/>
  <c r="X43" i="44" s="1"/>
  <c r="X44" i="44" s="1"/>
  <c r="X45" i="44" s="1"/>
  <c r="X46" i="44" s="1"/>
  <c r="X47" i="44" s="1"/>
  <c r="X48" i="44" s="1"/>
  <c r="X49" i="44" s="1"/>
  <c r="X50" i="44" s="1"/>
  <c r="X51" i="44" s="1"/>
  <c r="X52" i="44" s="1"/>
  <c r="X53" i="44" s="1"/>
  <c r="X54" i="44" s="1"/>
  <c r="X55" i="44" s="1"/>
  <c r="X56" i="44" s="1"/>
  <c r="X57" i="44" s="1"/>
  <c r="X58" i="44" s="1"/>
  <c r="X59" i="44" s="1"/>
  <c r="X60" i="44" s="1"/>
  <c r="X61" i="44" s="1"/>
  <c r="X62" i="44" s="1"/>
  <c r="X63" i="44" s="1"/>
  <c r="X64" i="44" s="1"/>
  <c r="X65" i="44" s="1"/>
  <c r="X66" i="44" s="1"/>
  <c r="X67" i="44" s="1"/>
  <c r="X68" i="44" s="1"/>
  <c r="X69" i="44" s="1"/>
  <c r="X70" i="44" s="1"/>
  <c r="X71" i="44" s="1"/>
  <c r="X72" i="44" s="1"/>
  <c r="X73" i="44" s="1"/>
  <c r="X74" i="44" s="1"/>
  <c r="X75" i="44" s="1"/>
  <c r="X76" i="44" s="1"/>
  <c r="X77" i="44" s="1"/>
  <c r="X78" i="44" s="1"/>
  <c r="X79" i="44" s="1"/>
  <c r="X80" i="44" s="1"/>
  <c r="X81" i="44" s="1"/>
  <c r="X82" i="44" s="1"/>
  <c r="X83" i="44" s="1"/>
  <c r="X84" i="44" s="1"/>
  <c r="W5" i="44"/>
  <c r="W6" i="44" s="1"/>
  <c r="W7" i="44" s="1"/>
  <c r="W8" i="44" s="1"/>
  <c r="W9" i="44" s="1"/>
  <c r="W10" i="44" s="1"/>
  <c r="W11" i="44" s="1"/>
  <c r="W12" i="44" s="1"/>
  <c r="W13" i="44" s="1"/>
  <c r="W14" i="44" s="1"/>
  <c r="W15" i="44" s="1"/>
  <c r="W16" i="44" s="1"/>
  <c r="W17" i="44" s="1"/>
  <c r="W18" i="44" s="1"/>
  <c r="W19" i="44" s="1"/>
  <c r="W20" i="44" s="1"/>
  <c r="W21" i="44" s="1"/>
  <c r="W22" i="44" s="1"/>
  <c r="W23" i="44" s="1"/>
  <c r="W24" i="44" s="1"/>
  <c r="W25" i="44" s="1"/>
  <c r="W26" i="44" s="1"/>
  <c r="W27" i="44" s="1"/>
  <c r="W28" i="44" s="1"/>
  <c r="W29" i="44" s="1"/>
  <c r="W30" i="44" s="1"/>
  <c r="W31" i="44" s="1"/>
  <c r="W32" i="44" s="1"/>
  <c r="W33" i="44" s="1"/>
  <c r="W34" i="44" s="1"/>
  <c r="W35" i="44" s="1"/>
  <c r="W36" i="44" s="1"/>
  <c r="W37" i="44" s="1"/>
  <c r="W38" i="44" s="1"/>
  <c r="W39" i="44" s="1"/>
  <c r="W40" i="44" s="1"/>
  <c r="W41" i="44" s="1"/>
  <c r="W42" i="44" s="1"/>
  <c r="W43" i="44" s="1"/>
  <c r="W44" i="44" s="1"/>
  <c r="W45" i="44" s="1"/>
  <c r="W46" i="44" s="1"/>
  <c r="W47" i="44" s="1"/>
  <c r="W48" i="44" s="1"/>
  <c r="W49" i="44" s="1"/>
  <c r="W50" i="44" s="1"/>
  <c r="W51" i="44" s="1"/>
  <c r="W52" i="44" s="1"/>
  <c r="W53" i="44" s="1"/>
  <c r="W54" i="44" s="1"/>
  <c r="W55" i="44" s="1"/>
  <c r="W56" i="44" s="1"/>
  <c r="W57" i="44" s="1"/>
  <c r="W58" i="44" s="1"/>
  <c r="W59" i="44" s="1"/>
  <c r="W60" i="44" s="1"/>
  <c r="W61" i="44" s="1"/>
  <c r="W62" i="44" s="1"/>
  <c r="W63" i="44" s="1"/>
  <c r="W64" i="44" s="1"/>
  <c r="W65" i="44" s="1"/>
  <c r="W66" i="44" s="1"/>
  <c r="W67" i="44" s="1"/>
  <c r="W68" i="44" s="1"/>
  <c r="W69" i="44" s="1"/>
  <c r="W70" i="44" s="1"/>
  <c r="W71" i="44" s="1"/>
  <c r="W72" i="44" s="1"/>
  <c r="W73" i="44" s="1"/>
  <c r="W74" i="44" s="1"/>
  <c r="W75" i="44" s="1"/>
  <c r="W76" i="44" s="1"/>
  <c r="W77" i="44" s="1"/>
  <c r="W78" i="44" s="1"/>
  <c r="W79" i="44" s="1"/>
  <c r="W80" i="44" s="1"/>
  <c r="W81" i="44" s="1"/>
  <c r="W82" i="44" s="1"/>
  <c r="W83" i="44" s="1"/>
  <c r="W84" i="44" s="1"/>
  <c r="V5" i="44"/>
  <c r="V6" i="44" s="1"/>
  <c r="V7" i="44" s="1"/>
  <c r="V8" i="44" s="1"/>
  <c r="V9" i="44" s="1"/>
  <c r="V10" i="44" s="1"/>
  <c r="V11" i="44" s="1"/>
  <c r="V12" i="44" s="1"/>
  <c r="V13" i="44" s="1"/>
  <c r="V14" i="44" s="1"/>
  <c r="V15" i="44" s="1"/>
  <c r="V16" i="44" s="1"/>
  <c r="V17" i="44" s="1"/>
  <c r="V18" i="44" s="1"/>
  <c r="V19" i="44" s="1"/>
  <c r="V20" i="44" s="1"/>
  <c r="V21" i="44" s="1"/>
  <c r="V22" i="44" s="1"/>
  <c r="V23" i="44" s="1"/>
  <c r="V24" i="44" s="1"/>
  <c r="V25" i="44" s="1"/>
  <c r="V26" i="44" s="1"/>
  <c r="V27" i="44" s="1"/>
  <c r="V28" i="44" s="1"/>
  <c r="V29" i="44" s="1"/>
  <c r="V30" i="44" s="1"/>
  <c r="V31" i="44" s="1"/>
  <c r="V32" i="44" s="1"/>
  <c r="V33" i="44" s="1"/>
  <c r="V34" i="44" s="1"/>
  <c r="V35" i="44" s="1"/>
  <c r="V36" i="44" s="1"/>
  <c r="V37" i="44" s="1"/>
  <c r="V38" i="44" s="1"/>
  <c r="V39" i="44" s="1"/>
  <c r="V40" i="44" s="1"/>
  <c r="V41" i="44" s="1"/>
  <c r="V42" i="44" s="1"/>
  <c r="V43" i="44" s="1"/>
  <c r="V44" i="44" s="1"/>
  <c r="V45" i="44" s="1"/>
  <c r="V46" i="44" s="1"/>
  <c r="V47" i="44" s="1"/>
  <c r="V48" i="44" s="1"/>
  <c r="V49" i="44" s="1"/>
  <c r="V50" i="44" s="1"/>
  <c r="V51" i="44" s="1"/>
  <c r="V52" i="44" s="1"/>
  <c r="V53" i="44" s="1"/>
  <c r="V54" i="44" s="1"/>
  <c r="V55" i="44" s="1"/>
  <c r="V56" i="44" s="1"/>
  <c r="V57" i="44" s="1"/>
  <c r="V58" i="44" s="1"/>
  <c r="V59" i="44" s="1"/>
  <c r="V60" i="44" s="1"/>
  <c r="V61" i="44" s="1"/>
  <c r="V62" i="44" s="1"/>
  <c r="V63" i="44" s="1"/>
  <c r="V64" i="44" s="1"/>
  <c r="V65" i="44" s="1"/>
  <c r="V66" i="44" s="1"/>
  <c r="V67" i="44" s="1"/>
  <c r="V68" i="44" s="1"/>
  <c r="V69" i="44" s="1"/>
  <c r="V70" i="44" s="1"/>
  <c r="V71" i="44" s="1"/>
  <c r="V72" i="44" s="1"/>
  <c r="V73" i="44" s="1"/>
  <c r="V74" i="44" s="1"/>
  <c r="V75" i="44" s="1"/>
  <c r="V76" i="44" s="1"/>
  <c r="V77" i="44" s="1"/>
  <c r="V78" i="44" s="1"/>
  <c r="V79" i="44" s="1"/>
  <c r="V80" i="44" s="1"/>
  <c r="V81" i="44" s="1"/>
  <c r="V82" i="44" s="1"/>
  <c r="V83" i="44" s="1"/>
  <c r="V84" i="44" s="1"/>
  <c r="U5" i="44"/>
  <c r="U6" i="44" s="1"/>
  <c r="U7" i="44" s="1"/>
  <c r="U8" i="44" s="1"/>
  <c r="U9" i="44" s="1"/>
  <c r="U10" i="44" s="1"/>
  <c r="U11" i="44" s="1"/>
  <c r="U12" i="44" s="1"/>
  <c r="U13" i="44" s="1"/>
  <c r="U14" i="44" s="1"/>
  <c r="U15" i="44" s="1"/>
  <c r="U16" i="44" s="1"/>
  <c r="U17" i="44" s="1"/>
  <c r="U18" i="44" s="1"/>
  <c r="U19" i="44" s="1"/>
  <c r="U20" i="44" s="1"/>
  <c r="U21" i="44" s="1"/>
  <c r="U22" i="44" s="1"/>
  <c r="U23" i="44" s="1"/>
  <c r="U24" i="44" s="1"/>
  <c r="U25" i="44" s="1"/>
  <c r="U26" i="44" s="1"/>
  <c r="U27" i="44" s="1"/>
  <c r="U28" i="44" s="1"/>
  <c r="U29" i="44" s="1"/>
  <c r="U30" i="44" s="1"/>
  <c r="U31" i="44" s="1"/>
  <c r="U32" i="44" s="1"/>
  <c r="U33" i="44" s="1"/>
  <c r="U34" i="44" s="1"/>
  <c r="U35" i="44" s="1"/>
  <c r="U36" i="44" s="1"/>
  <c r="U37" i="44" s="1"/>
  <c r="U38" i="44" s="1"/>
  <c r="U39" i="44" s="1"/>
  <c r="U40" i="44" s="1"/>
  <c r="U41" i="44" s="1"/>
  <c r="U42" i="44" s="1"/>
  <c r="U43" i="44" s="1"/>
  <c r="U44" i="44" s="1"/>
  <c r="U45" i="44" s="1"/>
  <c r="U46" i="44" s="1"/>
  <c r="U47" i="44" s="1"/>
  <c r="U48" i="44" s="1"/>
  <c r="U49" i="44" s="1"/>
  <c r="U50" i="44" s="1"/>
  <c r="U51" i="44" s="1"/>
  <c r="U52" i="44" s="1"/>
  <c r="U53" i="44" s="1"/>
  <c r="U54" i="44" s="1"/>
  <c r="U55" i="44" s="1"/>
  <c r="U56" i="44" s="1"/>
  <c r="U57" i="44" s="1"/>
  <c r="U58" i="44" s="1"/>
  <c r="U59" i="44" s="1"/>
  <c r="U60" i="44" s="1"/>
  <c r="U61" i="44" s="1"/>
  <c r="U62" i="44" s="1"/>
  <c r="U63" i="44" s="1"/>
  <c r="U64" i="44" s="1"/>
  <c r="U65" i="44" s="1"/>
  <c r="U66" i="44" s="1"/>
  <c r="U67" i="44" s="1"/>
  <c r="U68" i="44" s="1"/>
  <c r="U69" i="44" s="1"/>
  <c r="U70" i="44" s="1"/>
  <c r="U71" i="44" s="1"/>
  <c r="U72" i="44" s="1"/>
  <c r="U73" i="44" s="1"/>
  <c r="U74" i="44" s="1"/>
  <c r="U75" i="44" s="1"/>
  <c r="U76" i="44" s="1"/>
  <c r="U77" i="44" s="1"/>
  <c r="U78" i="44" s="1"/>
  <c r="U79" i="44" s="1"/>
  <c r="U80" i="44" s="1"/>
  <c r="U81" i="44" s="1"/>
  <c r="U82" i="44" s="1"/>
  <c r="U83" i="44" s="1"/>
  <c r="U84" i="44" s="1"/>
  <c r="T5" i="44"/>
  <c r="T6" i="44" s="1"/>
  <c r="T7" i="44" s="1"/>
  <c r="T8" i="44" s="1"/>
  <c r="T9" i="44" s="1"/>
  <c r="T10" i="44" s="1"/>
  <c r="T11" i="44" s="1"/>
  <c r="T12" i="44" s="1"/>
  <c r="T13" i="44" s="1"/>
  <c r="T14" i="44" s="1"/>
  <c r="T15" i="44" s="1"/>
  <c r="T16" i="44" s="1"/>
  <c r="T17" i="44" s="1"/>
  <c r="T18" i="44" s="1"/>
  <c r="T19" i="44" s="1"/>
  <c r="T20" i="44" s="1"/>
  <c r="T21" i="44" s="1"/>
  <c r="T22" i="44" s="1"/>
  <c r="T23" i="44" s="1"/>
  <c r="T24" i="44" s="1"/>
  <c r="T25" i="44" s="1"/>
  <c r="T26" i="44" s="1"/>
  <c r="T27" i="44" s="1"/>
  <c r="T28" i="44" s="1"/>
  <c r="T29" i="44" s="1"/>
  <c r="T30" i="44" s="1"/>
  <c r="T31" i="44" s="1"/>
  <c r="T32" i="44" s="1"/>
  <c r="T33" i="44" s="1"/>
  <c r="T34" i="44" s="1"/>
  <c r="T35" i="44" s="1"/>
  <c r="T36" i="44" s="1"/>
  <c r="T37" i="44" s="1"/>
  <c r="T38" i="44" s="1"/>
  <c r="T39" i="44" s="1"/>
  <c r="T40" i="44" s="1"/>
  <c r="T41" i="44" s="1"/>
  <c r="T42" i="44" s="1"/>
  <c r="T43" i="44" s="1"/>
  <c r="T44" i="44" s="1"/>
  <c r="T45" i="44" s="1"/>
  <c r="T46" i="44" s="1"/>
  <c r="T47" i="44" s="1"/>
  <c r="T48" i="44" s="1"/>
  <c r="T49" i="44" s="1"/>
  <c r="T50" i="44" s="1"/>
  <c r="T51" i="44" s="1"/>
  <c r="T52" i="44" s="1"/>
  <c r="T53" i="44" s="1"/>
  <c r="T54" i="44" s="1"/>
  <c r="T55" i="44" s="1"/>
  <c r="T56" i="44" s="1"/>
  <c r="T57" i="44" s="1"/>
  <c r="T58" i="44" s="1"/>
  <c r="T59" i="44" s="1"/>
  <c r="T60" i="44" s="1"/>
  <c r="T61" i="44" s="1"/>
  <c r="T62" i="44" s="1"/>
  <c r="T63" i="44" s="1"/>
  <c r="T64" i="44" s="1"/>
  <c r="T65" i="44" s="1"/>
  <c r="T66" i="44" s="1"/>
  <c r="T67" i="44" s="1"/>
  <c r="T68" i="44" s="1"/>
  <c r="T69" i="44" s="1"/>
  <c r="T70" i="44" s="1"/>
  <c r="T71" i="44" s="1"/>
  <c r="T72" i="44" s="1"/>
  <c r="T73" i="44" s="1"/>
  <c r="T74" i="44" s="1"/>
  <c r="T75" i="44" s="1"/>
  <c r="T76" i="44" s="1"/>
  <c r="T77" i="44" s="1"/>
  <c r="T78" i="44" s="1"/>
  <c r="T79" i="44" s="1"/>
  <c r="T80" i="44" s="1"/>
  <c r="T81" i="44" s="1"/>
  <c r="T82" i="44" s="1"/>
  <c r="T83" i="44" s="1"/>
  <c r="T84" i="44" s="1"/>
  <c r="S5" i="44"/>
  <c r="S6" i="44" s="1"/>
  <c r="S7" i="44" s="1"/>
  <c r="S8" i="44" s="1"/>
  <c r="S9" i="44" s="1"/>
  <c r="S10" i="44" s="1"/>
  <c r="S11" i="44" s="1"/>
  <c r="S12" i="44" s="1"/>
  <c r="S13" i="44" s="1"/>
  <c r="S14" i="44" s="1"/>
  <c r="S15" i="44" s="1"/>
  <c r="S16" i="44" s="1"/>
  <c r="S17" i="44" s="1"/>
  <c r="S18" i="44" s="1"/>
  <c r="S19" i="44" s="1"/>
  <c r="S20" i="44" s="1"/>
  <c r="S21" i="44" s="1"/>
  <c r="S22" i="44" s="1"/>
  <c r="S23" i="44" s="1"/>
  <c r="S24" i="44" s="1"/>
  <c r="S25" i="44" s="1"/>
  <c r="S26" i="44" s="1"/>
  <c r="S27" i="44" s="1"/>
  <c r="S28" i="44" s="1"/>
  <c r="S29" i="44" s="1"/>
  <c r="S30" i="44" s="1"/>
  <c r="S31" i="44" s="1"/>
  <c r="S32" i="44" s="1"/>
  <c r="S33" i="44" s="1"/>
  <c r="S34" i="44" s="1"/>
  <c r="S35" i="44" s="1"/>
  <c r="S36" i="44" s="1"/>
  <c r="S37" i="44" s="1"/>
  <c r="S38" i="44" s="1"/>
  <c r="S39" i="44" s="1"/>
  <c r="S40" i="44" s="1"/>
  <c r="S41" i="44" s="1"/>
  <c r="S42" i="44" s="1"/>
  <c r="S43" i="44" s="1"/>
  <c r="S44" i="44" s="1"/>
  <c r="S45" i="44" s="1"/>
  <c r="S46" i="44" s="1"/>
  <c r="S47" i="44" s="1"/>
  <c r="S48" i="44" s="1"/>
  <c r="S49" i="44" s="1"/>
  <c r="S50" i="44" s="1"/>
  <c r="S51" i="44" s="1"/>
  <c r="S52" i="44" s="1"/>
  <c r="S53" i="44" s="1"/>
  <c r="S54" i="44" s="1"/>
  <c r="S55" i="44" s="1"/>
  <c r="S56" i="44" s="1"/>
  <c r="S57" i="44" s="1"/>
  <c r="S58" i="44" s="1"/>
  <c r="S59" i="44" s="1"/>
  <c r="S60" i="44" s="1"/>
  <c r="S61" i="44" s="1"/>
  <c r="S62" i="44" s="1"/>
  <c r="S63" i="44" s="1"/>
  <c r="S64" i="44" s="1"/>
  <c r="S65" i="44" s="1"/>
  <c r="S66" i="44" s="1"/>
  <c r="S67" i="44" s="1"/>
  <c r="S68" i="44" s="1"/>
  <c r="S69" i="44" s="1"/>
  <c r="S70" i="44" s="1"/>
  <c r="S71" i="44" s="1"/>
  <c r="S72" i="44" s="1"/>
  <c r="S73" i="44" s="1"/>
  <c r="S74" i="44" s="1"/>
  <c r="S75" i="44" s="1"/>
  <c r="S76" i="44" s="1"/>
  <c r="S77" i="44" s="1"/>
  <c r="S78" i="44" s="1"/>
  <c r="S79" i="44" s="1"/>
  <c r="S80" i="44" s="1"/>
  <c r="S81" i="44" s="1"/>
  <c r="S82" i="44" s="1"/>
  <c r="S83" i="44" s="1"/>
  <c r="S84" i="44" s="1"/>
  <c r="R5" i="44"/>
  <c r="R6" i="44" s="1"/>
  <c r="R7" i="44" s="1"/>
  <c r="R8" i="44" s="1"/>
  <c r="R9" i="44" s="1"/>
  <c r="R10" i="44" s="1"/>
  <c r="R11" i="44" s="1"/>
  <c r="R12" i="44" s="1"/>
  <c r="R13" i="44" s="1"/>
  <c r="R14" i="44" s="1"/>
  <c r="R15" i="44" s="1"/>
  <c r="R16" i="44" s="1"/>
  <c r="R17" i="44" s="1"/>
  <c r="R18" i="44" s="1"/>
  <c r="R19" i="44" s="1"/>
  <c r="R20" i="44" s="1"/>
  <c r="R21" i="44" s="1"/>
  <c r="R22" i="44" s="1"/>
  <c r="R23" i="44" s="1"/>
  <c r="R24" i="44" s="1"/>
  <c r="R25" i="44" s="1"/>
  <c r="R26" i="44" s="1"/>
  <c r="R27" i="44" s="1"/>
  <c r="R28" i="44" s="1"/>
  <c r="R29" i="44" s="1"/>
  <c r="R30" i="44" s="1"/>
  <c r="R31" i="44" s="1"/>
  <c r="R32" i="44" s="1"/>
  <c r="R33" i="44" s="1"/>
  <c r="R34" i="44" s="1"/>
  <c r="R35" i="44" s="1"/>
  <c r="R36" i="44" s="1"/>
  <c r="R37" i="44" s="1"/>
  <c r="R38" i="44" s="1"/>
  <c r="R39" i="44" s="1"/>
  <c r="R40" i="44" s="1"/>
  <c r="R41" i="44" s="1"/>
  <c r="R42" i="44" s="1"/>
  <c r="R43" i="44" s="1"/>
  <c r="R44" i="44" s="1"/>
  <c r="R45" i="44" s="1"/>
  <c r="R46" i="44" s="1"/>
  <c r="R47" i="44" s="1"/>
  <c r="R48" i="44" s="1"/>
  <c r="R49" i="44" s="1"/>
  <c r="R50" i="44" s="1"/>
  <c r="R51" i="44" s="1"/>
  <c r="R52" i="44" s="1"/>
  <c r="R53" i="44" s="1"/>
  <c r="R54" i="44" s="1"/>
  <c r="R55" i="44" s="1"/>
  <c r="R56" i="44" s="1"/>
  <c r="R57" i="44" s="1"/>
  <c r="R58" i="44" s="1"/>
  <c r="R59" i="44" s="1"/>
  <c r="R60" i="44" s="1"/>
  <c r="R61" i="44" s="1"/>
  <c r="R62" i="44" s="1"/>
  <c r="R63" i="44" s="1"/>
  <c r="R64" i="44" s="1"/>
  <c r="R65" i="44" s="1"/>
  <c r="R66" i="44" s="1"/>
  <c r="R67" i="44" s="1"/>
  <c r="R68" i="44" s="1"/>
  <c r="R69" i="44" s="1"/>
  <c r="R70" i="44" s="1"/>
  <c r="R71" i="44" s="1"/>
  <c r="R72" i="44" s="1"/>
  <c r="R73" i="44" s="1"/>
  <c r="R74" i="44" s="1"/>
  <c r="R75" i="44" s="1"/>
  <c r="R76" i="44" s="1"/>
  <c r="R77" i="44" s="1"/>
  <c r="R78" i="44" s="1"/>
  <c r="R79" i="44" s="1"/>
  <c r="R80" i="44" s="1"/>
  <c r="R81" i="44" s="1"/>
  <c r="R82" i="44" s="1"/>
  <c r="R83" i="44" s="1"/>
  <c r="R84" i="44" s="1"/>
  <c r="Q5" i="44"/>
  <c r="Q6" i="44" s="1"/>
  <c r="Q7" i="44" s="1"/>
  <c r="Q8" i="44" s="1"/>
  <c r="Q9" i="44" s="1"/>
  <c r="Q10" i="44" s="1"/>
  <c r="Q11" i="44" s="1"/>
  <c r="Q12" i="44" s="1"/>
  <c r="Q13" i="44" s="1"/>
  <c r="Q14" i="44" s="1"/>
  <c r="Q15" i="44" s="1"/>
  <c r="Q16" i="44" s="1"/>
  <c r="Q17" i="44" s="1"/>
  <c r="Q18" i="44" s="1"/>
  <c r="Q19" i="44" s="1"/>
  <c r="Q20" i="44" s="1"/>
  <c r="Q21" i="44" s="1"/>
  <c r="Q22" i="44" s="1"/>
  <c r="Q23" i="44" s="1"/>
  <c r="Q24" i="44" s="1"/>
  <c r="Q25" i="44" s="1"/>
  <c r="Q26" i="44" s="1"/>
  <c r="Q27" i="44" s="1"/>
  <c r="Q28" i="44" s="1"/>
  <c r="Q29" i="44" s="1"/>
  <c r="Q30" i="44" s="1"/>
  <c r="Q31" i="44" s="1"/>
  <c r="Q32" i="44" s="1"/>
  <c r="Q33" i="44" s="1"/>
  <c r="Q34" i="44" s="1"/>
  <c r="Q35" i="44" s="1"/>
  <c r="Q36" i="44" s="1"/>
  <c r="Q37" i="44" s="1"/>
  <c r="Q38" i="44" s="1"/>
  <c r="Q39" i="44" s="1"/>
  <c r="Q40" i="44" s="1"/>
  <c r="Q41" i="44" s="1"/>
  <c r="Q42" i="44" s="1"/>
  <c r="Q43" i="44" s="1"/>
  <c r="Q44" i="44" s="1"/>
  <c r="Q45" i="44" s="1"/>
  <c r="Q46" i="44" s="1"/>
  <c r="Q47" i="44" s="1"/>
  <c r="Q48" i="44" s="1"/>
  <c r="Q49" i="44" s="1"/>
  <c r="Q50" i="44" s="1"/>
  <c r="Q51" i="44" s="1"/>
  <c r="Q52" i="44" s="1"/>
  <c r="Q53" i="44" s="1"/>
  <c r="Q54" i="44" s="1"/>
  <c r="Q55" i="44" s="1"/>
  <c r="Q56" i="44" s="1"/>
  <c r="Q57" i="44" s="1"/>
  <c r="Q58" i="44" s="1"/>
  <c r="Q59" i="44" s="1"/>
  <c r="Q60" i="44" s="1"/>
  <c r="Q61" i="44" s="1"/>
  <c r="Q62" i="44" s="1"/>
  <c r="Q63" i="44" s="1"/>
  <c r="Q64" i="44" s="1"/>
  <c r="Q65" i="44" s="1"/>
  <c r="Q66" i="44" s="1"/>
  <c r="Q67" i="44" s="1"/>
  <c r="Q68" i="44" s="1"/>
  <c r="Q69" i="44" s="1"/>
  <c r="Q70" i="44" s="1"/>
  <c r="Q71" i="44" s="1"/>
  <c r="Q72" i="44" s="1"/>
  <c r="Q73" i="44" s="1"/>
  <c r="Q74" i="44" s="1"/>
  <c r="Q75" i="44" s="1"/>
  <c r="Q76" i="44" s="1"/>
  <c r="Q77" i="44" s="1"/>
  <c r="Q78" i="44" s="1"/>
  <c r="Q79" i="44" s="1"/>
  <c r="Q80" i="44" s="1"/>
  <c r="Q81" i="44" s="1"/>
  <c r="Q82" i="44" s="1"/>
  <c r="Q83" i="44" s="1"/>
  <c r="Q84" i="44" s="1"/>
  <c r="P5" i="44"/>
  <c r="P6" i="44" s="1"/>
  <c r="P7" i="44" s="1"/>
  <c r="P8" i="44" s="1"/>
  <c r="P9" i="44" s="1"/>
  <c r="P10" i="44" s="1"/>
  <c r="P11" i="44" s="1"/>
  <c r="P12" i="44" s="1"/>
  <c r="P13" i="44" s="1"/>
  <c r="P14" i="44" s="1"/>
  <c r="P15" i="44" s="1"/>
  <c r="P16" i="44" s="1"/>
  <c r="P17" i="44" s="1"/>
  <c r="P18" i="44" s="1"/>
  <c r="P19" i="44" s="1"/>
  <c r="P20" i="44" s="1"/>
  <c r="P21" i="44" s="1"/>
  <c r="P22" i="44" s="1"/>
  <c r="P23" i="44" s="1"/>
  <c r="P24" i="44" s="1"/>
  <c r="P25" i="44" s="1"/>
  <c r="P26" i="44" s="1"/>
  <c r="P27" i="44" s="1"/>
  <c r="P28" i="44" s="1"/>
  <c r="P29" i="44" s="1"/>
  <c r="P30" i="44" s="1"/>
  <c r="P31" i="44" s="1"/>
  <c r="P32" i="44" s="1"/>
  <c r="P33" i="44" s="1"/>
  <c r="P34" i="44" s="1"/>
  <c r="P35" i="44" s="1"/>
  <c r="P36" i="44" s="1"/>
  <c r="P37" i="44" s="1"/>
  <c r="P38" i="44" s="1"/>
  <c r="P39" i="44" s="1"/>
  <c r="P40" i="44" s="1"/>
  <c r="P41" i="44" s="1"/>
  <c r="P42" i="44" s="1"/>
  <c r="P43" i="44" s="1"/>
  <c r="P44" i="44" s="1"/>
  <c r="P45" i="44" s="1"/>
  <c r="P46" i="44" s="1"/>
  <c r="P47" i="44" s="1"/>
  <c r="P48" i="44" s="1"/>
  <c r="P49" i="44" s="1"/>
  <c r="P50" i="44" s="1"/>
  <c r="P51" i="44" s="1"/>
  <c r="P52" i="44" s="1"/>
  <c r="P53" i="44" s="1"/>
  <c r="P54" i="44" s="1"/>
  <c r="P55" i="44" s="1"/>
  <c r="P56" i="44" s="1"/>
  <c r="P57" i="44" s="1"/>
  <c r="P58" i="44" s="1"/>
  <c r="P59" i="44" s="1"/>
  <c r="P60" i="44" s="1"/>
  <c r="P61" i="44" s="1"/>
  <c r="P62" i="44" s="1"/>
  <c r="P63" i="44" s="1"/>
  <c r="P64" i="44" s="1"/>
  <c r="P65" i="44" s="1"/>
  <c r="P66" i="44" s="1"/>
  <c r="P67" i="44" s="1"/>
  <c r="P68" i="44" s="1"/>
  <c r="P69" i="44" s="1"/>
  <c r="P70" i="44" s="1"/>
  <c r="P71" i="44" s="1"/>
  <c r="P72" i="44" s="1"/>
  <c r="P73" i="44" s="1"/>
  <c r="P74" i="44" s="1"/>
  <c r="P75" i="44" s="1"/>
  <c r="P76" i="44" s="1"/>
  <c r="P77" i="44" s="1"/>
  <c r="P78" i="44" s="1"/>
  <c r="P79" i="44" s="1"/>
  <c r="P80" i="44" s="1"/>
  <c r="P81" i="44" s="1"/>
  <c r="P82" i="44" s="1"/>
  <c r="P83" i="44" s="1"/>
  <c r="P84" i="44" s="1"/>
  <c r="O5" i="44"/>
  <c r="O6" i="44" s="1"/>
  <c r="O7" i="44" s="1"/>
  <c r="O8" i="44" s="1"/>
  <c r="O9" i="44" s="1"/>
  <c r="O10" i="44" s="1"/>
  <c r="O11" i="44" s="1"/>
  <c r="O12" i="44" s="1"/>
  <c r="O13" i="44" s="1"/>
  <c r="O14" i="44" s="1"/>
  <c r="O15" i="44" s="1"/>
  <c r="O16" i="44" s="1"/>
  <c r="O17" i="44" s="1"/>
  <c r="O18" i="44" s="1"/>
  <c r="O19" i="44" s="1"/>
  <c r="O20" i="44" s="1"/>
  <c r="O21" i="44" s="1"/>
  <c r="O22" i="44" s="1"/>
  <c r="O23" i="44" s="1"/>
  <c r="O24" i="44" s="1"/>
  <c r="O25" i="44" s="1"/>
  <c r="O26" i="44" s="1"/>
  <c r="O27" i="44" s="1"/>
  <c r="O28" i="44" s="1"/>
  <c r="O29" i="44" s="1"/>
  <c r="O30" i="44" s="1"/>
  <c r="O31" i="44" s="1"/>
  <c r="O32" i="44" s="1"/>
  <c r="O33" i="44" s="1"/>
  <c r="O34" i="44" s="1"/>
  <c r="O35" i="44" s="1"/>
  <c r="O36" i="44" s="1"/>
  <c r="O37" i="44" s="1"/>
  <c r="O38" i="44" s="1"/>
  <c r="O39" i="44" s="1"/>
  <c r="O40" i="44" s="1"/>
  <c r="O41" i="44" s="1"/>
  <c r="O42" i="44" s="1"/>
  <c r="O43" i="44" s="1"/>
  <c r="O44" i="44" s="1"/>
  <c r="O45" i="44" s="1"/>
  <c r="O46" i="44" s="1"/>
  <c r="O47" i="44" s="1"/>
  <c r="O48" i="44" s="1"/>
  <c r="O49" i="44" s="1"/>
  <c r="O50" i="44" s="1"/>
  <c r="O51" i="44" s="1"/>
  <c r="O52" i="44" s="1"/>
  <c r="O53" i="44" s="1"/>
  <c r="O54" i="44" s="1"/>
  <c r="O55" i="44" s="1"/>
  <c r="O56" i="44" s="1"/>
  <c r="O57" i="44" s="1"/>
  <c r="O58" i="44" s="1"/>
  <c r="O59" i="44" s="1"/>
  <c r="O60" i="44" s="1"/>
  <c r="O61" i="44" s="1"/>
  <c r="O62" i="44" s="1"/>
  <c r="O63" i="44" s="1"/>
  <c r="O64" i="44" s="1"/>
  <c r="O65" i="44" s="1"/>
  <c r="O66" i="44" s="1"/>
  <c r="O67" i="44" s="1"/>
  <c r="O68" i="44" s="1"/>
  <c r="O69" i="44" s="1"/>
  <c r="O70" i="44" s="1"/>
  <c r="O71" i="44" s="1"/>
  <c r="O72" i="44" s="1"/>
  <c r="O73" i="44" s="1"/>
  <c r="O74" i="44" s="1"/>
  <c r="O75" i="44" s="1"/>
  <c r="O76" i="44" s="1"/>
  <c r="O77" i="44" s="1"/>
  <c r="O78" i="44" s="1"/>
  <c r="O79" i="44" s="1"/>
  <c r="O80" i="44" s="1"/>
  <c r="O81" i="44" s="1"/>
  <c r="O82" i="44" s="1"/>
  <c r="O83" i="44" s="1"/>
  <c r="O84" i="44" s="1"/>
  <c r="N5" i="44"/>
  <c r="N6" i="44" s="1"/>
  <c r="N7" i="44" s="1"/>
  <c r="N8" i="44" s="1"/>
  <c r="N9" i="44" s="1"/>
  <c r="N10" i="44" s="1"/>
  <c r="N11" i="44" s="1"/>
  <c r="N12" i="44" s="1"/>
  <c r="N13" i="44" s="1"/>
  <c r="N14" i="44" s="1"/>
  <c r="N15" i="44" s="1"/>
  <c r="N16" i="44" s="1"/>
  <c r="N17" i="44" s="1"/>
  <c r="N18" i="44" s="1"/>
  <c r="N19" i="44" s="1"/>
  <c r="N20" i="44" s="1"/>
  <c r="N21" i="44" s="1"/>
  <c r="N22" i="44" s="1"/>
  <c r="N23" i="44" s="1"/>
  <c r="N24" i="44" s="1"/>
  <c r="N25" i="44" s="1"/>
  <c r="N26" i="44" s="1"/>
  <c r="N27" i="44" s="1"/>
  <c r="N28" i="44" s="1"/>
  <c r="N29" i="44" s="1"/>
  <c r="N30" i="44" s="1"/>
  <c r="N31" i="44" s="1"/>
  <c r="N32" i="44" s="1"/>
  <c r="N33" i="44" s="1"/>
  <c r="N34" i="44" s="1"/>
  <c r="N35" i="44" s="1"/>
  <c r="N36" i="44" s="1"/>
  <c r="N37" i="44" s="1"/>
  <c r="N38" i="44" s="1"/>
  <c r="N39" i="44" s="1"/>
  <c r="N40" i="44" s="1"/>
  <c r="N41" i="44" s="1"/>
  <c r="N42" i="44" s="1"/>
  <c r="N43" i="44" s="1"/>
  <c r="N44" i="44" s="1"/>
  <c r="N45" i="44" s="1"/>
  <c r="N46" i="44" s="1"/>
  <c r="N47" i="44" s="1"/>
  <c r="N48" i="44" s="1"/>
  <c r="N49" i="44" s="1"/>
  <c r="N50" i="44" s="1"/>
  <c r="N51" i="44" s="1"/>
  <c r="N52" i="44" s="1"/>
  <c r="N53" i="44" s="1"/>
  <c r="N54" i="44" s="1"/>
  <c r="N55" i="44" s="1"/>
  <c r="N56" i="44" s="1"/>
  <c r="N57" i="44" s="1"/>
  <c r="N58" i="44" s="1"/>
  <c r="N59" i="44" s="1"/>
  <c r="N60" i="44" s="1"/>
  <c r="N61" i="44" s="1"/>
  <c r="N62" i="44" s="1"/>
  <c r="N63" i="44" s="1"/>
  <c r="N64" i="44" s="1"/>
  <c r="N65" i="44" s="1"/>
  <c r="N66" i="44" s="1"/>
  <c r="N67" i="44" s="1"/>
  <c r="N68" i="44" s="1"/>
  <c r="N69" i="44" s="1"/>
  <c r="N70" i="44" s="1"/>
  <c r="N71" i="44" s="1"/>
  <c r="N72" i="44" s="1"/>
  <c r="N73" i="44" s="1"/>
  <c r="N74" i="44" s="1"/>
  <c r="N75" i="44" s="1"/>
  <c r="N76" i="44" s="1"/>
  <c r="N77" i="44" s="1"/>
  <c r="N78" i="44" s="1"/>
  <c r="N79" i="44" s="1"/>
  <c r="N80" i="44" s="1"/>
  <c r="N81" i="44" s="1"/>
  <c r="N82" i="44" s="1"/>
  <c r="N83" i="44" s="1"/>
  <c r="N84" i="44" s="1"/>
  <c r="M5" i="44"/>
  <c r="M6" i="44" s="1"/>
  <c r="M7" i="44" s="1"/>
  <c r="M8" i="44" s="1"/>
  <c r="M9" i="44" s="1"/>
  <c r="M10" i="44" s="1"/>
  <c r="M11" i="44" s="1"/>
  <c r="M12" i="44" s="1"/>
  <c r="M13" i="44" s="1"/>
  <c r="M14" i="44" s="1"/>
  <c r="M15" i="44" s="1"/>
  <c r="M16" i="44" s="1"/>
  <c r="M17" i="44" s="1"/>
  <c r="M18" i="44" s="1"/>
  <c r="M19" i="44" s="1"/>
  <c r="M20" i="44" s="1"/>
  <c r="M21" i="44" s="1"/>
  <c r="M22" i="44" s="1"/>
  <c r="M23" i="44" s="1"/>
  <c r="M24" i="44" s="1"/>
  <c r="M25" i="44" s="1"/>
  <c r="M26" i="44" s="1"/>
  <c r="M27" i="44" s="1"/>
  <c r="M28" i="44" s="1"/>
  <c r="M29" i="44" s="1"/>
  <c r="M30" i="44" s="1"/>
  <c r="M31" i="44" s="1"/>
  <c r="M32" i="44" s="1"/>
  <c r="M33" i="44" s="1"/>
  <c r="M34" i="44" s="1"/>
  <c r="M35" i="44" s="1"/>
  <c r="M36" i="44" s="1"/>
  <c r="M37" i="44" s="1"/>
  <c r="M38" i="44" s="1"/>
  <c r="M39" i="44" s="1"/>
  <c r="M40" i="44" s="1"/>
  <c r="M41" i="44" s="1"/>
  <c r="M42" i="44" s="1"/>
  <c r="M43" i="44" s="1"/>
  <c r="M44" i="44" s="1"/>
  <c r="M45" i="44" s="1"/>
  <c r="M46" i="44" s="1"/>
  <c r="M47" i="44" s="1"/>
  <c r="M48" i="44" s="1"/>
  <c r="M49" i="44" s="1"/>
  <c r="M50" i="44" s="1"/>
  <c r="M51" i="44" s="1"/>
  <c r="M52" i="44" s="1"/>
  <c r="M53" i="44" s="1"/>
  <c r="M54" i="44" s="1"/>
  <c r="M55" i="44" s="1"/>
  <c r="M56" i="44" s="1"/>
  <c r="M57" i="44" s="1"/>
  <c r="M58" i="44" s="1"/>
  <c r="M59" i="44" s="1"/>
  <c r="M60" i="44" s="1"/>
  <c r="M61" i="44" s="1"/>
  <c r="M62" i="44" s="1"/>
  <c r="M63" i="44" s="1"/>
  <c r="M64" i="44" s="1"/>
  <c r="M65" i="44" s="1"/>
  <c r="M66" i="44" s="1"/>
  <c r="M67" i="44" s="1"/>
  <c r="M68" i="44" s="1"/>
  <c r="M69" i="44" s="1"/>
  <c r="M70" i="44" s="1"/>
  <c r="M71" i="44" s="1"/>
  <c r="M72" i="44" s="1"/>
  <c r="M73" i="44" s="1"/>
  <c r="M74" i="44" s="1"/>
  <c r="M75" i="44" s="1"/>
  <c r="M76" i="44" s="1"/>
  <c r="M77" i="44" s="1"/>
  <c r="M78" i="44" s="1"/>
  <c r="M79" i="44" s="1"/>
  <c r="M80" i="44" s="1"/>
  <c r="M81" i="44" s="1"/>
  <c r="M82" i="44" s="1"/>
  <c r="M83" i="44" s="1"/>
  <c r="M84" i="44" s="1"/>
  <c r="L5" i="44"/>
  <c r="L6" i="44" s="1"/>
  <c r="L7" i="44" s="1"/>
  <c r="L8" i="44" s="1"/>
  <c r="L9" i="44" s="1"/>
  <c r="L10" i="44" s="1"/>
  <c r="L11" i="44" s="1"/>
  <c r="L12" i="44" s="1"/>
  <c r="L13" i="44" s="1"/>
  <c r="L14" i="44" s="1"/>
  <c r="L15" i="44" s="1"/>
  <c r="L16" i="44" s="1"/>
  <c r="L17" i="44" s="1"/>
  <c r="L18" i="44" s="1"/>
  <c r="L19" i="44" s="1"/>
  <c r="L20" i="44" s="1"/>
  <c r="L21" i="44" s="1"/>
  <c r="L22" i="44" s="1"/>
  <c r="L23" i="44" s="1"/>
  <c r="L24" i="44" s="1"/>
  <c r="L25" i="44" s="1"/>
  <c r="L26" i="44" s="1"/>
  <c r="L27" i="44" s="1"/>
  <c r="L28" i="44" s="1"/>
  <c r="L29" i="44" s="1"/>
  <c r="L30" i="44" s="1"/>
  <c r="L31" i="44" s="1"/>
  <c r="L32" i="44" s="1"/>
  <c r="L33" i="44" s="1"/>
  <c r="L34" i="44" s="1"/>
  <c r="L35" i="44" s="1"/>
  <c r="L36" i="44" s="1"/>
  <c r="L37" i="44" s="1"/>
  <c r="L38" i="44" s="1"/>
  <c r="L39" i="44" s="1"/>
  <c r="L40" i="44" s="1"/>
  <c r="L41" i="44" s="1"/>
  <c r="L42" i="44" s="1"/>
  <c r="L43" i="44" s="1"/>
  <c r="L44" i="44" s="1"/>
  <c r="L45" i="44" s="1"/>
  <c r="L46" i="44" s="1"/>
  <c r="L47" i="44" s="1"/>
  <c r="L48" i="44" s="1"/>
  <c r="L49" i="44" s="1"/>
  <c r="L50" i="44" s="1"/>
  <c r="L51" i="44" s="1"/>
  <c r="L52" i="44" s="1"/>
  <c r="L53" i="44" s="1"/>
  <c r="L54" i="44" s="1"/>
  <c r="L55" i="44" s="1"/>
  <c r="L56" i="44" s="1"/>
  <c r="L57" i="44" s="1"/>
  <c r="L58" i="44" s="1"/>
  <c r="L59" i="44" s="1"/>
  <c r="L60" i="44" s="1"/>
  <c r="L61" i="44" s="1"/>
  <c r="L62" i="44" s="1"/>
  <c r="L63" i="44" s="1"/>
  <c r="L64" i="44" s="1"/>
  <c r="L65" i="44" s="1"/>
  <c r="L66" i="44" s="1"/>
  <c r="L67" i="44" s="1"/>
  <c r="L68" i="44" s="1"/>
  <c r="L69" i="44" s="1"/>
  <c r="L70" i="44" s="1"/>
  <c r="L71" i="44" s="1"/>
  <c r="L72" i="44" s="1"/>
  <c r="L73" i="44" s="1"/>
  <c r="L74" i="44" s="1"/>
  <c r="L75" i="44" s="1"/>
  <c r="L76" i="44" s="1"/>
  <c r="L77" i="44" s="1"/>
  <c r="L78" i="44" s="1"/>
  <c r="L79" i="44" s="1"/>
  <c r="L80" i="44" s="1"/>
  <c r="L81" i="44" s="1"/>
  <c r="L82" i="44" s="1"/>
  <c r="L83" i="44" s="1"/>
  <c r="L84" i="44" s="1"/>
  <c r="K5" i="44"/>
  <c r="K6" i="44" s="1"/>
  <c r="K7" i="44" s="1"/>
  <c r="K8" i="44" s="1"/>
  <c r="K9" i="44" s="1"/>
  <c r="K10" i="44" s="1"/>
  <c r="K11" i="44" s="1"/>
  <c r="K12" i="44" s="1"/>
  <c r="K13" i="44" s="1"/>
  <c r="K14" i="44" s="1"/>
  <c r="K15" i="44" s="1"/>
  <c r="K16" i="44" s="1"/>
  <c r="K17" i="44" s="1"/>
  <c r="K18" i="44" s="1"/>
  <c r="K19" i="44" s="1"/>
  <c r="K20" i="44" s="1"/>
  <c r="K21" i="44" s="1"/>
  <c r="K22" i="44" s="1"/>
  <c r="K23" i="44" s="1"/>
  <c r="K24" i="44" s="1"/>
  <c r="K25" i="44" s="1"/>
  <c r="K26" i="44" s="1"/>
  <c r="K27" i="44" s="1"/>
  <c r="K28" i="44" s="1"/>
  <c r="K29" i="44" s="1"/>
  <c r="K30" i="44" s="1"/>
  <c r="K31" i="44" s="1"/>
  <c r="K32" i="44" s="1"/>
  <c r="K33" i="44" s="1"/>
  <c r="K34" i="44" s="1"/>
  <c r="K35" i="44" s="1"/>
  <c r="K36" i="44" s="1"/>
  <c r="K37" i="44" s="1"/>
  <c r="K38" i="44" s="1"/>
  <c r="K39" i="44" s="1"/>
  <c r="K40" i="44" s="1"/>
  <c r="K41" i="44" s="1"/>
  <c r="K42" i="44" s="1"/>
  <c r="K43" i="44" s="1"/>
  <c r="K44" i="44" s="1"/>
  <c r="K45" i="44" s="1"/>
  <c r="K46" i="44" s="1"/>
  <c r="K47" i="44" s="1"/>
  <c r="K48" i="44" s="1"/>
  <c r="K49" i="44" s="1"/>
  <c r="K50" i="44" s="1"/>
  <c r="K51" i="44" s="1"/>
  <c r="K52" i="44" s="1"/>
  <c r="K53" i="44" s="1"/>
  <c r="K54" i="44" s="1"/>
  <c r="K55" i="44" s="1"/>
  <c r="K56" i="44" s="1"/>
  <c r="K57" i="44" s="1"/>
  <c r="K58" i="44" s="1"/>
  <c r="K59" i="44" s="1"/>
  <c r="K60" i="44" s="1"/>
  <c r="K61" i="44" s="1"/>
  <c r="K62" i="44" s="1"/>
  <c r="K63" i="44" s="1"/>
  <c r="K64" i="44" s="1"/>
  <c r="K65" i="44" s="1"/>
  <c r="K66" i="44" s="1"/>
  <c r="K67" i="44" s="1"/>
  <c r="K68" i="44" s="1"/>
  <c r="K69" i="44" s="1"/>
  <c r="K70" i="44" s="1"/>
  <c r="K71" i="44" s="1"/>
  <c r="K72" i="44" s="1"/>
  <c r="K73" i="44" s="1"/>
  <c r="K74" i="44" s="1"/>
  <c r="K75" i="44" s="1"/>
  <c r="K76" i="44" s="1"/>
  <c r="K77" i="44" s="1"/>
  <c r="K78" i="44" s="1"/>
  <c r="K79" i="44" s="1"/>
  <c r="K80" i="44" s="1"/>
  <c r="K81" i="44" s="1"/>
  <c r="K82" i="44" s="1"/>
  <c r="K83" i="44" s="1"/>
  <c r="K84" i="44" s="1"/>
  <c r="J5" i="44"/>
  <c r="J6" i="44" s="1"/>
  <c r="J7" i="44" s="1"/>
  <c r="J8" i="44" s="1"/>
  <c r="J9" i="44" s="1"/>
  <c r="J10" i="44" s="1"/>
  <c r="J11" i="44" s="1"/>
  <c r="J12" i="44" s="1"/>
  <c r="J13" i="44" s="1"/>
  <c r="J14" i="44" s="1"/>
  <c r="J15" i="44" s="1"/>
  <c r="J16" i="44" s="1"/>
  <c r="J17" i="44" s="1"/>
  <c r="J18" i="44" s="1"/>
  <c r="J19" i="44" s="1"/>
  <c r="J20" i="44" s="1"/>
  <c r="J21" i="44" s="1"/>
  <c r="J22" i="44" s="1"/>
  <c r="J23" i="44" s="1"/>
  <c r="J24" i="44" s="1"/>
  <c r="J25" i="44" s="1"/>
  <c r="J26" i="44" s="1"/>
  <c r="J27" i="44" s="1"/>
  <c r="J28" i="44" s="1"/>
  <c r="J29" i="44" s="1"/>
  <c r="J30" i="44" s="1"/>
  <c r="J31" i="44" s="1"/>
  <c r="J32" i="44" s="1"/>
  <c r="J33" i="44" s="1"/>
  <c r="J34" i="44" s="1"/>
  <c r="J35" i="44" s="1"/>
  <c r="J36" i="44" s="1"/>
  <c r="J37" i="44" s="1"/>
  <c r="J38" i="44" s="1"/>
  <c r="J39" i="44" s="1"/>
  <c r="J40" i="44" s="1"/>
  <c r="J41" i="44" s="1"/>
  <c r="J42" i="44" s="1"/>
  <c r="J43" i="44" s="1"/>
  <c r="J44" i="44" s="1"/>
  <c r="J45" i="44" s="1"/>
  <c r="J46" i="44" s="1"/>
  <c r="J47" i="44" s="1"/>
  <c r="J48" i="44" s="1"/>
  <c r="J49" i="44" s="1"/>
  <c r="J50" i="44" s="1"/>
  <c r="J51" i="44" s="1"/>
  <c r="J52" i="44" s="1"/>
  <c r="J53" i="44" s="1"/>
  <c r="J54" i="44" s="1"/>
  <c r="J55" i="44" s="1"/>
  <c r="J56" i="44" s="1"/>
  <c r="J57" i="44" s="1"/>
  <c r="J58" i="44" s="1"/>
  <c r="J59" i="44" s="1"/>
  <c r="J60" i="44" s="1"/>
  <c r="J61" i="44" s="1"/>
  <c r="J62" i="44" s="1"/>
  <c r="J63" i="44" s="1"/>
  <c r="J64" i="44" s="1"/>
  <c r="J65" i="44" s="1"/>
  <c r="J66" i="44" s="1"/>
  <c r="J67" i="44" s="1"/>
  <c r="J68" i="44" s="1"/>
  <c r="J69" i="44" s="1"/>
  <c r="J70" i="44" s="1"/>
  <c r="J71" i="44" s="1"/>
  <c r="J72" i="44" s="1"/>
  <c r="J73" i="44" s="1"/>
  <c r="J74" i="44" s="1"/>
  <c r="J75" i="44" s="1"/>
  <c r="J76" i="44" s="1"/>
  <c r="J77" i="44" s="1"/>
  <c r="J78" i="44" s="1"/>
  <c r="J79" i="44" s="1"/>
  <c r="J80" i="44" s="1"/>
  <c r="J81" i="44" s="1"/>
  <c r="J82" i="44" s="1"/>
  <c r="J83" i="44" s="1"/>
  <c r="J84" i="44" s="1"/>
  <c r="I5" i="44"/>
  <c r="I6" i="44" s="1"/>
  <c r="I7" i="44" s="1"/>
  <c r="I8" i="44" s="1"/>
  <c r="I9" i="44" s="1"/>
  <c r="I10" i="44" s="1"/>
  <c r="I11" i="44" s="1"/>
  <c r="I12" i="44" s="1"/>
  <c r="I13" i="44" s="1"/>
  <c r="I14" i="44" s="1"/>
  <c r="I15" i="44" s="1"/>
  <c r="I16" i="44" s="1"/>
  <c r="I17" i="44" s="1"/>
  <c r="I18" i="44" s="1"/>
  <c r="I19" i="44" s="1"/>
  <c r="I20" i="44" s="1"/>
  <c r="I21" i="44" s="1"/>
  <c r="I22" i="44" s="1"/>
  <c r="I23" i="44" s="1"/>
  <c r="I24" i="44" s="1"/>
  <c r="I25" i="44" s="1"/>
  <c r="I26" i="44" s="1"/>
  <c r="I27" i="44" s="1"/>
  <c r="I28" i="44" s="1"/>
  <c r="I29" i="44" s="1"/>
  <c r="I30" i="44" s="1"/>
  <c r="I31" i="44" s="1"/>
  <c r="I32" i="44" s="1"/>
  <c r="I33" i="44" s="1"/>
  <c r="I34" i="44" s="1"/>
  <c r="I35" i="44" s="1"/>
  <c r="I36" i="44" s="1"/>
  <c r="I37" i="44" s="1"/>
  <c r="I38" i="44" s="1"/>
  <c r="I39" i="44" s="1"/>
  <c r="I40" i="44" s="1"/>
  <c r="I41" i="44" s="1"/>
  <c r="I42" i="44" s="1"/>
  <c r="I43" i="44" s="1"/>
  <c r="I44" i="44" s="1"/>
  <c r="I45" i="44" s="1"/>
  <c r="I46" i="44" s="1"/>
  <c r="I47" i="44" s="1"/>
  <c r="I48" i="44" s="1"/>
  <c r="I49" i="44" s="1"/>
  <c r="I50" i="44" s="1"/>
  <c r="I51" i="44" s="1"/>
  <c r="I52" i="44" s="1"/>
  <c r="I53" i="44" s="1"/>
  <c r="I54" i="44" s="1"/>
  <c r="I55" i="44" s="1"/>
  <c r="I56" i="44" s="1"/>
  <c r="I57" i="44" s="1"/>
  <c r="I58" i="44" s="1"/>
  <c r="I59" i="44" s="1"/>
  <c r="I60" i="44" s="1"/>
  <c r="I61" i="44" s="1"/>
  <c r="I62" i="44" s="1"/>
  <c r="I63" i="44" s="1"/>
  <c r="I64" i="44" s="1"/>
  <c r="I65" i="44" s="1"/>
  <c r="I66" i="44" s="1"/>
  <c r="I67" i="44" s="1"/>
  <c r="I68" i="44" s="1"/>
  <c r="I69" i="44" s="1"/>
  <c r="I70" i="44" s="1"/>
  <c r="I71" i="44" s="1"/>
  <c r="I72" i="44" s="1"/>
  <c r="I73" i="44" s="1"/>
  <c r="I74" i="44" s="1"/>
  <c r="I75" i="44" s="1"/>
  <c r="I76" i="44" s="1"/>
  <c r="I77" i="44" s="1"/>
  <c r="I78" i="44" s="1"/>
  <c r="I79" i="44" s="1"/>
  <c r="I80" i="44" s="1"/>
  <c r="I81" i="44" s="1"/>
  <c r="I82" i="44" s="1"/>
  <c r="I83" i="44" s="1"/>
  <c r="I84" i="44" s="1"/>
  <c r="H5" i="44"/>
  <c r="H6" i="44" s="1"/>
  <c r="H7" i="44" s="1"/>
  <c r="H8" i="44" s="1"/>
  <c r="H9" i="44" s="1"/>
  <c r="H10" i="44" s="1"/>
  <c r="H11" i="44" s="1"/>
  <c r="H12" i="44" s="1"/>
  <c r="H13" i="44" s="1"/>
  <c r="H14" i="44" s="1"/>
  <c r="H15" i="44" s="1"/>
  <c r="H16" i="44" s="1"/>
  <c r="H17" i="44" s="1"/>
  <c r="H18" i="44" s="1"/>
  <c r="H19" i="44" s="1"/>
  <c r="H20" i="44" s="1"/>
  <c r="H21" i="44" s="1"/>
  <c r="H22" i="44" s="1"/>
  <c r="H23" i="44" s="1"/>
  <c r="H24" i="44" s="1"/>
  <c r="H25" i="44" s="1"/>
  <c r="H26" i="44" s="1"/>
  <c r="H27" i="44" s="1"/>
  <c r="H28" i="44" s="1"/>
  <c r="H29" i="44" s="1"/>
  <c r="H30" i="44" s="1"/>
  <c r="H31" i="44" s="1"/>
  <c r="H32" i="44" s="1"/>
  <c r="H33" i="44" s="1"/>
  <c r="H34" i="44" s="1"/>
  <c r="H35" i="44" s="1"/>
  <c r="H36" i="44" s="1"/>
  <c r="H37" i="44" s="1"/>
  <c r="H38" i="44" s="1"/>
  <c r="H39" i="44" s="1"/>
  <c r="H40" i="44" s="1"/>
  <c r="H41" i="44" s="1"/>
  <c r="H42" i="44" s="1"/>
  <c r="H43" i="44" s="1"/>
  <c r="H44" i="44" s="1"/>
  <c r="H45" i="44" s="1"/>
  <c r="H46" i="44" s="1"/>
  <c r="H47" i="44" s="1"/>
  <c r="H48" i="44" s="1"/>
  <c r="H49" i="44" s="1"/>
  <c r="H50" i="44" s="1"/>
  <c r="H51" i="44" s="1"/>
  <c r="H52" i="44" s="1"/>
  <c r="H53" i="44" s="1"/>
  <c r="H54" i="44" s="1"/>
  <c r="H55" i="44" s="1"/>
  <c r="H56" i="44" s="1"/>
  <c r="H57" i="44" s="1"/>
  <c r="H58" i="44" s="1"/>
  <c r="H59" i="44" s="1"/>
  <c r="H60" i="44" s="1"/>
  <c r="H61" i="44" s="1"/>
  <c r="H62" i="44" s="1"/>
  <c r="H63" i="44" s="1"/>
  <c r="H64" i="44" s="1"/>
  <c r="H65" i="44" s="1"/>
  <c r="H66" i="44" s="1"/>
  <c r="H67" i="44" s="1"/>
  <c r="H68" i="44" s="1"/>
  <c r="H69" i="44" s="1"/>
  <c r="H70" i="44" s="1"/>
  <c r="H71" i="44" s="1"/>
  <c r="H72" i="44" s="1"/>
  <c r="H73" i="44" s="1"/>
  <c r="H74" i="44" s="1"/>
  <c r="H75" i="44" s="1"/>
  <c r="H76" i="44" s="1"/>
  <c r="H77" i="44" s="1"/>
  <c r="H78" i="44" s="1"/>
  <c r="H79" i="44" s="1"/>
  <c r="H80" i="44" s="1"/>
  <c r="H81" i="44" s="1"/>
  <c r="H82" i="44" s="1"/>
  <c r="H83" i="44" s="1"/>
  <c r="H84" i="44" s="1"/>
  <c r="G5" i="44"/>
  <c r="G6" i="44" s="1"/>
  <c r="G7" i="44" s="1"/>
  <c r="G8" i="44" s="1"/>
  <c r="G9" i="44" s="1"/>
  <c r="G10" i="44" s="1"/>
  <c r="G11" i="44" s="1"/>
  <c r="G12" i="44" s="1"/>
  <c r="G13" i="44" s="1"/>
  <c r="G14" i="44" s="1"/>
  <c r="G15" i="44" s="1"/>
  <c r="G16" i="44" s="1"/>
  <c r="G17" i="44" s="1"/>
  <c r="G18" i="44" s="1"/>
  <c r="G19" i="44" s="1"/>
  <c r="G20" i="44" s="1"/>
  <c r="G21" i="44" s="1"/>
  <c r="G22" i="44" s="1"/>
  <c r="G23" i="44" s="1"/>
  <c r="G24" i="44" s="1"/>
  <c r="G25" i="44" s="1"/>
  <c r="G26" i="44" s="1"/>
  <c r="G27" i="44" s="1"/>
  <c r="G28" i="44" s="1"/>
  <c r="G29" i="44" s="1"/>
  <c r="G30" i="44" s="1"/>
  <c r="G31" i="44" s="1"/>
  <c r="G32" i="44" s="1"/>
  <c r="G33" i="44" s="1"/>
  <c r="G34" i="44" s="1"/>
  <c r="G35" i="44" s="1"/>
  <c r="G36" i="44" s="1"/>
  <c r="G37" i="44" s="1"/>
  <c r="G38" i="44" s="1"/>
  <c r="G39" i="44" s="1"/>
  <c r="G40" i="44" s="1"/>
  <c r="G41" i="44" s="1"/>
  <c r="G42" i="44" s="1"/>
  <c r="G43" i="44" s="1"/>
  <c r="G44" i="44" s="1"/>
  <c r="G45" i="44" s="1"/>
  <c r="G46" i="44" s="1"/>
  <c r="G47" i="44" s="1"/>
  <c r="G48" i="44" s="1"/>
  <c r="G49" i="44" s="1"/>
  <c r="G50" i="44" s="1"/>
  <c r="G51" i="44" s="1"/>
  <c r="G52" i="44" s="1"/>
  <c r="G53" i="44" s="1"/>
  <c r="G54" i="44" s="1"/>
  <c r="G55" i="44" s="1"/>
  <c r="G56" i="44" s="1"/>
  <c r="G57" i="44" s="1"/>
  <c r="G58" i="44" s="1"/>
  <c r="G59" i="44" s="1"/>
  <c r="G60" i="44" s="1"/>
  <c r="G61" i="44" s="1"/>
  <c r="G62" i="44" s="1"/>
  <c r="G63" i="44" s="1"/>
  <c r="G64" i="44" s="1"/>
  <c r="G65" i="44" s="1"/>
  <c r="G66" i="44" s="1"/>
  <c r="G67" i="44" s="1"/>
  <c r="G68" i="44" s="1"/>
  <c r="G69" i="44" s="1"/>
  <c r="G70" i="44" s="1"/>
  <c r="G71" i="44" s="1"/>
  <c r="G72" i="44" s="1"/>
  <c r="G73" i="44" s="1"/>
  <c r="G74" i="44" s="1"/>
  <c r="G75" i="44" s="1"/>
  <c r="G76" i="44" s="1"/>
  <c r="G77" i="44" s="1"/>
  <c r="G78" i="44" s="1"/>
  <c r="G79" i="44" s="1"/>
  <c r="G80" i="44" s="1"/>
  <c r="G81" i="44" s="1"/>
  <c r="G82" i="44" s="1"/>
  <c r="G83" i="44" s="1"/>
  <c r="G84" i="44" s="1"/>
  <c r="F5" i="44"/>
  <c r="F6" i="44" s="1"/>
  <c r="F7" i="44" s="1"/>
  <c r="F8" i="44" s="1"/>
  <c r="F9" i="44" s="1"/>
  <c r="F10" i="44" s="1"/>
  <c r="F11" i="44" s="1"/>
  <c r="F12" i="44" s="1"/>
  <c r="F13" i="44" s="1"/>
  <c r="F14" i="44" s="1"/>
  <c r="F15" i="44" s="1"/>
  <c r="F16" i="44" s="1"/>
  <c r="F17" i="44" s="1"/>
  <c r="F18" i="44" s="1"/>
  <c r="F19" i="44" s="1"/>
  <c r="F20" i="44" s="1"/>
  <c r="F21" i="44" s="1"/>
  <c r="F22" i="44" s="1"/>
  <c r="F23" i="44" s="1"/>
  <c r="F24" i="44" s="1"/>
  <c r="F25" i="44" s="1"/>
  <c r="F26" i="44" s="1"/>
  <c r="F27" i="44" s="1"/>
  <c r="F28" i="44" s="1"/>
  <c r="F29" i="44" s="1"/>
  <c r="F30" i="44" s="1"/>
  <c r="F31" i="44" s="1"/>
  <c r="F32" i="44" s="1"/>
  <c r="F33" i="44" s="1"/>
  <c r="F34" i="44" s="1"/>
  <c r="F35" i="44" s="1"/>
  <c r="F36" i="44" s="1"/>
  <c r="F37" i="44" s="1"/>
  <c r="F38" i="44" s="1"/>
  <c r="F39" i="44" s="1"/>
  <c r="F40" i="44" s="1"/>
  <c r="F41" i="44" s="1"/>
  <c r="F42" i="44" s="1"/>
  <c r="F43" i="44" s="1"/>
  <c r="F44" i="44" s="1"/>
  <c r="F45" i="44" s="1"/>
  <c r="F46" i="44" s="1"/>
  <c r="F47" i="44" s="1"/>
  <c r="F48" i="44" s="1"/>
  <c r="F49" i="44" s="1"/>
  <c r="F50" i="44" s="1"/>
  <c r="F51" i="44" s="1"/>
  <c r="F52" i="44" s="1"/>
  <c r="F53" i="44" s="1"/>
  <c r="F54" i="44" s="1"/>
  <c r="F55" i="44" s="1"/>
  <c r="F56" i="44" s="1"/>
  <c r="F57" i="44" s="1"/>
  <c r="F58" i="44" s="1"/>
  <c r="F59" i="44" s="1"/>
  <c r="F60" i="44" s="1"/>
  <c r="F61" i="44" s="1"/>
  <c r="F62" i="44" s="1"/>
  <c r="F63" i="44" s="1"/>
  <c r="F64" i="44" s="1"/>
  <c r="F65" i="44" s="1"/>
  <c r="F66" i="44" s="1"/>
  <c r="F67" i="44" s="1"/>
  <c r="F68" i="44" s="1"/>
  <c r="F69" i="44" s="1"/>
  <c r="F70" i="44" s="1"/>
  <c r="F71" i="44" s="1"/>
  <c r="F72" i="44" s="1"/>
  <c r="F73" i="44" s="1"/>
  <c r="F74" i="44" s="1"/>
  <c r="F75" i="44" s="1"/>
  <c r="F76" i="44" s="1"/>
  <c r="F77" i="44" s="1"/>
  <c r="F78" i="44" s="1"/>
  <c r="F79" i="44" s="1"/>
  <c r="F80" i="44" s="1"/>
  <c r="F81" i="44" s="1"/>
  <c r="F82" i="44" s="1"/>
  <c r="F83" i="44" s="1"/>
  <c r="F84" i="44" s="1"/>
  <c r="E5" i="44"/>
  <c r="E6" i="44" s="1"/>
  <c r="E7" i="44" s="1"/>
  <c r="E8" i="44" s="1"/>
  <c r="E9" i="44" s="1"/>
  <c r="E10" i="44" s="1"/>
  <c r="E11" i="44" s="1"/>
  <c r="E12" i="44" s="1"/>
  <c r="E13" i="44" s="1"/>
  <c r="E14" i="44" s="1"/>
  <c r="E15" i="44" s="1"/>
  <c r="E16" i="44" s="1"/>
  <c r="E17" i="44" s="1"/>
  <c r="E18" i="44" s="1"/>
  <c r="E19" i="44" s="1"/>
  <c r="E20" i="44" s="1"/>
  <c r="E21" i="44" s="1"/>
  <c r="E22" i="44" s="1"/>
  <c r="E23" i="44" s="1"/>
  <c r="E24" i="44" s="1"/>
  <c r="E25" i="44" s="1"/>
  <c r="E26" i="44" s="1"/>
  <c r="E27" i="44" s="1"/>
  <c r="E28" i="44" s="1"/>
  <c r="E29" i="44" s="1"/>
  <c r="E30" i="44" s="1"/>
  <c r="E31" i="44" s="1"/>
  <c r="E32" i="44" s="1"/>
  <c r="E33" i="44" s="1"/>
  <c r="E34" i="44" s="1"/>
  <c r="E35" i="44" s="1"/>
  <c r="E36" i="44" s="1"/>
  <c r="E37" i="44" s="1"/>
  <c r="E38" i="44" s="1"/>
  <c r="E39" i="44" s="1"/>
  <c r="E40" i="44" s="1"/>
  <c r="E41" i="44" s="1"/>
  <c r="E42" i="44" s="1"/>
  <c r="E43" i="44" s="1"/>
  <c r="E44" i="44" s="1"/>
  <c r="E45" i="44" s="1"/>
  <c r="E46" i="44" s="1"/>
  <c r="E47" i="44" s="1"/>
  <c r="E48" i="44" s="1"/>
  <c r="E49" i="44" s="1"/>
  <c r="E50" i="44" s="1"/>
  <c r="E51" i="44" s="1"/>
  <c r="E52" i="44" s="1"/>
  <c r="E53" i="44" s="1"/>
  <c r="E54" i="44" s="1"/>
  <c r="E55" i="44" s="1"/>
  <c r="E56" i="44" s="1"/>
  <c r="E57" i="44" s="1"/>
  <c r="E58" i="44" s="1"/>
  <c r="E59" i="44" s="1"/>
  <c r="E60" i="44" s="1"/>
  <c r="E61" i="44" s="1"/>
  <c r="E62" i="44" s="1"/>
  <c r="E63" i="44" s="1"/>
  <c r="E64" i="44" s="1"/>
  <c r="E65" i="44" s="1"/>
  <c r="E66" i="44" s="1"/>
  <c r="E67" i="44" s="1"/>
  <c r="E68" i="44" s="1"/>
  <c r="E69" i="44" s="1"/>
  <c r="E70" i="44" s="1"/>
  <c r="E71" i="44" s="1"/>
  <c r="E72" i="44" s="1"/>
  <c r="E73" i="44" s="1"/>
  <c r="E74" i="44" s="1"/>
  <c r="E75" i="44" s="1"/>
  <c r="E76" i="44" s="1"/>
  <c r="E77" i="44" s="1"/>
  <c r="E78" i="44" s="1"/>
  <c r="E79" i="44" s="1"/>
  <c r="E80" i="44" s="1"/>
  <c r="E81" i="44" s="1"/>
  <c r="E82" i="44" s="1"/>
  <c r="E83" i="44" s="1"/>
  <c r="E84" i="44" s="1"/>
  <c r="C4" i="44"/>
  <c r="EQ4" i="44" s="1"/>
  <c r="H2" i="44"/>
  <c r="J2" i="44" s="1"/>
  <c r="L2" i="44" s="1"/>
  <c r="N2" i="44" s="1"/>
  <c r="P2" i="44" s="1"/>
  <c r="R2" i="44" s="1"/>
  <c r="T2" i="44" s="1"/>
  <c r="V2" i="44" s="1"/>
  <c r="X2" i="44" s="1"/>
  <c r="Z2" i="44" s="1"/>
  <c r="AB2" i="44" s="1"/>
  <c r="AD2" i="44" s="1"/>
  <c r="AF2" i="44" s="1"/>
  <c r="AH2" i="44" s="1"/>
  <c r="AJ2" i="44" s="1"/>
  <c r="AL2" i="44" s="1"/>
  <c r="AN2" i="44" s="1"/>
  <c r="AP2" i="44" s="1"/>
  <c r="AR2" i="44" s="1"/>
  <c r="AT2" i="44" s="1"/>
  <c r="AV2" i="44" s="1"/>
  <c r="AX2" i="44" s="1"/>
  <c r="AZ2" i="44" s="1"/>
  <c r="BB2" i="44" s="1"/>
  <c r="BD2" i="44" s="1"/>
  <c r="BF2" i="44" s="1"/>
  <c r="BH2" i="44" s="1"/>
  <c r="BJ2" i="44" s="1"/>
  <c r="BL2" i="44" s="1"/>
  <c r="BN2" i="44" s="1"/>
  <c r="BP2" i="44" s="1"/>
  <c r="BR2" i="44" s="1"/>
  <c r="BT2" i="44" s="1"/>
  <c r="BV2" i="44" s="1"/>
  <c r="BX2" i="44" s="1"/>
  <c r="BZ2" i="44" s="1"/>
  <c r="CB2" i="44" s="1"/>
  <c r="CD2" i="44" s="1"/>
  <c r="CF2" i="44" s="1"/>
  <c r="CH2" i="44" s="1"/>
  <c r="CJ2" i="44" s="1"/>
  <c r="CL2" i="44" s="1"/>
  <c r="CN2" i="44" s="1"/>
  <c r="CP2" i="44" s="1"/>
  <c r="CR2" i="44" s="1"/>
  <c r="CT2" i="44" s="1"/>
  <c r="CV2" i="44" s="1"/>
  <c r="CX2" i="44" s="1"/>
  <c r="CZ2" i="44" s="1"/>
  <c r="DB2" i="44" s="1"/>
  <c r="DD2" i="44" s="1"/>
  <c r="DF2" i="44" s="1"/>
  <c r="DH2" i="44" s="1"/>
  <c r="DJ2" i="44" s="1"/>
  <c r="DL2" i="44" s="1"/>
  <c r="DN2" i="44" s="1"/>
  <c r="DP2" i="44" s="1"/>
  <c r="DR2" i="44" s="1"/>
  <c r="DT2" i="44" s="1"/>
  <c r="DV2" i="44" s="1"/>
  <c r="DX2" i="44" s="1"/>
  <c r="DZ2" i="44" s="1"/>
  <c r="EB2" i="44" s="1"/>
  <c r="ED2" i="44" s="1"/>
  <c r="EF2" i="44" s="1"/>
  <c r="EH2" i="44" s="1"/>
  <c r="EJ2" i="44" s="1"/>
  <c r="EL2" i="44" s="1"/>
  <c r="EN2" i="44" s="1"/>
  <c r="EP2" i="44" s="1"/>
  <c r="CW79" i="15"/>
  <c r="CR79" i="15"/>
  <c r="CP79" i="15" s="1"/>
  <c r="CM79" i="15"/>
  <c r="CO79" i="15" s="1"/>
  <c r="CH79" i="15"/>
  <c r="CJ79" i="15" s="1"/>
  <c r="CC79" i="15"/>
  <c r="CE79" i="15" s="1"/>
  <c r="BX79" i="15"/>
  <c r="BS79" i="15"/>
  <c r="BU79" i="15" s="1"/>
  <c r="BN79" i="15"/>
  <c r="BM79" i="15" s="1"/>
  <c r="BI79" i="15"/>
  <c r="BJ79" i="15" s="1"/>
  <c r="BD79" i="15"/>
  <c r="BB79" i="15" s="1"/>
  <c r="AY79" i="15"/>
  <c r="BA79" i="15" s="1"/>
  <c r="AT79" i="15"/>
  <c r="AO79" i="15"/>
  <c r="AQ79" i="15" s="1"/>
  <c r="AJ79" i="15"/>
  <c r="AL79" i="15" s="1"/>
  <c r="AE79" i="15"/>
  <c r="AG79" i="15" s="1"/>
  <c r="Z79" i="15"/>
  <c r="U79" i="15"/>
  <c r="V79" i="15" s="1"/>
  <c r="P79" i="15"/>
  <c r="N79" i="15" s="1"/>
  <c r="K79" i="15"/>
  <c r="M79" i="15" s="1"/>
  <c r="F79" i="15"/>
  <c r="H79" i="15" s="1"/>
  <c r="CW78" i="15"/>
  <c r="CU78" i="15" s="1"/>
  <c r="CR78" i="15"/>
  <c r="CM78" i="15"/>
  <c r="CH78" i="15"/>
  <c r="CC78" i="15"/>
  <c r="BX78" i="15"/>
  <c r="BW78" i="15" s="1"/>
  <c r="BS78" i="15"/>
  <c r="BN78" i="15"/>
  <c r="BP78" i="15" s="1"/>
  <c r="BI78" i="15"/>
  <c r="BG78" i="15" s="1"/>
  <c r="BD78" i="15"/>
  <c r="BE78" i="15" s="1"/>
  <c r="AY78" i="15"/>
  <c r="BA78" i="15" s="1"/>
  <c r="AT78" i="15"/>
  <c r="AV78" i="15" s="1"/>
  <c r="AO78" i="15"/>
  <c r="AQ78" i="15" s="1"/>
  <c r="AJ78" i="15"/>
  <c r="AE78" i="15"/>
  <c r="Z78" i="15"/>
  <c r="AB78" i="15" s="1"/>
  <c r="U78" i="15"/>
  <c r="S78" i="15" s="1"/>
  <c r="P78" i="15"/>
  <c r="Q78" i="15" s="1"/>
  <c r="K78" i="15"/>
  <c r="M78" i="15" s="1"/>
  <c r="F78" i="15"/>
  <c r="H78" i="15" s="1"/>
  <c r="U15" i="15"/>
  <c r="W15" i="15" s="1"/>
  <c r="P15" i="15"/>
  <c r="Q15" i="15" s="1"/>
  <c r="K15" i="15"/>
  <c r="F15" i="15"/>
  <c r="E15" i="15" s="1"/>
  <c r="U14" i="15"/>
  <c r="T14" i="15" s="1"/>
  <c r="P14" i="15"/>
  <c r="K14" i="15"/>
  <c r="CW13" i="15"/>
  <c r="CX13" i="15" s="1"/>
  <c r="CR13" i="15"/>
  <c r="CT13" i="15" s="1"/>
  <c r="CM13" i="15"/>
  <c r="CH13" i="15"/>
  <c r="CG13" i="15" s="1"/>
  <c r="CC13" i="15"/>
  <c r="CE13" i="15" s="1"/>
  <c r="BX13" i="15"/>
  <c r="BS13" i="15"/>
  <c r="BN13" i="15"/>
  <c r="BI13" i="15"/>
  <c r="BJ13" i="15" s="1"/>
  <c r="BD13" i="15"/>
  <c r="BF13" i="15" s="1"/>
  <c r="AY13" i="15"/>
  <c r="AT13" i="15"/>
  <c r="AS13" i="15" s="1"/>
  <c r="AO13" i="15"/>
  <c r="AJ13" i="15"/>
  <c r="AI13" i="15" s="1"/>
  <c r="AE13" i="15"/>
  <c r="Z13" i="15"/>
  <c r="U13" i="15"/>
  <c r="V13" i="15" s="1"/>
  <c r="P13" i="15"/>
  <c r="R13" i="15" s="1"/>
  <c r="K13" i="15"/>
  <c r="M13" i="15" s="1"/>
  <c r="E13" i="15"/>
  <c r="CW12" i="15"/>
  <c r="CR12" i="15"/>
  <c r="CM12" i="15"/>
  <c r="CH12" i="15"/>
  <c r="CC12" i="15"/>
  <c r="CB12" i="15" s="1"/>
  <c r="BX12" i="15"/>
  <c r="BZ12" i="15" s="1"/>
  <c r="BS12" i="15"/>
  <c r="BU12" i="15" s="1"/>
  <c r="BN12" i="15"/>
  <c r="BI12" i="15"/>
  <c r="BD12" i="15"/>
  <c r="AY12" i="15"/>
  <c r="AT12" i="15"/>
  <c r="AV12" i="15" s="1"/>
  <c r="AO12" i="15"/>
  <c r="AJ12" i="15"/>
  <c r="AE12" i="15"/>
  <c r="AG12" i="15" s="1"/>
  <c r="Z12" i="15"/>
  <c r="U12" i="15"/>
  <c r="P12" i="15"/>
  <c r="K12" i="15"/>
  <c r="L12" i="15" s="1"/>
  <c r="H12" i="15"/>
  <c r="BC4" i="15"/>
  <c r="C79" i="15"/>
  <c r="A79" i="15"/>
  <c r="C78" i="15"/>
  <c r="D78" i="15" s="1"/>
  <c r="A78" i="15"/>
  <c r="CW77" i="15"/>
  <c r="CR77" i="15"/>
  <c r="CM77" i="15"/>
  <c r="CH77" i="15"/>
  <c r="CC77" i="15"/>
  <c r="BX77" i="15"/>
  <c r="BS77" i="15"/>
  <c r="BU77" i="15" s="1"/>
  <c r="BN77" i="15"/>
  <c r="BI77" i="15"/>
  <c r="BD77" i="15"/>
  <c r="AY77" i="15"/>
  <c r="AT77" i="15"/>
  <c r="AO77" i="15"/>
  <c r="AJ77" i="15"/>
  <c r="AE77" i="15"/>
  <c r="AG77" i="15" s="1"/>
  <c r="Z77" i="15"/>
  <c r="Y77" i="15" s="1"/>
  <c r="U77" i="15"/>
  <c r="P77" i="15"/>
  <c r="K77" i="15"/>
  <c r="J77" i="15" s="1"/>
  <c r="F77" i="15"/>
  <c r="C77" i="15"/>
  <c r="D77" i="15" s="1"/>
  <c r="CW76" i="15"/>
  <c r="CR76" i="15"/>
  <c r="CM76" i="15"/>
  <c r="CH76" i="15"/>
  <c r="CC76" i="15"/>
  <c r="BX76" i="15"/>
  <c r="BZ76" i="15" s="1"/>
  <c r="BS76" i="15"/>
  <c r="BN76" i="15"/>
  <c r="BI76" i="15"/>
  <c r="BD76" i="15"/>
  <c r="AY76" i="15"/>
  <c r="AT76" i="15"/>
  <c r="AO76" i="15"/>
  <c r="AJ76" i="15"/>
  <c r="AK76" i="15" s="1"/>
  <c r="AE76" i="15"/>
  <c r="Z76" i="15"/>
  <c r="U76" i="15"/>
  <c r="P76" i="15"/>
  <c r="K76" i="15"/>
  <c r="F76" i="15"/>
  <c r="C76" i="15"/>
  <c r="D76" i="15" s="1"/>
  <c r="CW75" i="15"/>
  <c r="CY75" i="15" s="1"/>
  <c r="CR75" i="15"/>
  <c r="CM75" i="15"/>
  <c r="CH75" i="15"/>
  <c r="CC75" i="15"/>
  <c r="CA75" i="15" s="1"/>
  <c r="BX75" i="15"/>
  <c r="BS75" i="15"/>
  <c r="BN75" i="15"/>
  <c r="BI75" i="15"/>
  <c r="BD75" i="15"/>
  <c r="AY75" i="15"/>
  <c r="AT75" i="15"/>
  <c r="AV75" i="15" s="1"/>
  <c r="AO75" i="15"/>
  <c r="AJ75" i="15"/>
  <c r="AE75" i="15"/>
  <c r="Z75" i="15"/>
  <c r="U75" i="15"/>
  <c r="P75" i="15"/>
  <c r="K75" i="15"/>
  <c r="F75" i="15"/>
  <c r="C75" i="15"/>
  <c r="D75" i="15" s="1"/>
  <c r="CW74" i="15"/>
  <c r="CR74" i="15"/>
  <c r="CM74" i="15"/>
  <c r="CH74" i="15"/>
  <c r="CC74" i="15"/>
  <c r="BX74" i="15"/>
  <c r="BZ74" i="15" s="1"/>
  <c r="BS74" i="15"/>
  <c r="BN74" i="15"/>
  <c r="BI74" i="15"/>
  <c r="BD74" i="15"/>
  <c r="AY74" i="15"/>
  <c r="AT74" i="15"/>
  <c r="AO74" i="15"/>
  <c r="AJ74" i="15"/>
  <c r="AL74" i="15" s="1"/>
  <c r="AE74" i="15"/>
  <c r="Z74" i="15"/>
  <c r="U74" i="15"/>
  <c r="P74" i="15"/>
  <c r="K74" i="15"/>
  <c r="F74" i="15"/>
  <c r="C74" i="15"/>
  <c r="D74" i="15" s="1"/>
  <c r="CW73" i="15"/>
  <c r="CR73" i="15"/>
  <c r="CP73" i="15" s="1"/>
  <c r="CM73" i="15"/>
  <c r="CH73" i="15"/>
  <c r="CC73" i="15"/>
  <c r="BX73" i="15"/>
  <c r="BV73" i="15" s="1"/>
  <c r="BS73" i="15"/>
  <c r="BN73" i="15"/>
  <c r="BI73" i="15"/>
  <c r="BD73" i="15"/>
  <c r="BB73" i="15" s="1"/>
  <c r="AY73" i="15"/>
  <c r="AT73" i="15"/>
  <c r="AO73" i="15"/>
  <c r="AJ73" i="15"/>
  <c r="AE73" i="15"/>
  <c r="Z73" i="15"/>
  <c r="U73" i="15"/>
  <c r="P73" i="15"/>
  <c r="K73" i="15"/>
  <c r="F73" i="15"/>
  <c r="C73" i="15"/>
  <c r="CW72" i="15"/>
  <c r="CR72" i="15"/>
  <c r="CM72" i="15"/>
  <c r="CH72" i="15"/>
  <c r="CJ72" i="15" s="1"/>
  <c r="CC72" i="15"/>
  <c r="CD72" i="15" s="1"/>
  <c r="BX72" i="15"/>
  <c r="BS72" i="15"/>
  <c r="BN72" i="15"/>
  <c r="BI72" i="15"/>
  <c r="BD72" i="15"/>
  <c r="AY72" i="15"/>
  <c r="AT72" i="15"/>
  <c r="AO72" i="15"/>
  <c r="AJ72" i="15"/>
  <c r="AE72" i="15"/>
  <c r="Z72" i="15"/>
  <c r="U72" i="15"/>
  <c r="W72" i="15" s="1"/>
  <c r="P72" i="15"/>
  <c r="K72" i="15"/>
  <c r="F72" i="15"/>
  <c r="H72" i="15" s="1"/>
  <c r="C72" i="15"/>
  <c r="D72" i="15" s="1"/>
  <c r="CW71" i="15"/>
  <c r="CR71" i="15"/>
  <c r="CM71" i="15"/>
  <c r="CK71" i="15" s="1"/>
  <c r="CH71" i="15"/>
  <c r="CC71" i="15"/>
  <c r="BX71" i="15"/>
  <c r="BS71" i="15"/>
  <c r="BU71" i="15" s="1"/>
  <c r="BN71" i="15"/>
  <c r="BI71" i="15"/>
  <c r="BD71" i="15"/>
  <c r="AY71" i="15"/>
  <c r="AW71" i="15" s="1"/>
  <c r="AT71" i="15"/>
  <c r="AO71" i="15"/>
  <c r="AJ71" i="15"/>
  <c r="AE71" i="15"/>
  <c r="AG71" i="15" s="1"/>
  <c r="Z71" i="15"/>
  <c r="U71" i="15"/>
  <c r="P71" i="15"/>
  <c r="K71" i="15"/>
  <c r="I71" i="15" s="1"/>
  <c r="F71" i="15"/>
  <c r="C71" i="15"/>
  <c r="D71" i="15" s="1"/>
  <c r="CW70" i="15"/>
  <c r="CR70" i="15"/>
  <c r="CM70" i="15"/>
  <c r="CH70" i="15"/>
  <c r="CC70" i="15"/>
  <c r="BX70" i="15"/>
  <c r="BV70" i="15" s="1"/>
  <c r="BS70" i="15"/>
  <c r="BN70" i="15"/>
  <c r="BI70" i="15"/>
  <c r="BD70" i="15"/>
  <c r="AY70" i="15"/>
  <c r="BA70" i="15" s="1"/>
  <c r="AT70" i="15"/>
  <c r="AO70" i="15"/>
  <c r="AJ70" i="15"/>
  <c r="AE70" i="15"/>
  <c r="Z70" i="15"/>
  <c r="U70" i="15"/>
  <c r="P70" i="15"/>
  <c r="Q70" i="15" s="1"/>
  <c r="K70" i="15"/>
  <c r="F70" i="15"/>
  <c r="C70" i="15"/>
  <c r="D70" i="15" s="1"/>
  <c r="CW69" i="15"/>
  <c r="CR69" i="15"/>
  <c r="CM69" i="15"/>
  <c r="CO69" i="15" s="1"/>
  <c r="CH69" i="15"/>
  <c r="CC69" i="15"/>
  <c r="BX69" i="15"/>
  <c r="BV69" i="15" s="1"/>
  <c r="BS69" i="15"/>
  <c r="BR69" i="15" s="1"/>
  <c r="BN69" i="15"/>
  <c r="BI69" i="15"/>
  <c r="BD69" i="15"/>
  <c r="AY69" i="15"/>
  <c r="AT69" i="15"/>
  <c r="AO69" i="15"/>
  <c r="AJ69" i="15"/>
  <c r="AE69" i="15"/>
  <c r="AD69" i="15" s="1"/>
  <c r="Z69" i="15"/>
  <c r="U69" i="15"/>
  <c r="P69" i="15"/>
  <c r="K69" i="15"/>
  <c r="F69" i="15"/>
  <c r="C69" i="15"/>
  <c r="CW68" i="15"/>
  <c r="CR68" i="15"/>
  <c r="CM68" i="15"/>
  <c r="CH68" i="15"/>
  <c r="CC68" i="15"/>
  <c r="CD68" i="15" s="1"/>
  <c r="BX68" i="15"/>
  <c r="BS68" i="15"/>
  <c r="BN68" i="15"/>
  <c r="BI68" i="15"/>
  <c r="BD68" i="15"/>
  <c r="BF68" i="15" s="1"/>
  <c r="AY68" i="15"/>
  <c r="AT68" i="15"/>
  <c r="AO68" i="15"/>
  <c r="AP68" i="15" s="1"/>
  <c r="AJ68" i="15"/>
  <c r="AH68" i="15" s="1"/>
  <c r="AE68" i="15"/>
  <c r="Z68" i="15"/>
  <c r="U68" i="15"/>
  <c r="P68" i="15"/>
  <c r="R68" i="15" s="1"/>
  <c r="K68" i="15"/>
  <c r="F68" i="15"/>
  <c r="C68" i="15"/>
  <c r="D68" i="15" s="1"/>
  <c r="CW67" i="15"/>
  <c r="CR67" i="15"/>
  <c r="CM67" i="15"/>
  <c r="CH67" i="15"/>
  <c r="CI67" i="15" s="1"/>
  <c r="CC67" i="15"/>
  <c r="CE67" i="15" s="1"/>
  <c r="BX67" i="15"/>
  <c r="BS67" i="15"/>
  <c r="BN67" i="15"/>
  <c r="BI67" i="15"/>
  <c r="BD67" i="15"/>
  <c r="AY67" i="15"/>
  <c r="AT67" i="15"/>
  <c r="AV67" i="15" s="1"/>
  <c r="AO67" i="15"/>
  <c r="AM67" i="15" s="1"/>
  <c r="AJ67" i="15"/>
  <c r="AE67" i="15"/>
  <c r="Z67" i="15"/>
  <c r="U67" i="15"/>
  <c r="T67" i="15" s="1"/>
  <c r="P67" i="15"/>
  <c r="K67" i="15"/>
  <c r="F67" i="15"/>
  <c r="G67" i="15" s="1"/>
  <c r="C67" i="15"/>
  <c r="D67" i="15" s="1"/>
  <c r="CW66" i="15"/>
  <c r="CR66" i="15"/>
  <c r="CP66" i="15" s="1"/>
  <c r="CM66" i="15"/>
  <c r="CH66" i="15"/>
  <c r="CC66" i="15"/>
  <c r="BX66" i="15"/>
  <c r="BS66" i="15"/>
  <c r="BN66" i="15"/>
  <c r="BI66" i="15"/>
  <c r="BD66" i="15"/>
  <c r="BF66" i="15" s="1"/>
  <c r="AY66" i="15"/>
  <c r="AT66" i="15"/>
  <c r="AO66" i="15"/>
  <c r="AJ66" i="15"/>
  <c r="AE66" i="15"/>
  <c r="AD66" i="15" s="1"/>
  <c r="Z66" i="15"/>
  <c r="U66" i="15"/>
  <c r="P66" i="15"/>
  <c r="K66" i="15"/>
  <c r="F66" i="15"/>
  <c r="C66" i="15"/>
  <c r="D66" i="15" s="1"/>
  <c r="CW65" i="15"/>
  <c r="CR65" i="15"/>
  <c r="CM65" i="15"/>
  <c r="CH65" i="15"/>
  <c r="CC65" i="15"/>
  <c r="CB65" i="15" s="1"/>
  <c r="BX65" i="15"/>
  <c r="BV65" i="15" s="1"/>
  <c r="BS65" i="15"/>
  <c r="BN65" i="15"/>
  <c r="BI65" i="15"/>
  <c r="BG65" i="15" s="1"/>
  <c r="BD65" i="15"/>
  <c r="BB65" i="15" s="1"/>
  <c r="AY65" i="15"/>
  <c r="AT65" i="15"/>
  <c r="AO65" i="15"/>
  <c r="AQ65" i="15" s="1"/>
  <c r="AJ65" i="15"/>
  <c r="AE65" i="15"/>
  <c r="AD65" i="15" s="1"/>
  <c r="Z65" i="15"/>
  <c r="AA65" i="15" s="1"/>
  <c r="U65" i="15"/>
  <c r="P65" i="15"/>
  <c r="K65" i="15"/>
  <c r="J65" i="15" s="1"/>
  <c r="F65" i="15"/>
  <c r="C65" i="15"/>
  <c r="D65" i="15" s="1"/>
  <c r="CW64" i="15"/>
  <c r="CV64" i="15" s="1"/>
  <c r="CR64" i="15"/>
  <c r="CM64" i="15"/>
  <c r="CO64" i="15" s="1"/>
  <c r="CH64" i="15"/>
  <c r="CF64" i="15" s="1"/>
  <c r="CC64" i="15"/>
  <c r="CB64" i="15" s="1"/>
  <c r="BX64" i="15"/>
  <c r="BS64" i="15"/>
  <c r="BQ64" i="15" s="1"/>
  <c r="BN64" i="15"/>
  <c r="BO64" i="15" s="1"/>
  <c r="BI64" i="15"/>
  <c r="BH64" i="15" s="1"/>
  <c r="BD64" i="15"/>
  <c r="AY64" i="15"/>
  <c r="AZ64" i="15" s="1"/>
  <c r="AT64" i="15"/>
  <c r="AO64" i="15"/>
  <c r="AN64" i="15" s="1"/>
  <c r="AJ64" i="15"/>
  <c r="AK64" i="15" s="1"/>
  <c r="AE64" i="15"/>
  <c r="AC64" i="15" s="1"/>
  <c r="Z64" i="15"/>
  <c r="AA64" i="15" s="1"/>
  <c r="U64" i="15"/>
  <c r="T64" i="15" s="1"/>
  <c r="P64" i="15"/>
  <c r="K64" i="15"/>
  <c r="L64" i="15" s="1"/>
  <c r="F64" i="15"/>
  <c r="C64" i="15"/>
  <c r="D64" i="15" s="1"/>
  <c r="CW63" i="15"/>
  <c r="CV63" i="15" s="1"/>
  <c r="CR63" i="15"/>
  <c r="CS63" i="15" s="1"/>
  <c r="CM63" i="15"/>
  <c r="CH63" i="15"/>
  <c r="CC63" i="15"/>
  <c r="CB63" i="15" s="1"/>
  <c r="BX63" i="15"/>
  <c r="BY63" i="15" s="1"/>
  <c r="BS63" i="15"/>
  <c r="BN63" i="15"/>
  <c r="BI63" i="15"/>
  <c r="BH63" i="15" s="1"/>
  <c r="BD63" i="15"/>
  <c r="AY63" i="15"/>
  <c r="AT63" i="15"/>
  <c r="AO63" i="15"/>
  <c r="AN63" i="15" s="1"/>
  <c r="AJ63" i="15"/>
  <c r="AK63" i="15" s="1"/>
  <c r="AE63" i="15"/>
  <c r="Z63" i="15"/>
  <c r="X63" i="15" s="1"/>
  <c r="U63" i="15"/>
  <c r="T63" i="15" s="1"/>
  <c r="P63" i="15"/>
  <c r="Q63" i="15" s="1"/>
  <c r="K63" i="15"/>
  <c r="F63" i="15"/>
  <c r="H63" i="15" s="1"/>
  <c r="C63" i="15"/>
  <c r="D63" i="15" s="1"/>
  <c r="CW62" i="15"/>
  <c r="CR62" i="15"/>
  <c r="CQ62" i="15" s="1"/>
  <c r="CM62" i="15"/>
  <c r="CL62" i="15" s="1"/>
  <c r="CH62" i="15"/>
  <c r="CI62" i="15" s="1"/>
  <c r="CC62" i="15"/>
  <c r="CD62" i="15" s="1"/>
  <c r="BX62" i="15"/>
  <c r="BS62" i="15"/>
  <c r="BR62" i="15" s="1"/>
  <c r="BN62" i="15"/>
  <c r="BL62" i="15" s="1"/>
  <c r="BI62" i="15"/>
  <c r="BD62" i="15"/>
  <c r="BF62" i="15" s="1"/>
  <c r="AY62" i="15"/>
  <c r="AX62" i="15" s="1"/>
  <c r="AT62" i="15"/>
  <c r="AV62" i="15" s="1"/>
  <c r="AO62" i="15"/>
  <c r="AQ62" i="15" s="1"/>
  <c r="AJ62" i="15"/>
  <c r="AH62" i="15" s="1"/>
  <c r="AE62" i="15"/>
  <c r="AD62" i="15" s="1"/>
  <c r="Z62" i="15"/>
  <c r="X62" i="15" s="1"/>
  <c r="U62" i="15"/>
  <c r="S62" i="15" s="1"/>
  <c r="P62" i="15"/>
  <c r="N62" i="15" s="1"/>
  <c r="K62" i="15"/>
  <c r="J62" i="15" s="1"/>
  <c r="F62" i="15"/>
  <c r="G62" i="15" s="1"/>
  <c r="C62" i="15"/>
  <c r="D62" i="15" s="1"/>
  <c r="CW61" i="15"/>
  <c r="CU61" i="15" s="1"/>
  <c r="CR61" i="15"/>
  <c r="CQ61" i="15" s="1"/>
  <c r="CM61" i="15"/>
  <c r="CO61" i="15" s="1"/>
  <c r="CH61" i="15"/>
  <c r="CC61" i="15"/>
  <c r="CA61" i="15" s="1"/>
  <c r="BX61" i="15"/>
  <c r="BS61" i="15"/>
  <c r="BQ61" i="15" s="1"/>
  <c r="BN61" i="15"/>
  <c r="BI61" i="15"/>
  <c r="BD61" i="15"/>
  <c r="AY61" i="15"/>
  <c r="AZ61" i="15" s="1"/>
  <c r="AT61" i="15"/>
  <c r="AR61" i="15" s="1"/>
  <c r="AO61" i="15"/>
  <c r="AJ61" i="15"/>
  <c r="AI61" i="15" s="1"/>
  <c r="AE61" i="15"/>
  <c r="AC61" i="15" s="1"/>
  <c r="Z61" i="15"/>
  <c r="U61" i="15"/>
  <c r="P61" i="15"/>
  <c r="K61" i="15"/>
  <c r="J61" i="15" s="1"/>
  <c r="F61" i="15"/>
  <c r="C61" i="15"/>
  <c r="D61" i="15" s="1"/>
  <c r="CW60" i="15"/>
  <c r="CU60" i="15" s="1"/>
  <c r="CR60" i="15"/>
  <c r="CP60" i="15" s="1"/>
  <c r="CM60" i="15"/>
  <c r="CH60" i="15"/>
  <c r="CJ60" i="15" s="1"/>
  <c r="CC60" i="15"/>
  <c r="BX60" i="15"/>
  <c r="BS60" i="15"/>
  <c r="BR60" i="15" s="1"/>
  <c r="BN60" i="15"/>
  <c r="BM60" i="15" s="1"/>
  <c r="BI60" i="15"/>
  <c r="BG60" i="15" s="1"/>
  <c r="BD60" i="15"/>
  <c r="BB60" i="15" s="1"/>
  <c r="AY60" i="15"/>
  <c r="AX60" i="15" s="1"/>
  <c r="AT60" i="15"/>
  <c r="AO60" i="15"/>
  <c r="AJ60" i="15"/>
  <c r="AL60" i="15" s="1"/>
  <c r="AE60" i="15"/>
  <c r="AC60" i="15" s="1"/>
  <c r="Z60" i="15"/>
  <c r="U60" i="15"/>
  <c r="S60" i="15" s="1"/>
  <c r="P60" i="15"/>
  <c r="K60" i="15"/>
  <c r="J60" i="15" s="1"/>
  <c r="F60" i="15"/>
  <c r="C60" i="15"/>
  <c r="D60" i="15" s="1"/>
  <c r="CW59" i="15"/>
  <c r="CU59" i="15" s="1"/>
  <c r="CR59" i="15"/>
  <c r="CM59" i="15"/>
  <c r="CL59" i="15" s="1"/>
  <c r="CH59" i="15"/>
  <c r="CG59" i="15" s="1"/>
  <c r="CC59" i="15"/>
  <c r="CA59" i="15" s="1"/>
  <c r="BX59" i="15"/>
  <c r="BY59" i="15" s="1"/>
  <c r="BS59" i="15"/>
  <c r="BR59" i="15" s="1"/>
  <c r="BN59" i="15"/>
  <c r="BI59" i="15"/>
  <c r="BG59" i="15" s="1"/>
  <c r="BD59" i="15"/>
  <c r="AY59" i="15"/>
  <c r="AX59" i="15" s="1"/>
  <c r="AT59" i="15"/>
  <c r="AO59" i="15"/>
  <c r="AN59" i="15" s="1"/>
  <c r="AJ59" i="15"/>
  <c r="AL59" i="15" s="1"/>
  <c r="AE59" i="15"/>
  <c r="AD59" i="15" s="1"/>
  <c r="Z59" i="15"/>
  <c r="U59" i="15"/>
  <c r="S59" i="15" s="1"/>
  <c r="P59" i="15"/>
  <c r="K59" i="15"/>
  <c r="J59" i="15" s="1"/>
  <c r="F59" i="15"/>
  <c r="C59" i="15"/>
  <c r="CW58" i="15"/>
  <c r="CV58" i="15" s="1"/>
  <c r="CR58" i="15"/>
  <c r="CQ58" i="15" s="1"/>
  <c r="CM58" i="15"/>
  <c r="CO58" i="15" s="1"/>
  <c r="CH58" i="15"/>
  <c r="CC58" i="15"/>
  <c r="BX58" i="15"/>
  <c r="BW58" i="15" s="1"/>
  <c r="BS58" i="15"/>
  <c r="BQ58" i="15" s="1"/>
  <c r="BN58" i="15"/>
  <c r="BL58" i="15" s="1"/>
  <c r="BI58" i="15"/>
  <c r="BH58" i="15" s="1"/>
  <c r="BD58" i="15"/>
  <c r="BC58" i="15" s="1"/>
  <c r="AY58" i="15"/>
  <c r="AZ58" i="15" s="1"/>
  <c r="AT58" i="15"/>
  <c r="AO58" i="15"/>
  <c r="AQ58" i="15" s="1"/>
  <c r="AJ58" i="15"/>
  <c r="AI58" i="15" s="1"/>
  <c r="AE58" i="15"/>
  <c r="AC58" i="15" s="1"/>
  <c r="Z58" i="15"/>
  <c r="X58" i="15" s="1"/>
  <c r="U58" i="15"/>
  <c r="P58" i="15"/>
  <c r="O58" i="15" s="1"/>
  <c r="K58" i="15"/>
  <c r="F58" i="15"/>
  <c r="C58" i="15"/>
  <c r="CW57" i="15"/>
  <c r="CR57" i="15"/>
  <c r="CS57" i="15" s="1"/>
  <c r="CM57" i="15"/>
  <c r="CH57" i="15"/>
  <c r="CI57" i="15" s="1"/>
  <c r="CC57" i="15"/>
  <c r="CB57" i="15" s="1"/>
  <c r="BX57" i="15"/>
  <c r="BW57" i="15" s="1"/>
  <c r="BS57" i="15"/>
  <c r="BR57" i="15" s="1"/>
  <c r="BN57" i="15"/>
  <c r="BL57" i="15" s="1"/>
  <c r="BI57" i="15"/>
  <c r="BD57" i="15"/>
  <c r="BE57" i="15" s="1"/>
  <c r="AY57" i="15"/>
  <c r="AW57" i="15" s="1"/>
  <c r="AT57" i="15"/>
  <c r="AU57" i="15" s="1"/>
  <c r="AO57" i="15"/>
  <c r="AN57" i="15" s="1"/>
  <c r="AJ57" i="15"/>
  <c r="AI57" i="15" s="1"/>
  <c r="AE57" i="15"/>
  <c r="AD57" i="15" s="1"/>
  <c r="Z57" i="15"/>
  <c r="X57" i="15" s="1"/>
  <c r="U57" i="15"/>
  <c r="P57" i="15"/>
  <c r="O57" i="15" s="1"/>
  <c r="K57" i="15"/>
  <c r="J57" i="15" s="1"/>
  <c r="F57" i="15"/>
  <c r="C57" i="15"/>
  <c r="D57" i="15" s="1"/>
  <c r="CW56" i="15"/>
  <c r="CV56" i="15" s="1"/>
  <c r="CR56" i="15"/>
  <c r="CM56" i="15"/>
  <c r="CL56" i="15" s="1"/>
  <c r="CH56" i="15"/>
  <c r="CC56" i="15"/>
  <c r="BX56" i="15"/>
  <c r="BV56" i="15" s="1"/>
  <c r="BS56" i="15"/>
  <c r="BN56" i="15"/>
  <c r="BM56" i="15" s="1"/>
  <c r="BI56" i="15"/>
  <c r="BH56" i="15" s="1"/>
  <c r="BD56" i="15"/>
  <c r="AY56" i="15"/>
  <c r="BA56" i="15" s="1"/>
  <c r="AT56" i="15"/>
  <c r="AV56" i="15" s="1"/>
  <c r="AO56" i="15"/>
  <c r="AJ56" i="15"/>
  <c r="AE56" i="15"/>
  <c r="Z56" i="15"/>
  <c r="X56" i="15" s="1"/>
  <c r="U56" i="15"/>
  <c r="V56" i="15" s="1"/>
  <c r="P56" i="15"/>
  <c r="K56" i="15"/>
  <c r="J56" i="15" s="1"/>
  <c r="F56" i="15"/>
  <c r="C56" i="15"/>
  <c r="D56" i="15" s="1"/>
  <c r="CW55" i="15"/>
  <c r="CR55" i="15"/>
  <c r="CT55" i="15" s="1"/>
  <c r="CM55" i="15"/>
  <c r="CH55" i="15"/>
  <c r="CI55" i="15" s="1"/>
  <c r="CC55" i="15"/>
  <c r="CA55" i="15" s="1"/>
  <c r="BX55" i="15"/>
  <c r="BS55" i="15"/>
  <c r="BR55" i="15" s="1"/>
  <c r="BN55" i="15"/>
  <c r="BP55" i="15" s="1"/>
  <c r="BI55" i="15"/>
  <c r="BK55" i="15" s="1"/>
  <c r="BD55" i="15"/>
  <c r="AY55" i="15"/>
  <c r="AX55" i="15" s="1"/>
  <c r="AT55" i="15"/>
  <c r="AS55" i="15" s="1"/>
  <c r="AO55" i="15"/>
  <c r="AM55" i="15" s="1"/>
  <c r="AJ55" i="15"/>
  <c r="AE55" i="15"/>
  <c r="AD55" i="15" s="1"/>
  <c r="Z55" i="15"/>
  <c r="AA55" i="15" s="1"/>
  <c r="U55" i="15"/>
  <c r="S55" i="15" s="1"/>
  <c r="P55" i="15"/>
  <c r="N55" i="15" s="1"/>
  <c r="K55" i="15"/>
  <c r="F55" i="15"/>
  <c r="G55" i="15" s="1"/>
  <c r="C55" i="15"/>
  <c r="D55" i="15" s="1"/>
  <c r="CW54" i="15"/>
  <c r="CR54" i="15"/>
  <c r="CM54" i="15"/>
  <c r="CH54" i="15"/>
  <c r="CC54" i="15"/>
  <c r="CA54" i="15" s="1"/>
  <c r="BX54" i="15"/>
  <c r="BS54" i="15"/>
  <c r="BN54" i="15"/>
  <c r="BO54" i="15" s="1"/>
  <c r="BI54" i="15"/>
  <c r="BD54" i="15"/>
  <c r="AY54" i="15"/>
  <c r="AT54" i="15"/>
  <c r="AR54" i="15" s="1"/>
  <c r="AO54" i="15"/>
  <c r="AJ54" i="15"/>
  <c r="AE54" i="15"/>
  <c r="Z54" i="15"/>
  <c r="U54" i="15"/>
  <c r="P54" i="15"/>
  <c r="K54" i="15"/>
  <c r="F54" i="15"/>
  <c r="C54" i="15"/>
  <c r="D54" i="15" s="1"/>
  <c r="CW53" i="15"/>
  <c r="CR53" i="15"/>
  <c r="CM53" i="15"/>
  <c r="CH53" i="15"/>
  <c r="CG53" i="15" s="1"/>
  <c r="CC53" i="15"/>
  <c r="BX53" i="15"/>
  <c r="BS53" i="15"/>
  <c r="BN53" i="15"/>
  <c r="BI53" i="15"/>
  <c r="BD53" i="15"/>
  <c r="AY53" i="15"/>
  <c r="AT53" i="15"/>
  <c r="AO53" i="15"/>
  <c r="AJ53" i="15"/>
  <c r="AE53" i="15"/>
  <c r="Z53" i="15"/>
  <c r="U53" i="15"/>
  <c r="P53" i="15"/>
  <c r="K53" i="15"/>
  <c r="F53" i="15"/>
  <c r="C53" i="15"/>
  <c r="CW52" i="15"/>
  <c r="CR52" i="15"/>
  <c r="CM52" i="15"/>
  <c r="CK52" i="15" s="1"/>
  <c r="CH52" i="15"/>
  <c r="CC52" i="15"/>
  <c r="BX52" i="15"/>
  <c r="BZ52" i="15" s="1"/>
  <c r="BS52" i="15"/>
  <c r="BN52" i="15"/>
  <c r="BI52" i="15"/>
  <c r="BD52" i="15"/>
  <c r="AY52" i="15"/>
  <c r="AT52" i="15"/>
  <c r="AO52" i="15"/>
  <c r="AJ52" i="15"/>
  <c r="AE52" i="15"/>
  <c r="Z52" i="15"/>
  <c r="U52" i="15"/>
  <c r="P52" i="15"/>
  <c r="K52" i="15"/>
  <c r="I52" i="15" s="1"/>
  <c r="F52" i="15"/>
  <c r="C52" i="15"/>
  <c r="D52" i="15" s="1"/>
  <c r="CW51" i="15"/>
  <c r="CX51" i="15" s="1"/>
  <c r="CR51" i="15"/>
  <c r="CT51" i="15" s="1"/>
  <c r="CM51" i="15"/>
  <c r="CH51" i="15"/>
  <c r="CC51" i="15"/>
  <c r="BX51" i="15"/>
  <c r="BS51" i="15"/>
  <c r="BN51" i="15"/>
  <c r="BI51" i="15"/>
  <c r="BJ51" i="15" s="1"/>
  <c r="BD51" i="15"/>
  <c r="AY51" i="15"/>
  <c r="AT51" i="15"/>
  <c r="AO51" i="15"/>
  <c r="AJ51" i="15"/>
  <c r="AE51" i="15"/>
  <c r="Z51" i="15"/>
  <c r="U51" i="15"/>
  <c r="V51" i="15" s="1"/>
  <c r="P51" i="15"/>
  <c r="K51" i="15"/>
  <c r="F51" i="15"/>
  <c r="C51" i="15"/>
  <c r="D51" i="15" s="1"/>
  <c r="CW50" i="15"/>
  <c r="CR50" i="15"/>
  <c r="CM50" i="15"/>
  <c r="CH50" i="15"/>
  <c r="CC50" i="15"/>
  <c r="BX50" i="15"/>
  <c r="BS50" i="15"/>
  <c r="BN50" i="15"/>
  <c r="BI50" i="15"/>
  <c r="BD50" i="15"/>
  <c r="AY50" i="15"/>
  <c r="AW50" i="15" s="1"/>
  <c r="AT50" i="15"/>
  <c r="AO50" i="15"/>
  <c r="AJ50" i="15"/>
  <c r="AE50" i="15"/>
  <c r="AC50" i="15" s="1"/>
  <c r="Z50" i="15"/>
  <c r="AB50" i="15" s="1"/>
  <c r="U50" i="15"/>
  <c r="P50" i="15"/>
  <c r="K50" i="15"/>
  <c r="F50" i="15"/>
  <c r="C50" i="15"/>
  <c r="D50" i="15" s="1"/>
  <c r="CW49" i="15"/>
  <c r="CR49" i="15"/>
  <c r="CM49" i="15"/>
  <c r="CK49" i="15" s="1"/>
  <c r="CH49" i="15"/>
  <c r="CC49" i="15"/>
  <c r="BX49" i="15"/>
  <c r="BW49" i="15" s="1"/>
  <c r="BS49" i="15"/>
  <c r="BN49" i="15"/>
  <c r="BI49" i="15"/>
  <c r="BD49" i="15"/>
  <c r="AY49" i="15"/>
  <c r="AW49" i="15" s="1"/>
  <c r="AT49" i="15"/>
  <c r="AO49" i="15"/>
  <c r="AJ49" i="15"/>
  <c r="AL49" i="15" s="1"/>
  <c r="AE49" i="15"/>
  <c r="Z49" i="15"/>
  <c r="U49" i="15"/>
  <c r="P49" i="15"/>
  <c r="K49" i="15"/>
  <c r="I49" i="15" s="1"/>
  <c r="F49" i="15"/>
  <c r="C49" i="15"/>
  <c r="D49" i="15" s="1"/>
  <c r="CW48" i="15"/>
  <c r="CU48" i="15" s="1"/>
  <c r="CR48" i="15"/>
  <c r="CM48" i="15"/>
  <c r="CH48" i="15"/>
  <c r="CC48" i="15"/>
  <c r="CA48" i="15" s="1"/>
  <c r="BX48" i="15"/>
  <c r="BS48" i="15"/>
  <c r="BN48" i="15"/>
  <c r="BL48" i="15" s="1"/>
  <c r="BI48" i="15"/>
  <c r="BG48" i="15" s="1"/>
  <c r="BD48" i="15"/>
  <c r="AY48" i="15"/>
  <c r="AT48" i="15"/>
  <c r="AR48" i="15" s="1"/>
  <c r="AO48" i="15"/>
  <c r="AJ48" i="15"/>
  <c r="AE48" i="15"/>
  <c r="Z48" i="15"/>
  <c r="X48" i="15" s="1"/>
  <c r="U48" i="15"/>
  <c r="S48" i="15" s="1"/>
  <c r="P48" i="15"/>
  <c r="K48" i="15"/>
  <c r="F48" i="15"/>
  <c r="C48" i="15"/>
  <c r="D48" i="15" s="1"/>
  <c r="CW47" i="15"/>
  <c r="CU47" i="15" s="1"/>
  <c r="CR47" i="15"/>
  <c r="CQ47" i="15" s="1"/>
  <c r="CM47" i="15"/>
  <c r="CH47" i="15"/>
  <c r="CC47" i="15"/>
  <c r="CE47" i="15" s="1"/>
  <c r="BX47" i="15"/>
  <c r="BS47" i="15"/>
  <c r="BN47" i="15"/>
  <c r="BM47" i="15" s="1"/>
  <c r="BI47" i="15"/>
  <c r="BG47" i="15" s="1"/>
  <c r="BD47" i="15"/>
  <c r="BC47" i="15" s="1"/>
  <c r="AY47" i="15"/>
  <c r="AT47" i="15"/>
  <c r="AO47" i="15"/>
  <c r="AQ47" i="15" s="1"/>
  <c r="AJ47" i="15"/>
  <c r="AE47" i="15"/>
  <c r="Z47" i="15"/>
  <c r="Y47" i="15" s="1"/>
  <c r="U47" i="15"/>
  <c r="S47" i="15" s="1"/>
  <c r="P47" i="15"/>
  <c r="O47" i="15" s="1"/>
  <c r="K47" i="15"/>
  <c r="F47" i="15"/>
  <c r="C47" i="15"/>
  <c r="D47" i="15" s="1"/>
  <c r="CW46" i="15"/>
  <c r="CR46" i="15"/>
  <c r="CP46" i="15" s="1"/>
  <c r="CM46" i="15"/>
  <c r="CH46" i="15"/>
  <c r="CC46" i="15"/>
  <c r="BX46" i="15"/>
  <c r="BS46" i="15"/>
  <c r="BN46" i="15"/>
  <c r="BI46" i="15"/>
  <c r="BD46" i="15"/>
  <c r="BB46" i="15" s="1"/>
  <c r="AY46" i="15"/>
  <c r="AT46" i="15"/>
  <c r="AO46" i="15"/>
  <c r="AJ46" i="15"/>
  <c r="AH46" i="15" s="1"/>
  <c r="AE46" i="15"/>
  <c r="Z46" i="15"/>
  <c r="U46" i="15"/>
  <c r="P46" i="15"/>
  <c r="K46" i="15"/>
  <c r="M46" i="15" s="1"/>
  <c r="F46" i="15"/>
  <c r="C46" i="15"/>
  <c r="D46" i="15" s="1"/>
  <c r="CW45" i="15"/>
  <c r="CR45" i="15"/>
  <c r="CM45" i="15"/>
  <c r="CN45" i="15" s="1"/>
  <c r="CH45" i="15"/>
  <c r="CC45" i="15"/>
  <c r="CA45" i="15" s="1"/>
  <c r="BX45" i="15"/>
  <c r="BS45" i="15"/>
  <c r="BN45" i="15"/>
  <c r="BI45" i="15"/>
  <c r="BJ45" i="15" s="1"/>
  <c r="BD45" i="15"/>
  <c r="AY45" i="15"/>
  <c r="AT45" i="15"/>
  <c r="AO45" i="15"/>
  <c r="AJ45" i="15"/>
  <c r="AE45" i="15"/>
  <c r="Z45" i="15"/>
  <c r="U45" i="15"/>
  <c r="P45" i="15"/>
  <c r="K45" i="15"/>
  <c r="L45" i="15" s="1"/>
  <c r="F45" i="15"/>
  <c r="C45" i="15"/>
  <c r="D45" i="15" s="1"/>
  <c r="CW44" i="15"/>
  <c r="CR44" i="15"/>
  <c r="CM44" i="15"/>
  <c r="CH44" i="15"/>
  <c r="CC44" i="15"/>
  <c r="BX44" i="15"/>
  <c r="BS44" i="15"/>
  <c r="BN44" i="15"/>
  <c r="BI44" i="15"/>
  <c r="BD44" i="15"/>
  <c r="AY44" i="15"/>
  <c r="AW44" i="15" s="1"/>
  <c r="AT44" i="15"/>
  <c r="AO44" i="15"/>
  <c r="AJ44" i="15"/>
  <c r="AE44" i="15"/>
  <c r="AC44" i="15" s="1"/>
  <c r="Z44" i="15"/>
  <c r="U44" i="15"/>
  <c r="P44" i="15"/>
  <c r="K44" i="15"/>
  <c r="I44" i="15" s="1"/>
  <c r="F44" i="15"/>
  <c r="C44" i="15"/>
  <c r="D44" i="15" s="1"/>
  <c r="CW43" i="15"/>
  <c r="CR43" i="15"/>
  <c r="CT43" i="15" s="1"/>
  <c r="CM43" i="15"/>
  <c r="CH43" i="15"/>
  <c r="CI43" i="15" s="1"/>
  <c r="CC43" i="15"/>
  <c r="BX43" i="15"/>
  <c r="BZ43" i="15" s="1"/>
  <c r="BS43" i="15"/>
  <c r="BU43" i="15" s="1"/>
  <c r="BN43" i="15"/>
  <c r="BI43" i="15"/>
  <c r="BD43" i="15"/>
  <c r="BB43" i="15" s="1"/>
  <c r="AY43" i="15"/>
  <c r="AW43" i="15" s="1"/>
  <c r="AT43" i="15"/>
  <c r="AU43" i="15" s="1"/>
  <c r="AO43" i="15"/>
  <c r="AJ43" i="15"/>
  <c r="AK43" i="15" s="1"/>
  <c r="AE43" i="15"/>
  <c r="Z43" i="15"/>
  <c r="U43" i="15"/>
  <c r="P43" i="15"/>
  <c r="K43" i="15"/>
  <c r="F43" i="15"/>
  <c r="G43" i="15" s="1"/>
  <c r="C43" i="15"/>
  <c r="D43" i="15" s="1"/>
  <c r="CW42" i="15"/>
  <c r="CU42" i="15" s="1"/>
  <c r="CR42" i="15"/>
  <c r="CM42" i="15"/>
  <c r="CH42" i="15"/>
  <c r="CC42" i="15"/>
  <c r="CA42" i="15" s="1"/>
  <c r="BX42" i="15"/>
  <c r="BZ42" i="15" s="1"/>
  <c r="BS42" i="15"/>
  <c r="BR42" i="15" s="1"/>
  <c r="BN42" i="15"/>
  <c r="BI42" i="15"/>
  <c r="BD42" i="15"/>
  <c r="BB42" i="15" s="1"/>
  <c r="AY42" i="15"/>
  <c r="AZ42" i="15" s="1"/>
  <c r="AT42" i="15"/>
  <c r="AO42" i="15"/>
  <c r="AJ42" i="15"/>
  <c r="AE42" i="15"/>
  <c r="AD42" i="15" s="1"/>
  <c r="Z42" i="15"/>
  <c r="U42" i="15"/>
  <c r="P42" i="15"/>
  <c r="R42" i="15" s="1"/>
  <c r="K42" i="15"/>
  <c r="F42" i="15"/>
  <c r="C42" i="15"/>
  <c r="CW41" i="15"/>
  <c r="CR41" i="15"/>
  <c r="CP41" i="15" s="1"/>
  <c r="CM41" i="15"/>
  <c r="CL41" i="15" s="1"/>
  <c r="CH41" i="15"/>
  <c r="CC41" i="15"/>
  <c r="CA41" i="15" s="1"/>
  <c r="BX41" i="15"/>
  <c r="BW41" i="15" s="1"/>
  <c r="BS41" i="15"/>
  <c r="BN41" i="15"/>
  <c r="BO41" i="15" s="1"/>
  <c r="BI41" i="15"/>
  <c r="BH41" i="15" s="1"/>
  <c r="BD41" i="15"/>
  <c r="AY41" i="15"/>
  <c r="AX41" i="15" s="1"/>
  <c r="AT41" i="15"/>
  <c r="AO41" i="15"/>
  <c r="AN41" i="15" s="1"/>
  <c r="AJ41" i="15"/>
  <c r="AI41" i="15" s="1"/>
  <c r="AE41" i="15"/>
  <c r="Z41" i="15"/>
  <c r="U41" i="15"/>
  <c r="T41" i="15" s="1"/>
  <c r="P41" i="15"/>
  <c r="K41" i="15"/>
  <c r="J41" i="15" s="1"/>
  <c r="F41" i="15"/>
  <c r="H41" i="15" s="1"/>
  <c r="C41" i="15"/>
  <c r="D41" i="15" s="1"/>
  <c r="CW40" i="15"/>
  <c r="CV40" i="15" s="1"/>
  <c r="CR40" i="15"/>
  <c r="CP40" i="15" s="1"/>
  <c r="CM40" i="15"/>
  <c r="CL40" i="15" s="1"/>
  <c r="CH40" i="15"/>
  <c r="CF40" i="15" s="1"/>
  <c r="CC40" i="15"/>
  <c r="CB40" i="15" s="1"/>
  <c r="BX40" i="15"/>
  <c r="BZ40" i="15" s="1"/>
  <c r="BS40" i="15"/>
  <c r="BU40" i="15" s="1"/>
  <c r="BN40" i="15"/>
  <c r="BI40" i="15"/>
  <c r="BH40" i="15" s="1"/>
  <c r="BD40" i="15"/>
  <c r="BB40" i="15" s="1"/>
  <c r="AY40" i="15"/>
  <c r="AT40" i="15"/>
  <c r="AR40" i="15" s="1"/>
  <c r="AO40" i="15"/>
  <c r="AN40" i="15" s="1"/>
  <c r="AJ40" i="15"/>
  <c r="AE40" i="15"/>
  <c r="Z40" i="15"/>
  <c r="X40" i="15" s="1"/>
  <c r="U40" i="15"/>
  <c r="T40" i="15" s="1"/>
  <c r="P40" i="15"/>
  <c r="N40" i="15" s="1"/>
  <c r="K40" i="15"/>
  <c r="J40" i="15" s="1"/>
  <c r="F40" i="15"/>
  <c r="C40" i="15"/>
  <c r="D40" i="15" s="1"/>
  <c r="CW39" i="15"/>
  <c r="CR39" i="15"/>
  <c r="CP39" i="15" s="1"/>
  <c r="CM39" i="15"/>
  <c r="CO39" i="15" s="1"/>
  <c r="CH39" i="15"/>
  <c r="CG39" i="15" s="1"/>
  <c r="CC39" i="15"/>
  <c r="CE39" i="15" s="1"/>
  <c r="BX39" i="15"/>
  <c r="BW39" i="15" s="1"/>
  <c r="BS39" i="15"/>
  <c r="BN39" i="15"/>
  <c r="BI39" i="15"/>
  <c r="BG39" i="15" s="1"/>
  <c r="BD39" i="15"/>
  <c r="BC39" i="15" s="1"/>
  <c r="AY39" i="15"/>
  <c r="AW39" i="15" s="1"/>
  <c r="AT39" i="15"/>
  <c r="AS39" i="15" s="1"/>
  <c r="AO39" i="15"/>
  <c r="AQ39" i="15" s="1"/>
  <c r="AJ39" i="15"/>
  <c r="AE39" i="15"/>
  <c r="AC39" i="15" s="1"/>
  <c r="Z39" i="15"/>
  <c r="U39" i="15"/>
  <c r="S39" i="15" s="1"/>
  <c r="P39" i="15"/>
  <c r="O39" i="15" s="1"/>
  <c r="K39" i="15"/>
  <c r="M39" i="15" s="1"/>
  <c r="F39" i="15"/>
  <c r="E39" i="15" s="1"/>
  <c r="C39" i="15"/>
  <c r="D39" i="15" s="1"/>
  <c r="CW38" i="15"/>
  <c r="CU38" i="15" s="1"/>
  <c r="CR38" i="15"/>
  <c r="CM38" i="15"/>
  <c r="CN38" i="15" s="1"/>
  <c r="CH38" i="15"/>
  <c r="CC38" i="15"/>
  <c r="CE38" i="15" s="1"/>
  <c r="BX38" i="15"/>
  <c r="BW38" i="15" s="1"/>
  <c r="BS38" i="15"/>
  <c r="BN38" i="15"/>
  <c r="BI38" i="15"/>
  <c r="BD38" i="15"/>
  <c r="BC38" i="15" s="1"/>
  <c r="AY38" i="15"/>
  <c r="AW38" i="15" s="1"/>
  <c r="AT38" i="15"/>
  <c r="AO38" i="15"/>
  <c r="AN38" i="15" s="1"/>
  <c r="AJ38" i="15"/>
  <c r="AI38" i="15" s="1"/>
  <c r="AE38" i="15"/>
  <c r="AG38" i="15" s="1"/>
  <c r="Z38" i="15"/>
  <c r="AB38" i="15" s="1"/>
  <c r="U38" i="15"/>
  <c r="P38" i="15"/>
  <c r="O38" i="15" s="1"/>
  <c r="K38" i="15"/>
  <c r="L38" i="15" s="1"/>
  <c r="F38" i="15"/>
  <c r="C38" i="15"/>
  <c r="D38" i="15" s="1"/>
  <c r="CW37" i="15"/>
  <c r="CV37" i="15" s="1"/>
  <c r="CR37" i="15"/>
  <c r="CP37" i="15" s="1"/>
  <c r="CM37" i="15"/>
  <c r="CL37" i="15" s="1"/>
  <c r="CH37" i="15"/>
  <c r="CG37" i="15" s="1"/>
  <c r="CC37" i="15"/>
  <c r="CB37" i="15" s="1"/>
  <c r="BX37" i="15"/>
  <c r="BZ37" i="15" s="1"/>
  <c r="BS37" i="15"/>
  <c r="BR37" i="15" s="1"/>
  <c r="BN37" i="15"/>
  <c r="BM37" i="15" s="1"/>
  <c r="BI37" i="15"/>
  <c r="BH37" i="15" s="1"/>
  <c r="BD37" i="15"/>
  <c r="BB37" i="15" s="1"/>
  <c r="AY37" i="15"/>
  <c r="AX37" i="15" s="1"/>
  <c r="AT37" i="15"/>
  <c r="AS37" i="15" s="1"/>
  <c r="AO37" i="15"/>
  <c r="AN37" i="15" s="1"/>
  <c r="AJ37" i="15"/>
  <c r="AL37" i="15" s="1"/>
  <c r="AE37" i="15"/>
  <c r="Z37" i="15"/>
  <c r="U37" i="15"/>
  <c r="V37" i="15" s="1"/>
  <c r="P37" i="15"/>
  <c r="N37" i="15" s="1"/>
  <c r="K37" i="15"/>
  <c r="I37" i="15" s="1"/>
  <c r="F37" i="15"/>
  <c r="E37" i="15" s="1"/>
  <c r="C37" i="15"/>
  <c r="CW36" i="15"/>
  <c r="CU36" i="15" s="1"/>
  <c r="CR36" i="15"/>
  <c r="CM36" i="15"/>
  <c r="CK36" i="15" s="1"/>
  <c r="CH36" i="15"/>
  <c r="CG36" i="15" s="1"/>
  <c r="CC36" i="15"/>
  <c r="CA36" i="15" s="1"/>
  <c r="BX36" i="15"/>
  <c r="BS36" i="15"/>
  <c r="BQ36" i="15" s="1"/>
  <c r="BN36" i="15"/>
  <c r="BM36" i="15" s="1"/>
  <c r="BI36" i="15"/>
  <c r="BK36" i="15" s="1"/>
  <c r="BD36" i="15"/>
  <c r="AY36" i="15"/>
  <c r="AX36" i="15" s="1"/>
  <c r="AT36" i="15"/>
  <c r="AS36" i="15" s="1"/>
  <c r="AO36" i="15"/>
  <c r="AM36" i="15" s="1"/>
  <c r="AJ36" i="15"/>
  <c r="AH36" i="15" s="1"/>
  <c r="AE36" i="15"/>
  <c r="Z36" i="15"/>
  <c r="Y36" i="15" s="1"/>
  <c r="U36" i="15"/>
  <c r="W36" i="15" s="1"/>
  <c r="P36" i="15"/>
  <c r="K36" i="15"/>
  <c r="I36" i="15" s="1"/>
  <c r="F36" i="15"/>
  <c r="E36" i="15" s="1"/>
  <c r="C36" i="15"/>
  <c r="D36" i="15" s="1"/>
  <c r="CW35" i="15"/>
  <c r="CR35" i="15"/>
  <c r="CQ35" i="15" s="1"/>
  <c r="CM35" i="15"/>
  <c r="CL35" i="15" s="1"/>
  <c r="CH35" i="15"/>
  <c r="CF35" i="15" s="1"/>
  <c r="CC35" i="15"/>
  <c r="BX35" i="15"/>
  <c r="BW35" i="15" s="1"/>
  <c r="BS35" i="15"/>
  <c r="BT35" i="15" s="1"/>
  <c r="BN35" i="15"/>
  <c r="BL35" i="15" s="1"/>
  <c r="BI35" i="15"/>
  <c r="BD35" i="15"/>
  <c r="BC35" i="15" s="1"/>
  <c r="AY35" i="15"/>
  <c r="AX35" i="15" s="1"/>
  <c r="AT35" i="15"/>
  <c r="AR35" i="15" s="1"/>
  <c r="AO35" i="15"/>
  <c r="AJ35" i="15"/>
  <c r="AI35" i="15" s="1"/>
  <c r="AE35" i="15"/>
  <c r="Z35" i="15"/>
  <c r="X35" i="15" s="1"/>
  <c r="U35" i="15"/>
  <c r="W35" i="15" s="1"/>
  <c r="P35" i="15"/>
  <c r="O35" i="15" s="1"/>
  <c r="K35" i="15"/>
  <c r="J35" i="15" s="1"/>
  <c r="F35" i="15"/>
  <c r="C35" i="15"/>
  <c r="D35" i="15" s="1"/>
  <c r="CW34" i="15"/>
  <c r="CV34" i="15" s="1"/>
  <c r="CR34" i="15"/>
  <c r="CT34" i="15" s="1"/>
  <c r="CM34" i="15"/>
  <c r="CH34" i="15"/>
  <c r="CG34" i="15" s="1"/>
  <c r="CC34" i="15"/>
  <c r="CB34" i="15" s="1"/>
  <c r="BX34" i="15"/>
  <c r="BV34" i="15" s="1"/>
  <c r="BS34" i="15"/>
  <c r="BQ34" i="15" s="1"/>
  <c r="BN34" i="15"/>
  <c r="BM34" i="15" s="1"/>
  <c r="BI34" i="15"/>
  <c r="BH34" i="15" s="1"/>
  <c r="BD34" i="15"/>
  <c r="AY34" i="15"/>
  <c r="AT34" i="15"/>
  <c r="AS34" i="15" s="1"/>
  <c r="AO34" i="15"/>
  <c r="AN34" i="15" s="1"/>
  <c r="AJ34" i="15"/>
  <c r="AL34" i="15" s="1"/>
  <c r="AE34" i="15"/>
  <c r="AD34" i="15" s="1"/>
  <c r="Z34" i="15"/>
  <c r="Y34" i="15" s="1"/>
  <c r="U34" i="15"/>
  <c r="T34" i="15" s="1"/>
  <c r="P34" i="15"/>
  <c r="K34" i="15"/>
  <c r="F34" i="15"/>
  <c r="E34" i="15" s="1"/>
  <c r="C34" i="15"/>
  <c r="D34" i="15" s="1"/>
  <c r="CW33" i="15"/>
  <c r="CX33" i="15" s="1"/>
  <c r="CR33" i="15"/>
  <c r="CM33" i="15"/>
  <c r="CK33" i="15" s="1"/>
  <c r="CH33" i="15"/>
  <c r="CC33" i="15"/>
  <c r="CA33" i="15" s="1"/>
  <c r="BX33" i="15"/>
  <c r="BS33" i="15"/>
  <c r="BQ33" i="15" s="1"/>
  <c r="BN33" i="15"/>
  <c r="BO33" i="15" s="1"/>
  <c r="BI33" i="15"/>
  <c r="BD33" i="15"/>
  <c r="AY33" i="15"/>
  <c r="AW33" i="15" s="1"/>
  <c r="AT33" i="15"/>
  <c r="AS33" i="15" s="1"/>
  <c r="AO33" i="15"/>
  <c r="AQ33" i="15" s="1"/>
  <c r="AJ33" i="15"/>
  <c r="AL33" i="15" s="1"/>
  <c r="AE33" i="15"/>
  <c r="AC33" i="15" s="1"/>
  <c r="Z33" i="15"/>
  <c r="AA33" i="15" s="1"/>
  <c r="U33" i="15"/>
  <c r="V33" i="15" s="1"/>
  <c r="P33" i="15"/>
  <c r="R33" i="15" s="1"/>
  <c r="K33" i="15"/>
  <c r="I33" i="15" s="1"/>
  <c r="F33" i="15"/>
  <c r="G33" i="15" s="1"/>
  <c r="C33" i="15"/>
  <c r="D33" i="15" s="1"/>
  <c r="CW32" i="15"/>
  <c r="CV32" i="15" s="1"/>
  <c r="CR32" i="15"/>
  <c r="CS32" i="15" s="1"/>
  <c r="CM32" i="15"/>
  <c r="CK32" i="15" s="1"/>
  <c r="CH32" i="15"/>
  <c r="CC32" i="15"/>
  <c r="CB32" i="15" s="1"/>
  <c r="BX32" i="15"/>
  <c r="BW32" i="15" s="1"/>
  <c r="BS32" i="15"/>
  <c r="BQ32" i="15" s="1"/>
  <c r="BN32" i="15"/>
  <c r="BM32" i="15" s="1"/>
  <c r="BI32" i="15"/>
  <c r="BH32" i="15" s="1"/>
  <c r="BD32" i="15"/>
  <c r="BE32" i="15" s="1"/>
  <c r="AY32" i="15"/>
  <c r="AW32" i="15" s="1"/>
  <c r="AT32" i="15"/>
  <c r="AO32" i="15"/>
  <c r="AN32" i="15" s="1"/>
  <c r="AJ32" i="15"/>
  <c r="AK32" i="15" s="1"/>
  <c r="AE32" i="15"/>
  <c r="AC32" i="15" s="1"/>
  <c r="Z32" i="15"/>
  <c r="Y32" i="15" s="1"/>
  <c r="U32" i="15"/>
  <c r="T32" i="15" s="1"/>
  <c r="P32" i="15"/>
  <c r="Q32" i="15" s="1"/>
  <c r="K32" i="15"/>
  <c r="I32" i="15" s="1"/>
  <c r="F32" i="15"/>
  <c r="C32" i="15"/>
  <c r="CW31" i="15"/>
  <c r="CV31" i="15" s="1"/>
  <c r="CR31" i="15"/>
  <c r="CQ31" i="15" s="1"/>
  <c r="CM31" i="15"/>
  <c r="CO31" i="15" s="1"/>
  <c r="CH31" i="15"/>
  <c r="CG31" i="15" s="1"/>
  <c r="CC31" i="15"/>
  <c r="CE31" i="15" s="1"/>
  <c r="BX31" i="15"/>
  <c r="BW31" i="15" s="1"/>
  <c r="BS31" i="15"/>
  <c r="BN31" i="15"/>
  <c r="BI31" i="15"/>
  <c r="BD31" i="15"/>
  <c r="BC31" i="15" s="1"/>
  <c r="AY31" i="15"/>
  <c r="AW31" i="15" s="1"/>
  <c r="AT31" i="15"/>
  <c r="AO31" i="15"/>
  <c r="AM31" i="15" s="1"/>
  <c r="AJ31" i="15"/>
  <c r="AL31" i="15" s="1"/>
  <c r="AE31" i="15"/>
  <c r="Z31" i="15"/>
  <c r="U31" i="15"/>
  <c r="P31" i="15"/>
  <c r="O31" i="15" s="1"/>
  <c r="K31" i="15"/>
  <c r="M31" i="15" s="1"/>
  <c r="F31" i="15"/>
  <c r="C31" i="15"/>
  <c r="D31" i="15" s="1"/>
  <c r="CW30" i="15"/>
  <c r="CR30" i="15"/>
  <c r="CM30" i="15"/>
  <c r="CH30" i="15"/>
  <c r="CG30" i="15" s="1"/>
  <c r="CC30" i="15"/>
  <c r="CA30" i="15" s="1"/>
  <c r="BX30" i="15"/>
  <c r="BS30" i="15"/>
  <c r="BN30" i="15"/>
  <c r="BI30" i="15"/>
  <c r="BD30" i="15"/>
  <c r="AY30" i="15"/>
  <c r="AT30" i="15"/>
  <c r="AO30" i="15"/>
  <c r="AJ30" i="15"/>
  <c r="AE30" i="15"/>
  <c r="Z30" i="15"/>
  <c r="U30" i="15"/>
  <c r="P30" i="15"/>
  <c r="K30" i="15"/>
  <c r="F30" i="15"/>
  <c r="C30" i="15"/>
  <c r="D30" i="15" s="1"/>
  <c r="CW29" i="15"/>
  <c r="CR29" i="15"/>
  <c r="CM29" i="15"/>
  <c r="CH29" i="15"/>
  <c r="CC29" i="15"/>
  <c r="BX29" i="15"/>
  <c r="BS29" i="15"/>
  <c r="BN29" i="15"/>
  <c r="BI29" i="15"/>
  <c r="BD29" i="15"/>
  <c r="AY29" i="15"/>
  <c r="AT29" i="15"/>
  <c r="AO29" i="15"/>
  <c r="AJ29" i="15"/>
  <c r="AE29" i="15"/>
  <c r="Z29" i="15"/>
  <c r="U29" i="15"/>
  <c r="P29" i="15"/>
  <c r="K29" i="15"/>
  <c r="F29" i="15"/>
  <c r="C29" i="15"/>
  <c r="D29" i="15" s="1"/>
  <c r="CW28" i="15"/>
  <c r="CR28" i="15"/>
  <c r="CM28" i="15"/>
  <c r="CH28" i="15"/>
  <c r="CC28" i="15"/>
  <c r="BX28" i="15"/>
  <c r="BS28" i="15"/>
  <c r="BN28" i="15"/>
  <c r="BI28" i="15"/>
  <c r="BD28" i="15"/>
  <c r="AY28" i="15"/>
  <c r="AT28" i="15"/>
  <c r="AO28" i="15"/>
  <c r="AJ28" i="15"/>
  <c r="AE28" i="15"/>
  <c r="Z28" i="15"/>
  <c r="U28" i="15"/>
  <c r="P28" i="15"/>
  <c r="K28" i="15"/>
  <c r="F28" i="15"/>
  <c r="C28" i="15"/>
  <c r="D28" i="15" s="1"/>
  <c r="CW27" i="15"/>
  <c r="CR27" i="15"/>
  <c r="CM27" i="15"/>
  <c r="CH27" i="15"/>
  <c r="CC27" i="15"/>
  <c r="BX27" i="15"/>
  <c r="BS27" i="15"/>
  <c r="BN27" i="15"/>
  <c r="BI27" i="15"/>
  <c r="BD27" i="15"/>
  <c r="AY27" i="15"/>
  <c r="AT27" i="15"/>
  <c r="AO27" i="15"/>
  <c r="AJ27" i="15"/>
  <c r="AE27" i="15"/>
  <c r="Z27" i="15"/>
  <c r="U27" i="15"/>
  <c r="P27" i="15"/>
  <c r="K27" i="15"/>
  <c r="F27" i="15"/>
  <c r="C27" i="15"/>
  <c r="D27" i="15" s="1"/>
  <c r="CW26" i="15"/>
  <c r="CR26" i="15"/>
  <c r="CM26" i="15"/>
  <c r="CH26" i="15"/>
  <c r="CC26" i="15"/>
  <c r="BX26" i="15"/>
  <c r="BS26" i="15"/>
  <c r="BN26" i="15"/>
  <c r="BI26" i="15"/>
  <c r="BD26" i="15"/>
  <c r="AY26" i="15"/>
  <c r="AT26" i="15"/>
  <c r="AO26" i="15"/>
  <c r="AJ26" i="15"/>
  <c r="AE26" i="15"/>
  <c r="Z26" i="15"/>
  <c r="U26" i="15"/>
  <c r="P26" i="15"/>
  <c r="K26" i="15"/>
  <c r="F26" i="15"/>
  <c r="C26" i="15"/>
  <c r="CW25" i="15"/>
  <c r="CR25" i="15"/>
  <c r="CM25" i="15"/>
  <c r="CH25" i="15"/>
  <c r="CC25" i="15"/>
  <c r="BX25" i="15"/>
  <c r="BS25" i="15"/>
  <c r="BN25" i="15"/>
  <c r="BI25" i="15"/>
  <c r="BD25" i="15"/>
  <c r="AY25" i="15"/>
  <c r="AT25" i="15"/>
  <c r="AO25" i="15"/>
  <c r="AJ25" i="15"/>
  <c r="AE25" i="15"/>
  <c r="Z25" i="15"/>
  <c r="U25" i="15"/>
  <c r="P25" i="15"/>
  <c r="K25" i="15"/>
  <c r="F25" i="15"/>
  <c r="C25" i="15"/>
  <c r="D25" i="15" s="1"/>
  <c r="CW24" i="15"/>
  <c r="CR24" i="15"/>
  <c r="CM24" i="15"/>
  <c r="CH24" i="15"/>
  <c r="CC24" i="15"/>
  <c r="BX24" i="15"/>
  <c r="BS24" i="15"/>
  <c r="BN24" i="15"/>
  <c r="BI24" i="15"/>
  <c r="BD24" i="15"/>
  <c r="AY24" i="15"/>
  <c r="AT24" i="15"/>
  <c r="AO24" i="15"/>
  <c r="AJ24" i="15"/>
  <c r="AE24" i="15"/>
  <c r="Z24" i="15"/>
  <c r="U24" i="15"/>
  <c r="P24" i="15"/>
  <c r="K24" i="15"/>
  <c r="F24" i="15"/>
  <c r="C24" i="15"/>
  <c r="D24" i="15" s="1"/>
  <c r="CW23" i="15"/>
  <c r="CR23" i="15"/>
  <c r="CM23" i="15"/>
  <c r="CH23" i="15"/>
  <c r="CC23" i="15"/>
  <c r="BX23" i="15"/>
  <c r="BS23" i="15"/>
  <c r="BN23" i="15"/>
  <c r="BI23" i="15"/>
  <c r="BD23" i="15"/>
  <c r="AY23" i="15"/>
  <c r="AT23" i="15"/>
  <c r="AO23" i="15"/>
  <c r="AJ23" i="15"/>
  <c r="AE23" i="15"/>
  <c r="Z23" i="15"/>
  <c r="U23" i="15"/>
  <c r="P23" i="15"/>
  <c r="K23" i="15"/>
  <c r="F23" i="15"/>
  <c r="C23" i="15"/>
  <c r="CW22" i="15"/>
  <c r="CR22" i="15"/>
  <c r="CM22" i="15"/>
  <c r="CH22" i="15"/>
  <c r="CC22" i="15"/>
  <c r="BX22" i="15"/>
  <c r="BS22" i="15"/>
  <c r="BN22" i="15"/>
  <c r="BI22" i="15"/>
  <c r="BD22" i="15"/>
  <c r="AY22" i="15"/>
  <c r="AT22" i="15"/>
  <c r="AO22" i="15"/>
  <c r="AJ22" i="15"/>
  <c r="AE22" i="15"/>
  <c r="Z22" i="15"/>
  <c r="U22" i="15"/>
  <c r="P22" i="15"/>
  <c r="K22" i="15"/>
  <c r="F22" i="15"/>
  <c r="C22" i="15"/>
  <c r="D22" i="15" s="1"/>
  <c r="CW21" i="15"/>
  <c r="CR21" i="15"/>
  <c r="CM21" i="15"/>
  <c r="CH21" i="15"/>
  <c r="CC21" i="15"/>
  <c r="BX21" i="15"/>
  <c r="BS21" i="15"/>
  <c r="BN21" i="15"/>
  <c r="BI21" i="15"/>
  <c r="BD21" i="15"/>
  <c r="AY21" i="15"/>
  <c r="AT21" i="15"/>
  <c r="AO21" i="15"/>
  <c r="AJ21" i="15"/>
  <c r="AE21" i="15"/>
  <c r="Z21" i="15"/>
  <c r="U21" i="15"/>
  <c r="P21" i="15"/>
  <c r="K21" i="15"/>
  <c r="F21" i="15"/>
  <c r="C21" i="15"/>
  <c r="D21" i="15" s="1"/>
  <c r="CW20" i="15"/>
  <c r="CR20" i="15"/>
  <c r="CM20" i="15"/>
  <c r="CH20" i="15"/>
  <c r="CC20" i="15"/>
  <c r="BX20" i="15"/>
  <c r="BS20" i="15"/>
  <c r="BN20" i="15"/>
  <c r="BI20" i="15"/>
  <c r="BD20" i="15"/>
  <c r="AY20" i="15"/>
  <c r="AT20" i="15"/>
  <c r="AO20" i="15"/>
  <c r="AJ20" i="15"/>
  <c r="AE20" i="15"/>
  <c r="Z20" i="15"/>
  <c r="U20" i="15"/>
  <c r="P20" i="15"/>
  <c r="K20" i="15"/>
  <c r="F20" i="15"/>
  <c r="C20" i="15"/>
  <c r="D20" i="15" s="1"/>
  <c r="CW19" i="15"/>
  <c r="CR19" i="15"/>
  <c r="CT19" i="15" s="1"/>
  <c r="CM19" i="15"/>
  <c r="CH19" i="15"/>
  <c r="CF19" i="15" s="1"/>
  <c r="CC19" i="15"/>
  <c r="BX19" i="15"/>
  <c r="BW19" i="15" s="1"/>
  <c r="BS19" i="15"/>
  <c r="BN19" i="15"/>
  <c r="BO19" i="15" s="1"/>
  <c r="BI19" i="15"/>
  <c r="BD19" i="15"/>
  <c r="AY19" i="15"/>
  <c r="AT19" i="15"/>
  <c r="AO19" i="15"/>
  <c r="AQ19" i="15" s="1"/>
  <c r="AJ19" i="15"/>
  <c r="AI19" i="15" s="1"/>
  <c r="AE19" i="15"/>
  <c r="Z19" i="15"/>
  <c r="AA19" i="15" s="1"/>
  <c r="U19" i="15"/>
  <c r="V19" i="15" s="1"/>
  <c r="P19" i="15"/>
  <c r="O19" i="15" s="1"/>
  <c r="K19" i="15"/>
  <c r="F19" i="15"/>
  <c r="C19" i="15"/>
  <c r="CW18" i="15"/>
  <c r="CY18" i="15" s="1"/>
  <c r="CR18" i="15"/>
  <c r="CQ18" i="15" s="1"/>
  <c r="CM18" i="15"/>
  <c r="CN18" i="15" s="1"/>
  <c r="CH18" i="15"/>
  <c r="CI18" i="15" s="1"/>
  <c r="CC18" i="15"/>
  <c r="BX18" i="15"/>
  <c r="BS18" i="15"/>
  <c r="BR18" i="15" s="1"/>
  <c r="BN18" i="15"/>
  <c r="BI18" i="15"/>
  <c r="BK18" i="15" s="1"/>
  <c r="BD18" i="15"/>
  <c r="BC18" i="15" s="1"/>
  <c r="AY18" i="15"/>
  <c r="AZ18" i="15" s="1"/>
  <c r="AT18" i="15"/>
  <c r="AU18" i="15" s="1"/>
  <c r="AO18" i="15"/>
  <c r="AJ18" i="15"/>
  <c r="AE18" i="15"/>
  <c r="Z18" i="15"/>
  <c r="U18" i="15"/>
  <c r="W18" i="15" s="1"/>
  <c r="P18" i="15"/>
  <c r="O18" i="15" s="1"/>
  <c r="K18" i="15"/>
  <c r="L18" i="15" s="1"/>
  <c r="F18" i="15"/>
  <c r="G18" i="15" s="1"/>
  <c r="C18" i="15"/>
  <c r="D18" i="15" s="1"/>
  <c r="CW17" i="15"/>
  <c r="CR17" i="15"/>
  <c r="CM17" i="15"/>
  <c r="CH17" i="15"/>
  <c r="CC17" i="15"/>
  <c r="BX17" i="15"/>
  <c r="BS17" i="15"/>
  <c r="BN17" i="15"/>
  <c r="BI17" i="15"/>
  <c r="BD17" i="15"/>
  <c r="AY17" i="15"/>
  <c r="AT17" i="15"/>
  <c r="AO17" i="15"/>
  <c r="AJ17" i="15"/>
  <c r="AE17" i="15"/>
  <c r="Z17" i="15"/>
  <c r="U17" i="15"/>
  <c r="P17" i="15"/>
  <c r="K17" i="15"/>
  <c r="F17" i="15"/>
  <c r="C17" i="15"/>
  <c r="CW16" i="15"/>
  <c r="CX16" i="15" s="1"/>
  <c r="CR16" i="15"/>
  <c r="CS16" i="15" s="1"/>
  <c r="CM16" i="15"/>
  <c r="CN16" i="15" s="1"/>
  <c r="CH16" i="15"/>
  <c r="CI16" i="15" s="1"/>
  <c r="CC16" i="15"/>
  <c r="CE16" i="15" s="1"/>
  <c r="BX16" i="15"/>
  <c r="BY16" i="15" s="1"/>
  <c r="BS16" i="15"/>
  <c r="BU16" i="15" s="1"/>
  <c r="BN16" i="15"/>
  <c r="BO16" i="15" s="1"/>
  <c r="BI16" i="15"/>
  <c r="BJ16" i="15" s="1"/>
  <c r="BD16" i="15"/>
  <c r="BE16" i="15" s="1"/>
  <c r="AY16" i="15"/>
  <c r="BA16" i="15" s="1"/>
  <c r="AT16" i="15"/>
  <c r="AU16" i="15" s="1"/>
  <c r="AO16" i="15"/>
  <c r="AQ16" i="15" s="1"/>
  <c r="AJ16" i="15"/>
  <c r="AK16" i="15" s="1"/>
  <c r="AE16" i="15"/>
  <c r="AF16" i="15" s="1"/>
  <c r="Z16" i="15"/>
  <c r="AA16" i="15" s="1"/>
  <c r="U16" i="15"/>
  <c r="W16" i="15" s="1"/>
  <c r="P16" i="15"/>
  <c r="Q16" i="15" s="1"/>
  <c r="K16" i="15"/>
  <c r="M16" i="15" s="1"/>
  <c r="F16" i="15"/>
  <c r="C16" i="15"/>
  <c r="A16" i="15"/>
  <c r="CW15" i="15"/>
  <c r="CV15" i="15" s="1"/>
  <c r="CR15" i="15"/>
  <c r="CQ15" i="15" s="1"/>
  <c r="CM15" i="15"/>
  <c r="CL15" i="15" s="1"/>
  <c r="CH15" i="15"/>
  <c r="CJ15" i="15" s="1"/>
  <c r="CC15" i="15"/>
  <c r="CB15" i="15" s="1"/>
  <c r="BX15" i="15"/>
  <c r="BZ15" i="15" s="1"/>
  <c r="BS15" i="15"/>
  <c r="BR15" i="15" s="1"/>
  <c r="BN15" i="15"/>
  <c r="BP15" i="15" s="1"/>
  <c r="BI15" i="15"/>
  <c r="BH15" i="15" s="1"/>
  <c r="BD15" i="15"/>
  <c r="BF15" i="15" s="1"/>
  <c r="AY15" i="15"/>
  <c r="AX15" i="15" s="1"/>
  <c r="AT15" i="15"/>
  <c r="AV15" i="15" s="1"/>
  <c r="AO15" i="15"/>
  <c r="AN15" i="15" s="1"/>
  <c r="AJ15" i="15"/>
  <c r="AL15" i="15" s="1"/>
  <c r="AE15" i="15"/>
  <c r="AD15" i="15" s="1"/>
  <c r="Z15" i="15"/>
  <c r="AB15" i="15" s="1"/>
  <c r="C15" i="15"/>
  <c r="CW14" i="15"/>
  <c r="CY14" i="15" s="1"/>
  <c r="CR14" i="15"/>
  <c r="CT14" i="15" s="1"/>
  <c r="CM14" i="15"/>
  <c r="CO14" i="15" s="1"/>
  <c r="CH14" i="15"/>
  <c r="CJ14" i="15" s="1"/>
  <c r="CC14" i="15"/>
  <c r="CE14" i="15" s="1"/>
  <c r="BX14" i="15"/>
  <c r="BZ14" i="15" s="1"/>
  <c r="BS14" i="15"/>
  <c r="BU14" i="15" s="1"/>
  <c r="BN14" i="15"/>
  <c r="BP14" i="15" s="1"/>
  <c r="BI14" i="15"/>
  <c r="BK14" i="15" s="1"/>
  <c r="BD14" i="15"/>
  <c r="BF14" i="15" s="1"/>
  <c r="AY14" i="15"/>
  <c r="BA14" i="15" s="1"/>
  <c r="AT14" i="15"/>
  <c r="AV14" i="15" s="1"/>
  <c r="AO14" i="15"/>
  <c r="AQ14" i="15" s="1"/>
  <c r="AJ14" i="15"/>
  <c r="AL14" i="15" s="1"/>
  <c r="AE14" i="15"/>
  <c r="AG14" i="15" s="1"/>
  <c r="Z14" i="15"/>
  <c r="AB14" i="15" s="1"/>
  <c r="C14" i="15"/>
  <c r="C13" i="15"/>
  <c r="A13" i="15"/>
  <c r="C12" i="15"/>
  <c r="D12" i="15" s="1"/>
  <c r="A12" i="15"/>
  <c r="C5" i="15"/>
  <c r="B5" i="15"/>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B34" i="15" s="1"/>
  <c r="B35" i="15" s="1"/>
  <c r="B36" i="15" s="1"/>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79" i="15" s="1"/>
  <c r="B82" i="15" s="1"/>
  <c r="B83" i="15" s="1"/>
  <c r="A5" i="15"/>
  <c r="DA4" i="15"/>
  <c r="C4" i="15"/>
  <c r="A4" i="15"/>
  <c r="DA3" i="15"/>
  <c r="EM3" i="15"/>
  <c r="EL3" i="15"/>
  <c r="EK3" i="15"/>
  <c r="EJ3" i="15"/>
  <c r="EI3" i="15"/>
  <c r="CY3" i="15"/>
  <c r="CX3" i="15"/>
  <c r="CW3" i="15"/>
  <c r="CV3" i="15"/>
  <c r="CU3" i="15"/>
  <c r="CT3" i="15"/>
  <c r="CS3" i="15"/>
  <c r="CR3" i="15"/>
  <c r="CQ3" i="15"/>
  <c r="CP3" i="15"/>
  <c r="CO3" i="15"/>
  <c r="CN3" i="15"/>
  <c r="CM3" i="15"/>
  <c r="CL3" i="15"/>
  <c r="CK3" i="15"/>
  <c r="CJ3" i="15"/>
  <c r="CI3" i="15"/>
  <c r="CH3" i="15"/>
  <c r="CG3" i="15"/>
  <c r="CF3" i="15"/>
  <c r="CE3" i="15"/>
  <c r="CD3" i="15"/>
  <c r="CC3" i="15"/>
  <c r="CB3" i="15"/>
  <c r="CA3" i="15"/>
  <c r="BZ3" i="15"/>
  <c r="BY3" i="15"/>
  <c r="BX3" i="15"/>
  <c r="BW3" i="15"/>
  <c r="BV3" i="15"/>
  <c r="BU3" i="15"/>
  <c r="BT3" i="15"/>
  <c r="BS3" i="15"/>
  <c r="BR3" i="15"/>
  <c r="BQ3" i="15"/>
  <c r="BP3" i="15"/>
  <c r="BO3" i="15"/>
  <c r="BN3" i="15"/>
  <c r="BM3" i="15"/>
  <c r="BL3" i="15"/>
  <c r="BK3" i="15"/>
  <c r="BJ3" i="15"/>
  <c r="BI3" i="15"/>
  <c r="BH3" i="15"/>
  <c r="BG3" i="15"/>
  <c r="BF3" i="15"/>
  <c r="BE3" i="15"/>
  <c r="BD3" i="15"/>
  <c r="BC3" i="15"/>
  <c r="BB3" i="15"/>
  <c r="BA3" i="15"/>
  <c r="AZ3" i="15"/>
  <c r="AY3" i="15"/>
  <c r="AX3" i="15"/>
  <c r="AW3" i="15"/>
  <c r="AV3" i="15"/>
  <c r="AU3" i="15"/>
  <c r="AT3" i="15"/>
  <c r="AS3" i="15"/>
  <c r="AR3" i="15"/>
  <c r="AQ3" i="15"/>
  <c r="AP3" i="15"/>
  <c r="AO3" i="15"/>
  <c r="AN3" i="15"/>
  <c r="AM3" i="15"/>
  <c r="AL3" i="15"/>
  <c r="AK3" i="15"/>
  <c r="AJ3" i="15"/>
  <c r="AI3" i="15"/>
  <c r="AH3" i="15"/>
  <c r="AG3" i="15"/>
  <c r="AF3" i="15"/>
  <c r="AE3" i="15"/>
  <c r="AD3" i="15"/>
  <c r="AC3" i="15"/>
  <c r="AB3" i="15"/>
  <c r="AA3" i="15"/>
  <c r="Z3" i="15"/>
  <c r="Y3" i="15"/>
  <c r="X3" i="15"/>
  <c r="W3" i="15"/>
  <c r="V3" i="15"/>
  <c r="U3" i="15"/>
  <c r="T3" i="15"/>
  <c r="S3" i="15"/>
  <c r="R3" i="15"/>
  <c r="Q3" i="15"/>
  <c r="P3" i="15"/>
  <c r="O3" i="15"/>
  <c r="N3" i="15"/>
  <c r="M3" i="15"/>
  <c r="L3" i="15"/>
  <c r="K3" i="15"/>
  <c r="J3" i="15"/>
  <c r="I3" i="15"/>
  <c r="H3" i="15"/>
  <c r="G3" i="15"/>
  <c r="F3" i="15"/>
  <c r="E3" i="15"/>
  <c r="D3" i="15"/>
  <c r="DT3" i="15"/>
  <c r="DR3" i="15"/>
  <c r="DP3" i="15"/>
  <c r="DO3" i="15"/>
  <c r="DN3" i="15"/>
  <c r="DM3" i="15"/>
  <c r="DI3" i="15"/>
  <c r="DH3" i="15"/>
  <c r="DG3" i="15"/>
  <c r="EH3" i="15"/>
  <c r="EF3" i="15"/>
  <c r="ED3" i="15"/>
  <c r="EC3" i="15"/>
  <c r="EB3" i="15"/>
  <c r="A3"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1" i="15"/>
  <c r="A40" i="15"/>
  <c r="A39" i="15"/>
  <c r="A36" i="15"/>
  <c r="A35" i="15"/>
  <c r="A34" i="15"/>
  <c r="A33" i="15"/>
  <c r="A32" i="15"/>
  <c r="A31" i="15"/>
  <c r="A30" i="15"/>
  <c r="A29" i="15"/>
  <c r="A28" i="15"/>
  <c r="A27" i="15"/>
  <c r="A26" i="15"/>
  <c r="A25" i="15"/>
  <c r="A24" i="15"/>
  <c r="A23" i="15"/>
  <c r="A22" i="15"/>
  <c r="A21" i="15"/>
  <c r="A20" i="15"/>
  <c r="A19" i="15"/>
  <c r="A18" i="15"/>
  <c r="A17" i="15"/>
  <c r="A15" i="15"/>
  <c r="A14" i="15"/>
  <c r="B12" i="37"/>
  <c r="B13" i="37" s="1"/>
  <c r="B14" i="37" s="1"/>
  <c r="B15" i="37" s="1"/>
  <c r="B16" i="37" s="1"/>
  <c r="B17" i="37" s="1"/>
  <c r="B18" i="37" s="1"/>
  <c r="B19" i="37" s="1"/>
  <c r="B20" i="37" s="1"/>
  <c r="B21" i="37" s="1"/>
  <c r="B22" i="37" s="1"/>
  <c r="B23" i="37" s="1"/>
  <c r="B24" i="37" s="1"/>
  <c r="B25" i="37" s="1"/>
  <c r="B26" i="37" s="1"/>
  <c r="B27" i="37" s="1"/>
  <c r="B28" i="37" s="1"/>
  <c r="B29" i="37" s="1"/>
  <c r="B30" i="37" s="1"/>
  <c r="B31" i="37" s="1"/>
  <c r="B32" i="37" s="1"/>
  <c r="B33" i="37" s="1"/>
  <c r="B34" i="37" s="1"/>
  <c r="B35" i="37" s="1"/>
  <c r="B36" i="37" s="1"/>
  <c r="B37" i="37" s="1"/>
  <c r="B38" i="37" s="1"/>
  <c r="B39" i="37" s="1"/>
  <c r="B40" i="37" s="1"/>
  <c r="B41" i="37" s="1"/>
  <c r="B42" i="37" s="1"/>
  <c r="B43" i="37" s="1"/>
  <c r="B44" i="37" s="1"/>
  <c r="B45" i="37" s="1"/>
  <c r="B46" i="37" s="1"/>
  <c r="B47" i="37" s="1"/>
  <c r="B48" i="37" s="1"/>
  <c r="B49" i="37" s="1"/>
  <c r="B50" i="37" s="1"/>
  <c r="B51" i="37" s="1"/>
  <c r="B52" i="37" s="1"/>
  <c r="B53" i="37" s="1"/>
  <c r="B54" i="37" s="1"/>
  <c r="B55" i="37" s="1"/>
  <c r="B56" i="37" s="1"/>
  <c r="B57" i="37" s="1"/>
  <c r="B58" i="37" s="1"/>
  <c r="B59" i="37" s="1"/>
  <c r="B60" i="37" s="1"/>
  <c r="B61" i="37" s="1"/>
  <c r="B62" i="37" s="1"/>
  <c r="B63" i="37" s="1"/>
  <c r="B64" i="37" s="1"/>
  <c r="B65" i="37" s="1"/>
  <c r="B66" i="37" s="1"/>
  <c r="B67" i="37" s="1"/>
  <c r="B68" i="37" s="1"/>
  <c r="B69" i="37" s="1"/>
  <c r="B70" i="37" s="1"/>
  <c r="B71" i="37" s="1"/>
  <c r="B72" i="37" s="1"/>
  <c r="B73" i="37" s="1"/>
  <c r="B74" i="37" s="1"/>
  <c r="B75" i="37" s="1"/>
  <c r="B76" i="37" s="1"/>
  <c r="B77" i="37" s="1"/>
  <c r="B78" i="37" s="1"/>
  <c r="B79" i="37" s="1"/>
  <c r="EH3" i="37"/>
  <c r="EA3" i="37"/>
  <c r="DT3" i="37"/>
  <c r="DM3" i="37"/>
  <c r="DF3" i="37"/>
  <c r="CY3" i="37"/>
  <c r="CR3" i="37"/>
  <c r="CK3" i="37"/>
  <c r="CD3" i="37"/>
  <c r="BW3" i="37"/>
  <c r="BP3" i="37"/>
  <c r="FO3" i="37"/>
  <c r="FA3" i="37"/>
  <c r="FN3" i="37"/>
  <c r="FI3" i="37"/>
  <c r="FH3" i="37"/>
  <c r="G2" i="37"/>
  <c r="BB82" i="15" l="1"/>
  <c r="BG82" i="15" s="1"/>
  <c r="BL82" i="15" s="1"/>
  <c r="B80" i="37"/>
  <c r="B81" i="37" s="1"/>
  <c r="B82" i="37" s="1"/>
  <c r="B83" i="37" s="1"/>
  <c r="AI11" i="37"/>
  <c r="W11" i="15"/>
  <c r="T11" i="15"/>
  <c r="S11" i="15"/>
  <c r="V11" i="15"/>
  <c r="BQ83" i="15"/>
  <c r="BV83" i="15" s="1"/>
  <c r="F1" i="44"/>
  <c r="H1" i="44" s="1"/>
  <c r="J1" i="44" s="1"/>
  <c r="L1" i="44" s="1"/>
  <c r="N1" i="44" s="1"/>
  <c r="P1" i="44" s="1"/>
  <c r="R1" i="44" s="1"/>
  <c r="T1" i="44" s="1"/>
  <c r="V1" i="44" s="1"/>
  <c r="X1" i="44" s="1"/>
  <c r="Z1" i="44" s="1"/>
  <c r="AB1" i="44" s="1"/>
  <c r="AD1" i="44" s="1"/>
  <c r="AF1" i="44" s="1"/>
  <c r="AH1" i="44" s="1"/>
  <c r="AJ1" i="44" s="1"/>
  <c r="AL1" i="44" s="1"/>
  <c r="AN1" i="44" s="1"/>
  <c r="AP1" i="44" s="1"/>
  <c r="AR1" i="44" s="1"/>
  <c r="AT1" i="44" s="1"/>
  <c r="AV1" i="44" s="1"/>
  <c r="AX1" i="44" s="1"/>
  <c r="AZ1" i="44" s="1"/>
  <c r="BB1" i="44" s="1"/>
  <c r="BD1" i="44" s="1"/>
  <c r="BF1" i="44" s="1"/>
  <c r="BH1" i="44" s="1"/>
  <c r="BJ1" i="44" s="1"/>
  <c r="BL1" i="44" s="1"/>
  <c r="BN1" i="44" s="1"/>
  <c r="BP1" i="44" s="1"/>
  <c r="BR1" i="44" s="1"/>
  <c r="BT1" i="44" s="1"/>
  <c r="BV1" i="44" s="1"/>
  <c r="BX1" i="44" s="1"/>
  <c r="BZ1" i="44" s="1"/>
  <c r="CB1" i="44" s="1"/>
  <c r="CD1" i="44" s="1"/>
  <c r="CF1" i="44" s="1"/>
  <c r="CH1" i="44" s="1"/>
  <c r="CJ1" i="44" s="1"/>
  <c r="CL1" i="44" s="1"/>
  <c r="CN1" i="44" s="1"/>
  <c r="CP1" i="44" s="1"/>
  <c r="CR1" i="44" s="1"/>
  <c r="CT1" i="44" s="1"/>
  <c r="CV1" i="44" s="1"/>
  <c r="CX1" i="44" s="1"/>
  <c r="CZ1" i="44" s="1"/>
  <c r="DB1" i="44" s="1"/>
  <c r="DD1" i="44" s="1"/>
  <c r="DF1" i="44" s="1"/>
  <c r="DH1" i="44" s="1"/>
  <c r="DJ1" i="44" s="1"/>
  <c r="DL1" i="44" s="1"/>
  <c r="DN1" i="44" s="1"/>
  <c r="DP1" i="44" s="1"/>
  <c r="DR1" i="44" s="1"/>
  <c r="DT1" i="44" s="1"/>
  <c r="DV1" i="44" s="1"/>
  <c r="DX1" i="44" s="1"/>
  <c r="DZ1" i="44" s="1"/>
  <c r="EB1" i="44" s="1"/>
  <c r="ED1" i="44" s="1"/>
  <c r="EF1" i="44" s="1"/>
  <c r="EH1" i="44" s="1"/>
  <c r="EJ1" i="44" s="1"/>
  <c r="EL1" i="44" s="1"/>
  <c r="EN1" i="44" s="1"/>
  <c r="EP1" i="44" s="1"/>
  <c r="BF78" i="15"/>
  <c r="DF16" i="15"/>
  <c r="D16" i="15"/>
  <c r="DF17" i="15"/>
  <c r="D17" i="15"/>
  <c r="DF32" i="15"/>
  <c r="D32" i="15"/>
  <c r="DF19" i="15"/>
  <c r="D19" i="15"/>
  <c r="DF26" i="15"/>
  <c r="DG26" i="15" s="1"/>
  <c r="D26" i="15"/>
  <c r="DF42" i="15"/>
  <c r="D42" i="15"/>
  <c r="DF73" i="15"/>
  <c r="D73" i="15"/>
  <c r="DF79" i="15"/>
  <c r="D79" i="15"/>
  <c r="DF13" i="15"/>
  <c r="D13" i="15"/>
  <c r="DF58" i="15"/>
  <c r="D58" i="15"/>
  <c r="DF37" i="15"/>
  <c r="D37" i="15"/>
  <c r="DF15" i="15"/>
  <c r="D15" i="15"/>
  <c r="DF5" i="15"/>
  <c r="D5" i="15"/>
  <c r="DF59" i="15"/>
  <c r="D59" i="15"/>
  <c r="DF53" i="15"/>
  <c r="D53" i="15"/>
  <c r="DF69" i="15"/>
  <c r="D69" i="15"/>
  <c r="DF14" i="15"/>
  <c r="D14" i="15"/>
  <c r="DF23" i="15"/>
  <c r="DG23" i="15" s="1"/>
  <c r="D23" i="15"/>
  <c r="DF4" i="15"/>
  <c r="DG4" i="15" s="1"/>
  <c r="D4" i="15"/>
  <c r="BQ82" i="15"/>
  <c r="BV82" i="15" s="1"/>
  <c r="CA82" i="15" s="1"/>
  <c r="CF82" i="15" s="1"/>
  <c r="DF21" i="15"/>
  <c r="DG21" i="15" s="1"/>
  <c r="DF31" i="15"/>
  <c r="I50" i="15"/>
  <c r="DF56" i="15"/>
  <c r="DF66" i="15"/>
  <c r="DF71" i="15"/>
  <c r="DF22" i="15"/>
  <c r="DG22" i="15" s="1"/>
  <c r="DF27" i="15"/>
  <c r="DG27" i="15" s="1"/>
  <c r="DF47" i="15"/>
  <c r="DF51" i="15"/>
  <c r="DF61" i="15"/>
  <c r="DF72" i="15"/>
  <c r="DF77" i="15"/>
  <c r="DF28" i="15"/>
  <c r="DG28" i="15" s="1"/>
  <c r="CS30" i="15"/>
  <c r="DF38" i="15"/>
  <c r="AQ42" i="15"/>
  <c r="DF48" i="15"/>
  <c r="M50" i="15"/>
  <c r="DF52" i="15"/>
  <c r="DF57" i="15"/>
  <c r="DF62" i="15"/>
  <c r="DF67" i="15"/>
  <c r="DF18" i="15"/>
  <c r="DF33" i="15"/>
  <c r="DF43" i="15"/>
  <c r="DF68" i="15"/>
  <c r="DF78" i="15"/>
  <c r="DF24" i="15"/>
  <c r="DG24" i="15" s="1"/>
  <c r="DF29" i="15"/>
  <c r="DG29" i="15" s="1"/>
  <c r="DF34" i="15"/>
  <c r="DF39" i="15"/>
  <c r="DF44" i="15"/>
  <c r="DF49" i="15"/>
  <c r="DF63" i="15"/>
  <c r="DF74" i="15"/>
  <c r="DF30" i="15"/>
  <c r="DF40" i="15"/>
  <c r="DF50" i="15"/>
  <c r="DF54" i="15"/>
  <c r="DF64" i="15"/>
  <c r="DF12" i="15"/>
  <c r="DF20" i="15"/>
  <c r="DG20" i="15" s="1"/>
  <c r="DH20" i="15" s="1"/>
  <c r="DF25" i="15"/>
  <c r="DG25" i="15" s="1"/>
  <c r="DF35" i="15"/>
  <c r="DF45" i="15"/>
  <c r="CQ57" i="15"/>
  <c r="DF70" i="15"/>
  <c r="DF75" i="15"/>
  <c r="DF36" i="15"/>
  <c r="DF41" i="15"/>
  <c r="DF46" i="15"/>
  <c r="DF55" i="15"/>
  <c r="DF60" i="15"/>
  <c r="DF65" i="15"/>
  <c r="DF76" i="15"/>
  <c r="AU49" i="15"/>
  <c r="BF60" i="15"/>
  <c r="BO57" i="15"/>
  <c r="AM78" i="15"/>
  <c r="CE24" i="15"/>
  <c r="CS77" i="15"/>
  <c r="T24" i="15"/>
  <c r="AF78" i="15"/>
  <c r="AM54" i="15"/>
  <c r="AH74" i="15"/>
  <c r="BL75" i="15"/>
  <c r="E77" i="15"/>
  <c r="AF63" i="15"/>
  <c r="BP63" i="15"/>
  <c r="AU65" i="15"/>
  <c r="CD65" i="15"/>
  <c r="G5" i="15"/>
  <c r="H5" i="15"/>
  <c r="G4" i="15"/>
  <c r="H4" i="15"/>
  <c r="BR36" i="15"/>
  <c r="H54" i="15"/>
  <c r="CQ65" i="15"/>
  <c r="BG13" i="15"/>
  <c r="BJ14" i="15"/>
  <c r="AX18" i="15"/>
  <c r="BR19" i="15"/>
  <c r="AM51" i="15"/>
  <c r="M66" i="15"/>
  <c r="BW17" i="15"/>
  <c r="AP42" i="15"/>
  <c r="AZ75" i="15"/>
  <c r="BP12" i="15"/>
  <c r="G13" i="15"/>
  <c r="L31" i="15"/>
  <c r="BO39" i="15"/>
  <c r="AX68" i="15"/>
  <c r="AP14" i="15"/>
  <c r="BZ17" i="15"/>
  <c r="CO22" i="15"/>
  <c r="AN23" i="15"/>
  <c r="AI33" i="15"/>
  <c r="AW36" i="15"/>
  <c r="BL40" i="15"/>
  <c r="BL54" i="15"/>
  <c r="J66" i="15"/>
  <c r="BE71" i="15"/>
  <c r="CT74" i="15"/>
  <c r="J12" i="15"/>
  <c r="AR12" i="15"/>
  <c r="BL79" i="15"/>
  <c r="AI18" i="15"/>
  <c r="CK77" i="15"/>
  <c r="BV24" i="15"/>
  <c r="BQ31" i="15"/>
  <c r="AW79" i="15"/>
  <c r="AQ54" i="15"/>
  <c r="AX79" i="15"/>
  <c r="AV27" i="15"/>
  <c r="I31" i="15"/>
  <c r="S54" i="15"/>
  <c r="BC70" i="15"/>
  <c r="T75" i="15"/>
  <c r="H44" i="15"/>
  <c r="BP50" i="15"/>
  <c r="BE55" i="15"/>
  <c r="AB71" i="15"/>
  <c r="R74" i="15"/>
  <c r="CD14" i="15"/>
  <c r="AK18" i="15"/>
  <c r="J21" i="15"/>
  <c r="AK25" i="15"/>
  <c r="AH30" i="15"/>
  <c r="R36" i="15"/>
  <c r="BF39" i="15"/>
  <c r="BP40" i="15"/>
  <c r="AQ41" i="15"/>
  <c r="H50" i="15"/>
  <c r="AQ51" i="15"/>
  <c r="BZ51" i="15"/>
  <c r="AV53" i="15"/>
  <c r="M56" i="15"/>
  <c r="BZ56" i="15"/>
  <c r="CE61" i="15"/>
  <c r="CT65" i="15"/>
  <c r="S79" i="15"/>
  <c r="AL18" i="15"/>
  <c r="BC68" i="15"/>
  <c r="BE70" i="15"/>
  <c r="L75" i="15"/>
  <c r="BA19" i="15"/>
  <c r="CL21" i="15"/>
  <c r="AQ24" i="15"/>
  <c r="AA38" i="15"/>
  <c r="BE38" i="15"/>
  <c r="CQ38" i="15"/>
  <c r="BM39" i="15"/>
  <c r="AN42" i="15"/>
  <c r="CE51" i="15"/>
  <c r="BG54" i="15"/>
  <c r="AD18" i="15"/>
  <c r="CG20" i="15"/>
  <c r="T21" i="15"/>
  <c r="CB24" i="15"/>
  <c r="X44" i="15"/>
  <c r="CF50" i="15"/>
  <c r="Y56" i="15"/>
  <c r="BK79" i="15"/>
  <c r="CX14" i="15"/>
  <c r="BP16" i="15"/>
  <c r="AF18" i="15"/>
  <c r="CJ20" i="15"/>
  <c r="BB22" i="15"/>
  <c r="CD24" i="15"/>
  <c r="AB31" i="15"/>
  <c r="AC34" i="15"/>
  <c r="AF41" i="15"/>
  <c r="AB44" i="15"/>
  <c r="CJ50" i="15"/>
  <c r="AK60" i="15"/>
  <c r="AU67" i="15"/>
  <c r="X71" i="15"/>
  <c r="CU73" i="15"/>
  <c r="BU74" i="15"/>
  <c r="AF14" i="15"/>
  <c r="AZ14" i="15"/>
  <c r="BT14" i="15"/>
  <c r="CN14" i="15"/>
  <c r="CO15" i="15"/>
  <c r="CG17" i="15"/>
  <c r="AN18" i="15"/>
  <c r="BC20" i="15"/>
  <c r="BJ22" i="15"/>
  <c r="AD26" i="15"/>
  <c r="CT26" i="15"/>
  <c r="AK27" i="15"/>
  <c r="BM27" i="15"/>
  <c r="J28" i="15"/>
  <c r="AN28" i="15"/>
  <c r="O29" i="15"/>
  <c r="AQ29" i="15"/>
  <c r="R30" i="15"/>
  <c r="AW30" i="15"/>
  <c r="BR34" i="15"/>
  <c r="S36" i="15"/>
  <c r="BF43" i="15"/>
  <c r="BY46" i="15"/>
  <c r="AI48" i="15"/>
  <c r="CI48" i="15"/>
  <c r="BB49" i="15"/>
  <c r="BT50" i="15"/>
  <c r="CQ54" i="15"/>
  <c r="AQ59" i="15"/>
  <c r="BW59" i="15"/>
  <c r="AM62" i="15"/>
  <c r="CN64" i="15"/>
  <c r="CS66" i="15"/>
  <c r="CE68" i="15"/>
  <c r="M69" i="15"/>
  <c r="BK73" i="15"/>
  <c r="AR77" i="15"/>
  <c r="AD4" i="15"/>
  <c r="BV12" i="15"/>
  <c r="J15" i="15"/>
  <c r="Y4" i="15"/>
  <c r="BU50" i="15"/>
  <c r="AI4" i="15"/>
  <c r="AL27" i="15"/>
  <c r="BZ46" i="15"/>
  <c r="CJ48" i="15"/>
  <c r="AN14" i="15"/>
  <c r="BH14" i="15"/>
  <c r="CB14" i="15"/>
  <c r="CV14" i="15"/>
  <c r="AV16" i="15"/>
  <c r="AP18" i="15"/>
  <c r="CB23" i="15"/>
  <c r="L28" i="15"/>
  <c r="AQ28" i="15"/>
  <c r="CE29" i="15"/>
  <c r="BU37" i="15"/>
  <c r="CS39" i="15"/>
  <c r="BM40" i="15"/>
  <c r="BP44" i="15"/>
  <c r="AL45" i="15"/>
  <c r="AK48" i="15"/>
  <c r="BW48" i="15"/>
  <c r="BF49" i="15"/>
  <c r="CA51" i="15"/>
  <c r="AS53" i="15"/>
  <c r="CX56" i="15"/>
  <c r="AP62" i="15"/>
  <c r="CA62" i="15"/>
  <c r="AQ67" i="15"/>
  <c r="CL68" i="15"/>
  <c r="Q69" i="15"/>
  <c r="Y70" i="15"/>
  <c r="Y71" i="15"/>
  <c r="CI71" i="15"/>
  <c r="BV74" i="15"/>
  <c r="AL76" i="15"/>
  <c r="AV77" i="15"/>
  <c r="CF77" i="15"/>
  <c r="AN4" i="15"/>
  <c r="N15" i="15"/>
  <c r="AI17" i="15"/>
  <c r="E18" i="15"/>
  <c r="T19" i="15"/>
  <c r="BW21" i="15"/>
  <c r="Y25" i="15"/>
  <c r="CT39" i="15"/>
  <c r="I40" i="15"/>
  <c r="E55" i="15"/>
  <c r="CF57" i="15"/>
  <c r="CL58" i="15"/>
  <c r="AX66" i="15"/>
  <c r="CQ75" i="15"/>
  <c r="AS4" i="15"/>
  <c r="CF12" i="15"/>
  <c r="R15" i="15"/>
  <c r="AX4" i="15"/>
  <c r="CG12" i="15"/>
  <c r="CA22" i="15"/>
  <c r="CP19" i="15"/>
  <c r="E20" i="15"/>
  <c r="W22" i="15"/>
  <c r="CB22" i="15"/>
  <c r="BR24" i="15"/>
  <c r="BM25" i="15"/>
  <c r="BK29" i="15"/>
  <c r="CQ29" i="15"/>
  <c r="CV30" i="15"/>
  <c r="E31" i="15"/>
  <c r="X31" i="15"/>
  <c r="BA31" i="15"/>
  <c r="E33" i="15"/>
  <c r="Q39" i="15"/>
  <c r="M40" i="15"/>
  <c r="BR40" i="15"/>
  <c r="BV46" i="15"/>
  <c r="CF48" i="15"/>
  <c r="BQ50" i="15"/>
  <c r="CJ57" i="15"/>
  <c r="CN58" i="15"/>
  <c r="BL60" i="15"/>
  <c r="BM63" i="15"/>
  <c r="CL66" i="15"/>
  <c r="W67" i="15"/>
  <c r="BQ69" i="15"/>
  <c r="CT69" i="15"/>
  <c r="BM70" i="15"/>
  <c r="G71" i="15"/>
  <c r="CI76" i="15"/>
  <c r="G12" i="15"/>
  <c r="CJ12" i="15"/>
  <c r="AU78" i="15"/>
  <c r="AD14" i="15"/>
  <c r="AX14" i="15"/>
  <c r="BR14" i="15"/>
  <c r="CL14" i="15"/>
  <c r="BH22" i="15"/>
  <c r="CQ26" i="15"/>
  <c r="AI27" i="15"/>
  <c r="CL27" i="15"/>
  <c r="AN29" i="15"/>
  <c r="BW30" i="15"/>
  <c r="AM33" i="15"/>
  <c r="CP34" i="15"/>
  <c r="BW36" i="15"/>
  <c r="BW46" i="15"/>
  <c r="BW47" i="15"/>
  <c r="CG48" i="15"/>
  <c r="BR50" i="15"/>
  <c r="J69" i="15"/>
  <c r="BG73" i="15"/>
  <c r="CL74" i="15"/>
  <c r="T4" i="15"/>
  <c r="BT12" i="15"/>
  <c r="Q13" i="15"/>
  <c r="AZ13" i="15"/>
  <c r="BH4" i="15"/>
  <c r="O4" i="15"/>
  <c r="J4" i="15"/>
  <c r="CU35" i="15"/>
  <c r="BC51" i="15"/>
  <c r="BB52" i="15"/>
  <c r="CV55" i="15"/>
  <c r="CY55" i="15"/>
  <c r="AL56" i="15"/>
  <c r="AH56" i="15"/>
  <c r="AR58" i="15"/>
  <c r="AU58" i="15"/>
  <c r="H59" i="15"/>
  <c r="CQ67" i="15"/>
  <c r="J68" i="15"/>
  <c r="BM71" i="15"/>
  <c r="BL71" i="15"/>
  <c r="CB78" i="15"/>
  <c r="CE78" i="15"/>
  <c r="AG18" i="15"/>
  <c r="CB18" i="15"/>
  <c r="AS20" i="15"/>
  <c r="R21" i="15"/>
  <c r="AM22" i="15"/>
  <c r="AD24" i="15"/>
  <c r="BC24" i="15"/>
  <c r="CV24" i="15"/>
  <c r="AG25" i="15"/>
  <c r="AX25" i="15"/>
  <c r="O26" i="15"/>
  <c r="BV26" i="15"/>
  <c r="BU27" i="15"/>
  <c r="CL28" i="15"/>
  <c r="BV29" i="15"/>
  <c r="BE30" i="15"/>
  <c r="BR33" i="15"/>
  <c r="BZ34" i="15"/>
  <c r="AF35" i="15"/>
  <c r="AD35" i="15"/>
  <c r="CY35" i="15"/>
  <c r="J36" i="15"/>
  <c r="CL36" i="15"/>
  <c r="CK39" i="15"/>
  <c r="AP41" i="15"/>
  <c r="N42" i="15"/>
  <c r="AI43" i="15"/>
  <c r="AC52" i="15"/>
  <c r="BF52" i="15"/>
  <c r="BP53" i="15"/>
  <c r="CU58" i="15"/>
  <c r="CY58" i="15"/>
  <c r="BV66" i="15"/>
  <c r="BZ66" i="15"/>
  <c r="CY67" i="15"/>
  <c r="CV67" i="15"/>
  <c r="O68" i="15"/>
  <c r="R70" i="15"/>
  <c r="O70" i="15"/>
  <c r="N70" i="15"/>
  <c r="BP71" i="15"/>
  <c r="CS71" i="15"/>
  <c r="CB76" i="15"/>
  <c r="CK13" i="15"/>
  <c r="CN13" i="15"/>
  <c r="CL13" i="15"/>
  <c r="AH25" i="15"/>
  <c r="BF30" i="15"/>
  <c r="AG34" i="15"/>
  <c r="BB34" i="15"/>
  <c r="BF34" i="15"/>
  <c r="CO37" i="15"/>
  <c r="AI46" i="15"/>
  <c r="O56" i="15"/>
  <c r="CD74" i="15"/>
  <c r="AB16" i="15"/>
  <c r="BC17" i="15"/>
  <c r="CB17" i="15"/>
  <c r="CK19" i="15"/>
  <c r="AV20" i="15"/>
  <c r="CB20" i="15"/>
  <c r="BH21" i="15"/>
  <c r="CE21" i="15"/>
  <c r="BK22" i="15"/>
  <c r="CL22" i="15"/>
  <c r="J24" i="15"/>
  <c r="BF24" i="15"/>
  <c r="AI25" i="15"/>
  <c r="BA25" i="15"/>
  <c r="R26" i="15"/>
  <c r="BZ26" i="15"/>
  <c r="J27" i="15"/>
  <c r="BF27" i="15"/>
  <c r="M28" i="15"/>
  <c r="AH29" i="15"/>
  <c r="BZ29" i="15"/>
  <c r="AS30" i="15"/>
  <c r="CQ30" i="15"/>
  <c r="CJ31" i="15"/>
  <c r="AD33" i="15"/>
  <c r="BU33" i="15"/>
  <c r="AF34" i="15"/>
  <c r="CN37" i="15"/>
  <c r="Y38" i="15"/>
  <c r="AD41" i="15"/>
  <c r="BV42" i="15"/>
  <c r="AL43" i="15"/>
  <c r="BL44" i="15"/>
  <c r="AK46" i="15"/>
  <c r="BV49" i="15"/>
  <c r="CS49" i="15"/>
  <c r="X50" i="15"/>
  <c r="CQ51" i="15"/>
  <c r="AG52" i="15"/>
  <c r="BM54" i="15"/>
  <c r="T56" i="15"/>
  <c r="V57" i="15"/>
  <c r="S57" i="15"/>
  <c r="AZ57" i="15"/>
  <c r="CG58" i="15"/>
  <c r="CI58" i="15"/>
  <c r="BW62" i="15"/>
  <c r="BY62" i="15"/>
  <c r="AU63" i="15"/>
  <c r="AS63" i="15"/>
  <c r="Q66" i="15"/>
  <c r="AU71" i="15"/>
  <c r="CB73" i="15"/>
  <c r="S12" i="15"/>
  <c r="Y14" i="15"/>
  <c r="AI14" i="15"/>
  <c r="AS14" i="15"/>
  <c r="BC14" i="15"/>
  <c r="BM14" i="15"/>
  <c r="BW14" i="15"/>
  <c r="CG14" i="15"/>
  <c r="CQ14" i="15"/>
  <c r="Y15" i="15"/>
  <c r="BC15" i="15"/>
  <c r="E17" i="15"/>
  <c r="AI20" i="15"/>
  <c r="AX22" i="15"/>
  <c r="CB26" i="15"/>
  <c r="CB28" i="15"/>
  <c r="AI31" i="15"/>
  <c r="BL32" i="15"/>
  <c r="BC33" i="15"/>
  <c r="BW33" i="15"/>
  <c r="AH34" i="15"/>
  <c r="BV36" i="15"/>
  <c r="BT37" i="15"/>
  <c r="R39" i="15"/>
  <c r="BQ43" i="15"/>
  <c r="AI47" i="15"/>
  <c r="L53" i="15"/>
  <c r="CD53" i="15"/>
  <c r="CJ56" i="15"/>
  <c r="AI60" i="15"/>
  <c r="CG60" i="15"/>
  <c r="AV63" i="15"/>
  <c r="BB66" i="15"/>
  <c r="BE66" i="15"/>
  <c r="CA67" i="15"/>
  <c r="CL69" i="15"/>
  <c r="CB72" i="15"/>
  <c r="R34" i="15"/>
  <c r="N34" i="15"/>
  <c r="M37" i="15"/>
  <c r="E47" i="15"/>
  <c r="AS48" i="15"/>
  <c r="BY49" i="15"/>
  <c r="M52" i="15"/>
  <c r="CY54" i="15"/>
  <c r="BE56" i="15"/>
  <c r="BC56" i="15"/>
  <c r="Y57" i="15"/>
  <c r="AB57" i="15"/>
  <c r="BZ79" i="15"/>
  <c r="BY79" i="15"/>
  <c r="AA14" i="15"/>
  <c r="AK14" i="15"/>
  <c r="AU14" i="15"/>
  <c r="BE14" i="15"/>
  <c r="BO14" i="15"/>
  <c r="BY14" i="15"/>
  <c r="CI14" i="15"/>
  <c r="CS14" i="15"/>
  <c r="G17" i="15"/>
  <c r="AK20" i="15"/>
  <c r="AL25" i="15"/>
  <c r="CD28" i="15"/>
  <c r="CT30" i="15"/>
  <c r="BG33" i="15"/>
  <c r="BK33" i="15"/>
  <c r="AZ40" i="15"/>
  <c r="AX40" i="15"/>
  <c r="AU48" i="15"/>
  <c r="AG49" i="15"/>
  <c r="BZ49" i="15"/>
  <c r="R52" i="15"/>
  <c r="BW54" i="15"/>
  <c r="H56" i="15"/>
  <c r="CO56" i="15"/>
  <c r="L61" i="15"/>
  <c r="M61" i="15"/>
  <c r="T72" i="15"/>
  <c r="AZ72" i="15"/>
  <c r="H17" i="15"/>
  <c r="AM17" i="15"/>
  <c r="AL20" i="15"/>
  <c r="CI20" i="15"/>
  <c r="N21" i="15"/>
  <c r="BU21" i="15"/>
  <c r="CP21" i="15"/>
  <c r="AX24" i="15"/>
  <c r="AC25" i="15"/>
  <c r="BR26" i="15"/>
  <c r="Y27" i="15"/>
  <c r="BQ27" i="15"/>
  <c r="AD28" i="15"/>
  <c r="CF28" i="15"/>
  <c r="AP29" i="15"/>
  <c r="BR29" i="15"/>
  <c r="BC30" i="15"/>
  <c r="CU30" i="15"/>
  <c r="AK33" i="15"/>
  <c r="BM33" i="15"/>
  <c r="AR34" i="15"/>
  <c r="T37" i="15"/>
  <c r="I38" i="15"/>
  <c r="CS38" i="15"/>
  <c r="V39" i="15"/>
  <c r="BE39" i="15"/>
  <c r="AM41" i="15"/>
  <c r="BG42" i="15"/>
  <c r="BJ42" i="15"/>
  <c r="AV48" i="15"/>
  <c r="BY48" i="15"/>
  <c r="AI49" i="15"/>
  <c r="Y54" i="15"/>
  <c r="X54" i="15"/>
  <c r="AA54" i="15"/>
  <c r="CB54" i="15"/>
  <c r="O61" i="15"/>
  <c r="R61" i="15"/>
  <c r="CF63" i="15"/>
  <c r="CG63" i="15"/>
  <c r="CT66" i="15"/>
  <c r="BC67" i="15"/>
  <c r="J74" i="15"/>
  <c r="I74" i="15"/>
  <c r="M74" i="15"/>
  <c r="AN72" i="15"/>
  <c r="CV72" i="15"/>
  <c r="AN73" i="15"/>
  <c r="BR74" i="15"/>
  <c r="J76" i="15"/>
  <c r="AH76" i="15"/>
  <c r="AS77" i="15"/>
  <c r="CL77" i="15"/>
  <c r="X12" i="15"/>
  <c r="AS12" i="15"/>
  <c r="L13" i="15"/>
  <c r="BA13" i="15"/>
  <c r="AN78" i="15"/>
  <c r="E79" i="15"/>
  <c r="AF79" i="15"/>
  <c r="CF75" i="15"/>
  <c r="Y12" i="15"/>
  <c r="CF13" i="15"/>
  <c r="BF70" i="15"/>
  <c r="Q71" i="15"/>
  <c r="CY72" i="15"/>
  <c r="AP73" i="15"/>
  <c r="Q74" i="15"/>
  <c r="BT74" i="15"/>
  <c r="CK74" i="15"/>
  <c r="CG75" i="15"/>
  <c r="AU77" i="15"/>
  <c r="AB12" i="15"/>
  <c r="N13" i="15"/>
  <c r="CI13" i="15"/>
  <c r="O15" i="15"/>
  <c r="AC78" i="15"/>
  <c r="I79" i="15"/>
  <c r="AI79" i="15"/>
  <c r="BQ79" i="15"/>
  <c r="V76" i="15"/>
  <c r="AW13" i="15"/>
  <c r="AG78" i="15"/>
  <c r="BY78" i="15"/>
  <c r="AP79" i="15"/>
  <c r="BT79" i="15"/>
  <c r="CX73" i="15"/>
  <c r="W76" i="15"/>
  <c r="BY76" i="15"/>
  <c r="G77" i="15"/>
  <c r="CI77" i="15"/>
  <c r="I13" i="15"/>
  <c r="AX13" i="15"/>
  <c r="AL69" i="15"/>
  <c r="CS69" i="15"/>
  <c r="BB70" i="15"/>
  <c r="CY73" i="15"/>
  <c r="CS74" i="15"/>
  <c r="AU76" i="15"/>
  <c r="H77" i="15"/>
  <c r="CJ77" i="15"/>
  <c r="CI12" i="15"/>
  <c r="J13" i="15"/>
  <c r="AR44" i="15"/>
  <c r="AV44" i="15"/>
  <c r="BU44" i="15"/>
  <c r="BR44" i="15"/>
  <c r="AV60" i="15"/>
  <c r="AS60" i="15"/>
  <c r="M63" i="15"/>
  <c r="I63" i="15"/>
  <c r="BF36" i="15"/>
  <c r="AD37" i="15"/>
  <c r="E38" i="15"/>
  <c r="H38" i="15"/>
  <c r="AF40" i="15"/>
  <c r="AC40" i="15"/>
  <c r="BR41" i="15"/>
  <c r="AS47" i="15"/>
  <c r="AU47" i="15"/>
  <c r="N49" i="15"/>
  <c r="Q49" i="15"/>
  <c r="AS15" i="15"/>
  <c r="BM15" i="15"/>
  <c r="R16" i="15"/>
  <c r="CT16" i="15"/>
  <c r="AN17" i="15"/>
  <c r="CA17" i="15"/>
  <c r="CQ17" i="15"/>
  <c r="O20" i="15"/>
  <c r="BY20" i="15"/>
  <c r="AG21" i="15"/>
  <c r="AX21" i="15"/>
  <c r="T22" i="15"/>
  <c r="AN22" i="15"/>
  <c r="CP22" i="15"/>
  <c r="BK23" i="15"/>
  <c r="R24" i="15"/>
  <c r="AN24" i="15"/>
  <c r="CQ24" i="15"/>
  <c r="M25" i="15"/>
  <c r="BU25" i="15"/>
  <c r="CL25" i="15"/>
  <c r="AL26" i="15"/>
  <c r="BC26" i="15"/>
  <c r="AG27" i="15"/>
  <c r="AX27" i="15"/>
  <c r="CJ27" i="15"/>
  <c r="AC28" i="15"/>
  <c r="AR28" i="15"/>
  <c r="CE28" i="15"/>
  <c r="W29" i="15"/>
  <c r="CB29" i="15"/>
  <c r="O30" i="15"/>
  <c r="AI30" i="15"/>
  <c r="BV30" i="15"/>
  <c r="BR31" i="15"/>
  <c r="CK31" i="15"/>
  <c r="AV32" i="15"/>
  <c r="N33" i="15"/>
  <c r="AH33" i="15"/>
  <c r="AU33" i="15"/>
  <c r="CD33" i="15"/>
  <c r="BR35" i="15"/>
  <c r="AC36" i="15"/>
  <c r="AD36" i="15"/>
  <c r="BG36" i="15"/>
  <c r="G38" i="15"/>
  <c r="BH38" i="15"/>
  <c r="I39" i="15"/>
  <c r="BV39" i="15"/>
  <c r="AG40" i="15"/>
  <c r="BQ40" i="15"/>
  <c r="BT40" i="15"/>
  <c r="BT41" i="15"/>
  <c r="Y43" i="15"/>
  <c r="CP43" i="15"/>
  <c r="CS43" i="15"/>
  <c r="BT44" i="15"/>
  <c r="CQ45" i="15"/>
  <c r="CT45" i="15"/>
  <c r="I46" i="15"/>
  <c r="R49" i="15"/>
  <c r="BM49" i="15"/>
  <c r="CI49" i="15"/>
  <c r="BW52" i="15"/>
  <c r="BV52" i="15"/>
  <c r="BY52" i="15"/>
  <c r="X60" i="15"/>
  <c r="Y60" i="15"/>
  <c r="AM20" i="15"/>
  <c r="BZ20" i="15"/>
  <c r="AH21" i="15"/>
  <c r="BV25" i="15"/>
  <c r="AM26" i="15"/>
  <c r="BQ28" i="15"/>
  <c r="CE33" i="15"/>
  <c r="M34" i="15"/>
  <c r="J34" i="15"/>
  <c r="BP37" i="15"/>
  <c r="BL37" i="15"/>
  <c r="BM38" i="15"/>
  <c r="BP38" i="15"/>
  <c r="AH42" i="15"/>
  <c r="AC43" i="15"/>
  <c r="BQ46" i="15"/>
  <c r="BU46" i="15"/>
  <c r="CO46" i="15"/>
  <c r="CK46" i="15"/>
  <c r="CI47" i="15"/>
  <c r="CG47" i="15"/>
  <c r="BU49" i="15"/>
  <c r="BQ49" i="15"/>
  <c r="CO78" i="15"/>
  <c r="CK78" i="15"/>
  <c r="CL78" i="15"/>
  <c r="BZ16" i="15"/>
  <c r="AS17" i="15"/>
  <c r="AN20" i="15"/>
  <c r="CA20" i="15"/>
  <c r="CQ20" i="15"/>
  <c r="AI21" i="15"/>
  <c r="BB21" i="15"/>
  <c r="BV21" i="15"/>
  <c r="J22" i="15"/>
  <c r="V22" i="15"/>
  <c r="CV22" i="15"/>
  <c r="S23" i="15"/>
  <c r="BR23" i="15"/>
  <c r="CU23" i="15"/>
  <c r="AP24" i="15"/>
  <c r="BH24" i="15"/>
  <c r="CT24" i="15"/>
  <c r="BW25" i="15"/>
  <c r="CO25" i="15"/>
  <c r="AN26" i="15"/>
  <c r="BF26" i="15"/>
  <c r="CA26" i="15"/>
  <c r="R27" i="15"/>
  <c r="BW27" i="15"/>
  <c r="AX28" i="15"/>
  <c r="BR28" i="15"/>
  <c r="AD29" i="15"/>
  <c r="CD29" i="15"/>
  <c r="CY29" i="15"/>
  <c r="E30" i="15"/>
  <c r="Q30" i="15"/>
  <c r="CN31" i="15"/>
  <c r="BB33" i="15"/>
  <c r="CI33" i="15"/>
  <c r="CG33" i="15"/>
  <c r="L34" i="15"/>
  <c r="AX34" i="15"/>
  <c r="CF34" i="15"/>
  <c r="S35" i="15"/>
  <c r="AI36" i="15"/>
  <c r="BO38" i="15"/>
  <c r="AD39" i="15"/>
  <c r="CX39" i="15"/>
  <c r="CU39" i="15"/>
  <c r="V40" i="15"/>
  <c r="BJ40" i="15"/>
  <c r="BZ41" i="15"/>
  <c r="BV41" i="15"/>
  <c r="AL42" i="15"/>
  <c r="AG43" i="15"/>
  <c r="BW43" i="15"/>
  <c r="BV43" i="15"/>
  <c r="BY43" i="15"/>
  <c r="AQ45" i="15"/>
  <c r="AM45" i="15"/>
  <c r="Y49" i="15"/>
  <c r="AG50" i="15"/>
  <c r="AF50" i="15"/>
  <c r="AD50" i="15"/>
  <c r="X32" i="15"/>
  <c r="AH41" i="15"/>
  <c r="AL41" i="15"/>
  <c r="BB41" i="15"/>
  <c r="AG44" i="15"/>
  <c r="AD44" i="15"/>
  <c r="CF44" i="15"/>
  <c r="CJ44" i="15"/>
  <c r="BZ45" i="15"/>
  <c r="CX57" i="15"/>
  <c r="CY57" i="15"/>
  <c r="CU57" i="15"/>
  <c r="G61" i="15"/>
  <c r="E61" i="15"/>
  <c r="CT70" i="15"/>
  <c r="CS70" i="15"/>
  <c r="CQ70" i="15"/>
  <c r="CP70" i="15"/>
  <c r="BA15" i="15"/>
  <c r="BF16" i="15"/>
  <c r="AU17" i="15"/>
  <c r="AL21" i="15"/>
  <c r="BF21" i="15"/>
  <c r="L22" i="15"/>
  <c r="CX22" i="15"/>
  <c r="W23" i="15"/>
  <c r="CY23" i="15"/>
  <c r="BY25" i="15"/>
  <c r="AP26" i="15"/>
  <c r="BY27" i="15"/>
  <c r="CT27" i="15"/>
  <c r="AZ28" i="15"/>
  <c r="M29" i="15"/>
  <c r="G30" i="15"/>
  <c r="CE30" i="15"/>
  <c r="BM31" i="15"/>
  <c r="H32" i="15"/>
  <c r="AZ34" i="15"/>
  <c r="BT34" i="15"/>
  <c r="CO34" i="15"/>
  <c r="CL34" i="15"/>
  <c r="AZ37" i="15"/>
  <c r="AW37" i="15"/>
  <c r="T38" i="15"/>
  <c r="Y40" i="15"/>
  <c r="BF41" i="15"/>
  <c r="CB41" i="15"/>
  <c r="CE41" i="15"/>
  <c r="CE42" i="15"/>
  <c r="CB42" i="15"/>
  <c r="AF44" i="15"/>
  <c r="R45" i="15"/>
  <c r="O45" i="15"/>
  <c r="AW46" i="15"/>
  <c r="H48" i="15"/>
  <c r="G48" i="15"/>
  <c r="E48" i="15"/>
  <c r="AS64" i="15"/>
  <c r="AR64" i="15"/>
  <c r="BR66" i="15"/>
  <c r="BQ66" i="15"/>
  <c r="AG15" i="15"/>
  <c r="H16" i="15"/>
  <c r="CJ16" i="15"/>
  <c r="AK17" i="15"/>
  <c r="AV17" i="15"/>
  <c r="CI17" i="15"/>
  <c r="BU19" i="15"/>
  <c r="G20" i="15"/>
  <c r="BZ21" i="15"/>
  <c r="CT21" i="15"/>
  <c r="M22" i="15"/>
  <c r="AZ22" i="15"/>
  <c r="CY22" i="15"/>
  <c r="BZ25" i="15"/>
  <c r="AQ26" i="15"/>
  <c r="CD26" i="15"/>
  <c r="BZ27" i="15"/>
  <c r="BA28" i="15"/>
  <c r="CN28" i="15"/>
  <c r="BA29" i="15"/>
  <c r="H30" i="15"/>
  <c r="AU30" i="15"/>
  <c r="AR31" i="15"/>
  <c r="BO31" i="15"/>
  <c r="AP33" i="15"/>
  <c r="BA34" i="15"/>
  <c r="BU34" i="15"/>
  <c r="CN34" i="15"/>
  <c r="BG35" i="15"/>
  <c r="CT36" i="15"/>
  <c r="Y37" i="15"/>
  <c r="BA37" i="15"/>
  <c r="CY38" i="15"/>
  <c r="CV38" i="15"/>
  <c r="AB40" i="15"/>
  <c r="S41" i="15"/>
  <c r="W41" i="15"/>
  <c r="CD41" i="15"/>
  <c r="CD42" i="15"/>
  <c r="BC45" i="15"/>
  <c r="AC46" i="15"/>
  <c r="AG46" i="15"/>
  <c r="BA46" i="15"/>
  <c r="CE48" i="15"/>
  <c r="CB48" i="15"/>
  <c r="AR50" i="15"/>
  <c r="AV50" i="15"/>
  <c r="CN53" i="15"/>
  <c r="BU56" i="15"/>
  <c r="BR56" i="15"/>
  <c r="BQ56" i="15"/>
  <c r="CK60" i="15"/>
  <c r="CO60" i="15"/>
  <c r="CL60" i="15"/>
  <c r="CG15" i="15"/>
  <c r="AL16" i="15"/>
  <c r="O17" i="15"/>
  <c r="AL17" i="15"/>
  <c r="BY17" i="15"/>
  <c r="CJ17" i="15"/>
  <c r="H20" i="15"/>
  <c r="AU20" i="15"/>
  <c r="BW20" i="15"/>
  <c r="AQ21" i="15"/>
  <c r="CV21" i="15"/>
  <c r="N22" i="15"/>
  <c r="BA22" i="15"/>
  <c r="CN22" i="15"/>
  <c r="AD23" i="15"/>
  <c r="BG23" i="15"/>
  <c r="O24" i="15"/>
  <c r="AH24" i="15"/>
  <c r="CL24" i="15"/>
  <c r="J25" i="15"/>
  <c r="BQ25" i="15"/>
  <c r="AH26" i="15"/>
  <c r="CE26" i="15"/>
  <c r="H27" i="15"/>
  <c r="AC27" i="15"/>
  <c r="AP28" i="15"/>
  <c r="CO28" i="15"/>
  <c r="AL29" i="15"/>
  <c r="BC29" i="15"/>
  <c r="CO29" i="15"/>
  <c r="I30" i="15"/>
  <c r="AV30" i="15"/>
  <c r="AS31" i="15"/>
  <c r="BP31" i="15"/>
  <c r="CI31" i="15"/>
  <c r="CJ32" i="15"/>
  <c r="AG33" i="15"/>
  <c r="CY33" i="15"/>
  <c r="BK35" i="15"/>
  <c r="AB37" i="15"/>
  <c r="AD40" i="15"/>
  <c r="BM43" i="15"/>
  <c r="BQ44" i="15"/>
  <c r="BF45" i="15"/>
  <c r="AN48" i="15"/>
  <c r="AM48" i="15"/>
  <c r="AQ48" i="15"/>
  <c r="AK52" i="15"/>
  <c r="AI52" i="15"/>
  <c r="AH52" i="15"/>
  <c r="AL52" i="15"/>
  <c r="CP52" i="15"/>
  <c r="CT52" i="15"/>
  <c r="AP53" i="15"/>
  <c r="AX56" i="15"/>
  <c r="AZ56" i="15"/>
  <c r="BG57" i="15"/>
  <c r="BK57" i="15"/>
  <c r="BJ57" i="15"/>
  <c r="S58" i="15"/>
  <c r="W58" i="15"/>
  <c r="T58" i="15"/>
  <c r="AQ60" i="15"/>
  <c r="AP60" i="15"/>
  <c r="AN60" i="15"/>
  <c r="CG61" i="15"/>
  <c r="CI61" i="15"/>
  <c r="O67" i="15"/>
  <c r="BB69" i="15"/>
  <c r="BE69" i="15"/>
  <c r="AG70" i="15"/>
  <c r="AC70" i="15"/>
  <c r="BJ76" i="15"/>
  <c r="BG76" i="15"/>
  <c r="X13" i="15"/>
  <c r="BK42" i="15"/>
  <c r="AH49" i="15"/>
  <c r="CT49" i="15"/>
  <c r="CJ53" i="15"/>
  <c r="BF55" i="15"/>
  <c r="CF55" i="15"/>
  <c r="CG55" i="15"/>
  <c r="L56" i="15"/>
  <c r="I56" i="15"/>
  <c r="CI56" i="15"/>
  <c r="BA58" i="15"/>
  <c r="AX58" i="15"/>
  <c r="V62" i="15"/>
  <c r="R65" i="15"/>
  <c r="O65" i="15"/>
  <c r="CQ68" i="15"/>
  <c r="CT68" i="15"/>
  <c r="BF69" i="15"/>
  <c r="BA50" i="15"/>
  <c r="CK50" i="15"/>
  <c r="AB53" i="15"/>
  <c r="BQ53" i="15"/>
  <c r="G58" i="15"/>
  <c r="E58" i="15"/>
  <c r="BT60" i="15"/>
  <c r="BQ60" i="15"/>
  <c r="AQ76" i="15"/>
  <c r="AP76" i="15"/>
  <c r="AN76" i="15"/>
  <c r="AM76" i="15"/>
  <c r="CY76" i="15"/>
  <c r="CX76" i="15"/>
  <c r="AZ77" i="15"/>
  <c r="AX77" i="15"/>
  <c r="AW77" i="15"/>
  <c r="AZ12" i="15"/>
  <c r="AX12" i="15"/>
  <c r="AW12" i="15"/>
  <c r="AQ13" i="15"/>
  <c r="AP13" i="15"/>
  <c r="CK37" i="15"/>
  <c r="BB39" i="15"/>
  <c r="AM42" i="15"/>
  <c r="AH43" i="15"/>
  <c r="G47" i="15"/>
  <c r="G49" i="15"/>
  <c r="AK49" i="15"/>
  <c r="BE49" i="15"/>
  <c r="CO50" i="15"/>
  <c r="O51" i="15"/>
  <c r="AL51" i="15"/>
  <c r="BF51" i="15"/>
  <c r="AW52" i="15"/>
  <c r="BQ52" i="15"/>
  <c r="AC53" i="15"/>
  <c r="BU53" i="15"/>
  <c r="W54" i="15"/>
  <c r="BK54" i="15"/>
  <c r="BY54" i="15"/>
  <c r="BM55" i="15"/>
  <c r="BO55" i="15"/>
  <c r="W57" i="15"/>
  <c r="AR57" i="15"/>
  <c r="H58" i="15"/>
  <c r="AM58" i="15"/>
  <c r="AI59" i="15"/>
  <c r="BC59" i="15"/>
  <c r="BB59" i="15"/>
  <c r="BU60" i="15"/>
  <c r="CT60" i="15"/>
  <c r="BV61" i="15"/>
  <c r="BW61" i="15"/>
  <c r="CY61" i="15"/>
  <c r="CV61" i="15"/>
  <c r="AB64" i="15"/>
  <c r="BF74" i="15"/>
  <c r="BE74" i="15"/>
  <c r="CY12" i="15"/>
  <c r="E53" i="15"/>
  <c r="W55" i="15"/>
  <c r="AZ55" i="15"/>
  <c r="AN56" i="15"/>
  <c r="AP56" i="15"/>
  <c r="M58" i="15"/>
  <c r="L58" i="15"/>
  <c r="BW60" i="15"/>
  <c r="BV60" i="15"/>
  <c r="AK65" i="15"/>
  <c r="AI65" i="15"/>
  <c r="AH65" i="15"/>
  <c r="BU70" i="15"/>
  <c r="BQ70" i="15"/>
  <c r="BK72" i="15"/>
  <c r="BH72" i="15"/>
  <c r="AP75" i="15"/>
  <c r="AN75" i="15"/>
  <c r="AM75" i="15"/>
  <c r="AL46" i="15"/>
  <c r="AC49" i="15"/>
  <c r="CP49" i="15"/>
  <c r="BL50" i="15"/>
  <c r="R51" i="15"/>
  <c r="N52" i="15"/>
  <c r="BA52" i="15"/>
  <c r="BU52" i="15"/>
  <c r="CO52" i="15"/>
  <c r="H53" i="15"/>
  <c r="AG53" i="15"/>
  <c r="AZ53" i="15"/>
  <c r="V55" i="15"/>
  <c r="BB55" i="15"/>
  <c r="AS56" i="15"/>
  <c r="CB56" i="15"/>
  <c r="CD56" i="15"/>
  <c r="AV57" i="15"/>
  <c r="BP57" i="15"/>
  <c r="BM57" i="15"/>
  <c r="CK57" i="15"/>
  <c r="CN57" i="15"/>
  <c r="BG58" i="15"/>
  <c r="BK58" i="15"/>
  <c r="BO59" i="15"/>
  <c r="BL59" i="15"/>
  <c r="BZ60" i="15"/>
  <c r="AV61" i="15"/>
  <c r="O62" i="15"/>
  <c r="BK67" i="15"/>
  <c r="BH67" i="15"/>
  <c r="AB54" i="15"/>
  <c r="AV54" i="15"/>
  <c r="CG56" i="15"/>
  <c r="AA57" i="15"/>
  <c r="AS58" i="15"/>
  <c r="AP59" i="15"/>
  <c r="I60" i="15"/>
  <c r="M60" i="15"/>
  <c r="BA69" i="15"/>
  <c r="AX69" i="15"/>
  <c r="AW69" i="15"/>
  <c r="L72" i="15"/>
  <c r="Q77" i="15"/>
  <c r="CD13" i="15"/>
  <c r="BB78" i="15"/>
  <c r="AD79" i="15"/>
  <c r="CK79" i="15"/>
  <c r="AG63" i="15"/>
  <c r="R66" i="15"/>
  <c r="AW66" i="15"/>
  <c r="R69" i="15"/>
  <c r="AM72" i="15"/>
  <c r="BA74" i="15"/>
  <c r="CE75" i="15"/>
  <c r="CA76" i="15"/>
  <c r="L77" i="15"/>
  <c r="AS78" i="15"/>
  <c r="BC78" i="15"/>
  <c r="BV78" i="15"/>
  <c r="BR79" i="15"/>
  <c r="CL79" i="15"/>
  <c r="AC74" i="15"/>
  <c r="BB12" i="15"/>
  <c r="AG13" i="15"/>
  <c r="AR13" i="15"/>
  <c r="CO13" i="15"/>
  <c r="AR63" i="15"/>
  <c r="BL63" i="15"/>
  <c r="BA66" i="15"/>
  <c r="CO66" i="15"/>
  <c r="AL68" i="15"/>
  <c r="AP72" i="15"/>
  <c r="S73" i="15"/>
  <c r="BJ73" i="15"/>
  <c r="CD73" i="15"/>
  <c r="AD74" i="15"/>
  <c r="AP74" i="15"/>
  <c r="W75" i="15"/>
  <c r="BO75" i="15"/>
  <c r="CD76" i="15"/>
  <c r="CN77" i="15"/>
  <c r="AH79" i="15"/>
  <c r="CO74" i="15"/>
  <c r="CI75" i="15"/>
  <c r="CE76" i="15"/>
  <c r="X77" i="15"/>
  <c r="BE77" i="15"/>
  <c r="CG77" i="15"/>
  <c r="BY12" i="15"/>
  <c r="H13" i="15"/>
  <c r="AH13" i="15"/>
  <c r="BU13" i="15"/>
  <c r="CJ13" i="15"/>
  <c r="CP13" i="15"/>
  <c r="N14" i="15"/>
  <c r="I78" i="15"/>
  <c r="BL78" i="15"/>
  <c r="X79" i="15"/>
  <c r="BV79" i="15"/>
  <c r="CD79" i="15"/>
  <c r="BZ62" i="15"/>
  <c r="AC63" i="15"/>
  <c r="N66" i="15"/>
  <c r="N69" i="15"/>
  <c r="AH69" i="15"/>
  <c r="CP69" i="15"/>
  <c r="H71" i="15"/>
  <c r="AV71" i="15"/>
  <c r="CJ71" i="15"/>
  <c r="CN72" i="15"/>
  <c r="V73" i="15"/>
  <c r="AF74" i="15"/>
  <c r="AW74" i="15"/>
  <c r="CJ75" i="15"/>
  <c r="BV76" i="15"/>
  <c r="N12" i="15"/>
  <c r="AC12" i="15"/>
  <c r="AU12" i="15"/>
  <c r="BM12" i="15"/>
  <c r="CK12" i="15"/>
  <c r="AU13" i="15"/>
  <c r="CQ13" i="15"/>
  <c r="CA72" i="15"/>
  <c r="W73" i="15"/>
  <c r="AG74" i="15"/>
  <c r="AX74" i="15"/>
  <c r="BQ74" i="15"/>
  <c r="AF12" i="15"/>
  <c r="CD12" i="15"/>
  <c r="AL13" i="15"/>
  <c r="AV13" i="15"/>
  <c r="O78" i="15"/>
  <c r="AR78" i="15"/>
  <c r="BQ78" i="15"/>
  <c r="AC79" i="15"/>
  <c r="BW79" i="15"/>
  <c r="R41" i="15"/>
  <c r="CL51" i="15"/>
  <c r="AZ63" i="15"/>
  <c r="AX63" i="15"/>
  <c r="BA63" i="15"/>
  <c r="AW63" i="15"/>
  <c r="L16" i="15"/>
  <c r="CD16" i="15"/>
  <c r="AA20" i="15"/>
  <c r="R23" i="15"/>
  <c r="CI25" i="15"/>
  <c r="V26" i="15"/>
  <c r="AG31" i="15"/>
  <c r="BY32" i="15"/>
  <c r="CV44" i="15"/>
  <c r="J49" i="15"/>
  <c r="M49" i="15"/>
  <c r="CL49" i="15"/>
  <c r="CO49" i="15"/>
  <c r="CN51" i="15"/>
  <c r="T53" i="15"/>
  <c r="BL20" i="15"/>
  <c r="CA31" i="15"/>
  <c r="CP33" i="15"/>
  <c r="X34" i="15"/>
  <c r="BL34" i="15"/>
  <c r="AM35" i="15"/>
  <c r="CA35" i="15"/>
  <c r="AR38" i="15"/>
  <c r="CF38" i="15"/>
  <c r="AL39" i="15"/>
  <c r="CX41" i="15"/>
  <c r="CQ42" i="15"/>
  <c r="J43" i="15"/>
  <c r="M43" i="15"/>
  <c r="CL43" i="15"/>
  <c r="CO43" i="15"/>
  <c r="CL44" i="15"/>
  <c r="CN44" i="15"/>
  <c r="AX45" i="15"/>
  <c r="BR45" i="15"/>
  <c r="O46" i="15"/>
  <c r="Q46" i="15"/>
  <c r="AM47" i="15"/>
  <c r="CA47" i="15"/>
  <c r="BK51" i="15"/>
  <c r="BH51" i="15"/>
  <c r="BG51" i="15"/>
  <c r="CL63" i="15"/>
  <c r="CO63" i="15"/>
  <c r="CN63" i="15"/>
  <c r="CK63" i="15"/>
  <c r="BQ39" i="15"/>
  <c r="T42" i="15"/>
  <c r="O43" i="15"/>
  <c r="CY15" i="15"/>
  <c r="AZ16" i="15"/>
  <c r="AA17" i="15"/>
  <c r="BO17" i="15"/>
  <c r="G25" i="15"/>
  <c r="AZ26" i="15"/>
  <c r="M33" i="15"/>
  <c r="AP35" i="15"/>
  <c r="V42" i="15"/>
  <c r="CV42" i="15"/>
  <c r="CX42" i="15"/>
  <c r="Y46" i="15"/>
  <c r="AA47" i="15"/>
  <c r="X47" i="15"/>
  <c r="AB48" i="15"/>
  <c r="AA48" i="15"/>
  <c r="Y48" i="15"/>
  <c r="AX51" i="15"/>
  <c r="R60" i="15"/>
  <c r="N60" i="15"/>
  <c r="X17" i="15"/>
  <c r="BL17" i="15"/>
  <c r="X20" i="15"/>
  <c r="AI15" i="15"/>
  <c r="CE15" i="15"/>
  <c r="CT15" i="15"/>
  <c r="J16" i="15"/>
  <c r="T16" i="15"/>
  <c r="AD16" i="15"/>
  <c r="AN16" i="15"/>
  <c r="AX16" i="15"/>
  <c r="BH16" i="15"/>
  <c r="BR16" i="15"/>
  <c r="CB16" i="15"/>
  <c r="CL16" i="15"/>
  <c r="CV16" i="15"/>
  <c r="Y17" i="15"/>
  <c r="BM17" i="15"/>
  <c r="Y20" i="15"/>
  <c r="BM20" i="15"/>
  <c r="S21" i="15"/>
  <c r="AF21" i="15"/>
  <c r="AP21" i="15"/>
  <c r="BG21" i="15"/>
  <c r="BT21" i="15"/>
  <c r="CD21" i="15"/>
  <c r="CU21" i="15"/>
  <c r="AL22" i="15"/>
  <c r="BZ22" i="15"/>
  <c r="N23" i="15"/>
  <c r="AL23" i="15"/>
  <c r="BB23" i="15"/>
  <c r="BZ23" i="15"/>
  <c r="CP23" i="15"/>
  <c r="E25" i="15"/>
  <c r="O25" i="15"/>
  <c r="AS25" i="15"/>
  <c r="BC25" i="15"/>
  <c r="CG25" i="15"/>
  <c r="CQ25" i="15"/>
  <c r="J26" i="15"/>
  <c r="T26" i="15"/>
  <c r="AX26" i="15"/>
  <c r="BH26" i="15"/>
  <c r="CL26" i="15"/>
  <c r="CV26" i="15"/>
  <c r="I27" i="15"/>
  <c r="AW27" i="15"/>
  <c r="CK27" i="15"/>
  <c r="AB28" i="15"/>
  <c r="BP28" i="15"/>
  <c r="N29" i="15"/>
  <c r="BB29" i="15"/>
  <c r="CP29" i="15"/>
  <c r="AG30" i="15"/>
  <c r="BU30" i="15"/>
  <c r="CD30" i="15"/>
  <c r="AC31" i="15"/>
  <c r="AQ31" i="15"/>
  <c r="AZ31" i="15"/>
  <c r="CB31" i="15"/>
  <c r="G32" i="15"/>
  <c r="AI32" i="15"/>
  <c r="AU32" i="15"/>
  <c r="CI32" i="15"/>
  <c r="J33" i="15"/>
  <c r="S33" i="15"/>
  <c r="BA33" i="15"/>
  <c r="BJ33" i="15"/>
  <c r="BV33" i="15"/>
  <c r="CQ33" i="15"/>
  <c r="L35" i="15"/>
  <c r="AN35" i="15"/>
  <c r="AZ35" i="15"/>
  <c r="CB35" i="15"/>
  <c r="CN35" i="15"/>
  <c r="Q36" i="15"/>
  <c r="AQ36" i="15"/>
  <c r="BE36" i="15"/>
  <c r="CE36" i="15"/>
  <c r="CS36" i="15"/>
  <c r="AC37" i="15"/>
  <c r="CF37" i="15"/>
  <c r="S38" i="15"/>
  <c r="AS38" i="15"/>
  <c r="BG38" i="15"/>
  <c r="CG38" i="15"/>
  <c r="AA39" i="15"/>
  <c r="AK39" i="15"/>
  <c r="BR39" i="15"/>
  <c r="BA40" i="15"/>
  <c r="AW40" i="15"/>
  <c r="N41" i="15"/>
  <c r="CY41" i="15"/>
  <c r="S42" i="15"/>
  <c r="AX42" i="15"/>
  <c r="CT42" i="15"/>
  <c r="N43" i="15"/>
  <c r="AS43" i="15"/>
  <c r="AN44" i="15"/>
  <c r="AP44" i="15"/>
  <c r="BH44" i="15"/>
  <c r="CO44" i="15"/>
  <c r="J45" i="15"/>
  <c r="AD45" i="15"/>
  <c r="AZ45" i="15"/>
  <c r="R46" i="15"/>
  <c r="W47" i="15"/>
  <c r="T47" i="15"/>
  <c r="BK47" i="15"/>
  <c r="BH47" i="15"/>
  <c r="CY47" i="15"/>
  <c r="CV47" i="15"/>
  <c r="W48" i="15"/>
  <c r="W51" i="15"/>
  <c r="T51" i="15"/>
  <c r="S51" i="15"/>
  <c r="CV53" i="15"/>
  <c r="BG62" i="15"/>
  <c r="BK62" i="15"/>
  <c r="BJ62" i="15"/>
  <c r="BT63" i="15"/>
  <c r="BU63" i="15"/>
  <c r="BQ63" i="15"/>
  <c r="BY68" i="15"/>
  <c r="BW68" i="15"/>
  <c r="BZ68" i="15"/>
  <c r="BV68" i="15"/>
  <c r="BG41" i="15"/>
  <c r="BK41" i="15"/>
  <c r="BH53" i="15"/>
  <c r="V16" i="15"/>
  <c r="AP16" i="15"/>
  <c r="BT16" i="15"/>
  <c r="AU25" i="15"/>
  <c r="CX26" i="15"/>
  <c r="CS33" i="15"/>
  <c r="CD35" i="15"/>
  <c r="AF38" i="15"/>
  <c r="Q43" i="15"/>
  <c r="CB44" i="15"/>
  <c r="CD44" i="15"/>
  <c r="BO47" i="15"/>
  <c r="BL47" i="15"/>
  <c r="G68" i="15"/>
  <c r="BU15" i="15"/>
  <c r="AG16" i="15"/>
  <c r="BK16" i="15"/>
  <c r="CO16" i="15"/>
  <c r="CY16" i="15"/>
  <c r="AB17" i="15"/>
  <c r="BP17" i="15"/>
  <c r="AB20" i="15"/>
  <c r="BP20" i="15"/>
  <c r="V21" i="15"/>
  <c r="BJ21" i="15"/>
  <c r="CX21" i="15"/>
  <c r="AF23" i="15"/>
  <c r="AP23" i="15"/>
  <c r="BT23" i="15"/>
  <c r="CD23" i="15"/>
  <c r="AL24" i="15"/>
  <c r="BZ24" i="15"/>
  <c r="H25" i="15"/>
  <c r="R25" i="15"/>
  <c r="AV25" i="15"/>
  <c r="BF25" i="15"/>
  <c r="CJ25" i="15"/>
  <c r="CT25" i="15"/>
  <c r="M26" i="15"/>
  <c r="W26" i="15"/>
  <c r="BA26" i="15"/>
  <c r="BK26" i="15"/>
  <c r="CO26" i="15"/>
  <c r="CY26" i="15"/>
  <c r="M27" i="15"/>
  <c r="BA27" i="15"/>
  <c r="CO27" i="15"/>
  <c r="R29" i="15"/>
  <c r="BF29" i="15"/>
  <c r="CT29" i="15"/>
  <c r="G31" i="15"/>
  <c r="W33" i="15"/>
  <c r="BY33" i="15"/>
  <c r="CT33" i="15"/>
  <c r="AQ35" i="15"/>
  <c r="CE35" i="15"/>
  <c r="AF37" i="15"/>
  <c r="W38" i="15"/>
  <c r="AV38" i="15"/>
  <c r="BK38" i="15"/>
  <c r="CJ38" i="15"/>
  <c r="J42" i="15"/>
  <c r="W42" i="15"/>
  <c r="BC42" i="15"/>
  <c r="CY42" i="15"/>
  <c r="R43" i="15"/>
  <c r="AX43" i="15"/>
  <c r="BA43" i="15"/>
  <c r="J44" i="15"/>
  <c r="L44" i="15"/>
  <c r="CB45" i="15"/>
  <c r="CD45" i="15"/>
  <c r="CY45" i="15"/>
  <c r="CV45" i="15"/>
  <c r="CU45" i="15"/>
  <c r="CQ46" i="15"/>
  <c r="CS46" i="15"/>
  <c r="AB47" i="15"/>
  <c r="BP47" i="15"/>
  <c r="BK48" i="15"/>
  <c r="BH50" i="15"/>
  <c r="J51" i="15"/>
  <c r="AD51" i="15"/>
  <c r="AZ51" i="15"/>
  <c r="BG61" i="15"/>
  <c r="BK61" i="15"/>
  <c r="BH61" i="15"/>
  <c r="L67" i="15"/>
  <c r="O73" i="15"/>
  <c r="R73" i="15"/>
  <c r="N73" i="15"/>
  <c r="CX40" i="15"/>
  <c r="BC46" i="15"/>
  <c r="BE46" i="15"/>
  <c r="T50" i="15"/>
  <c r="AU38" i="15"/>
  <c r="BU39" i="15"/>
  <c r="BJ41" i="15"/>
  <c r="E46" i="15"/>
  <c r="G46" i="15"/>
  <c r="AB61" i="15"/>
  <c r="X61" i="15"/>
  <c r="AQ15" i="15"/>
  <c r="BW15" i="15"/>
  <c r="E16" i="15"/>
  <c r="O16" i="15"/>
  <c r="Y16" i="15"/>
  <c r="AI16" i="15"/>
  <c r="AS16" i="15"/>
  <c r="BC16" i="15"/>
  <c r="BM16" i="15"/>
  <c r="BW16" i="15"/>
  <c r="CG16" i="15"/>
  <c r="CQ16" i="15"/>
  <c r="S17" i="15"/>
  <c r="AQ17" i="15"/>
  <c r="BG17" i="15"/>
  <c r="CE17" i="15"/>
  <c r="CU17" i="15"/>
  <c r="CD18" i="15"/>
  <c r="S20" i="15"/>
  <c r="AQ20" i="15"/>
  <c r="BG20" i="15"/>
  <c r="CE20" i="15"/>
  <c r="CU20" i="15"/>
  <c r="W21" i="15"/>
  <c r="BK21" i="15"/>
  <c r="CY21" i="15"/>
  <c r="O22" i="15"/>
  <c r="AD22" i="15"/>
  <c r="AP22" i="15"/>
  <c r="BC22" i="15"/>
  <c r="BR22" i="15"/>
  <c r="CD22" i="15"/>
  <c r="CQ22" i="15"/>
  <c r="T23" i="15"/>
  <c r="AG23" i="15"/>
  <c r="AQ23" i="15"/>
  <c r="BH23" i="15"/>
  <c r="BU23" i="15"/>
  <c r="CE23" i="15"/>
  <c r="CV23" i="15"/>
  <c r="L24" i="15"/>
  <c r="V24" i="15"/>
  <c r="AM24" i="15"/>
  <c r="AZ24" i="15"/>
  <c r="BJ24" i="15"/>
  <c r="CA24" i="15"/>
  <c r="CN24" i="15"/>
  <c r="CX24" i="15"/>
  <c r="I25" i="15"/>
  <c r="AW25" i="15"/>
  <c r="CK25" i="15"/>
  <c r="N26" i="15"/>
  <c r="BB26" i="15"/>
  <c r="CP26" i="15"/>
  <c r="E27" i="15"/>
  <c r="O27" i="15"/>
  <c r="AS27" i="15"/>
  <c r="BC27" i="15"/>
  <c r="CG27" i="15"/>
  <c r="CQ27" i="15"/>
  <c r="E28" i="15"/>
  <c r="T28" i="15"/>
  <c r="AF28" i="15"/>
  <c r="AS28" i="15"/>
  <c r="BH28" i="15"/>
  <c r="BT28" i="15"/>
  <c r="CG28" i="15"/>
  <c r="CV28" i="15"/>
  <c r="J29" i="15"/>
  <c r="T29" i="15"/>
  <c r="AX29" i="15"/>
  <c r="BH29" i="15"/>
  <c r="CL29" i="15"/>
  <c r="CV29" i="15"/>
  <c r="J30" i="15"/>
  <c r="Y30" i="15"/>
  <c r="AK30" i="15"/>
  <c r="AX30" i="15"/>
  <c r="BM30" i="15"/>
  <c r="BY30" i="15"/>
  <c r="CP30" i="15"/>
  <c r="CY30" i="15"/>
  <c r="H31" i="15"/>
  <c r="Y31" i="15"/>
  <c r="AU31" i="15"/>
  <c r="BL31" i="15"/>
  <c r="BU31" i="15"/>
  <c r="O32" i="15"/>
  <c r="AA32" i="15"/>
  <c r="BC32" i="15"/>
  <c r="BO32" i="15"/>
  <c r="CQ32" i="15"/>
  <c r="O33" i="15"/>
  <c r="Y33" i="15"/>
  <c r="BE33" i="15"/>
  <c r="BZ33" i="15"/>
  <c r="CL33" i="15"/>
  <c r="CU33" i="15"/>
  <c r="T35" i="15"/>
  <c r="BH35" i="15"/>
  <c r="CV35" i="15"/>
  <c r="AK36" i="15"/>
  <c r="BY36" i="15"/>
  <c r="J37" i="15"/>
  <c r="X37" i="15"/>
  <c r="AG37" i="15"/>
  <c r="BY37" i="15"/>
  <c r="X38" i="15"/>
  <c r="BL38" i="15"/>
  <c r="CA38" i="15"/>
  <c r="CK38" i="15"/>
  <c r="AG39" i="15"/>
  <c r="L40" i="15"/>
  <c r="V41" i="15"/>
  <c r="CT41" i="15"/>
  <c r="L42" i="15"/>
  <c r="BF42" i="15"/>
  <c r="E43" i="15"/>
  <c r="CG43" i="15"/>
  <c r="M44" i="15"/>
  <c r="AN45" i="15"/>
  <c r="AP45" i="15"/>
  <c r="BK45" i="15"/>
  <c r="BH45" i="15"/>
  <c r="BG45" i="15"/>
  <c r="CE45" i="15"/>
  <c r="CX45" i="15"/>
  <c r="AS46" i="15"/>
  <c r="AU46" i="15"/>
  <c r="BM46" i="15"/>
  <c r="CT46" i="15"/>
  <c r="L51" i="15"/>
  <c r="BO20" i="15"/>
  <c r="BF23" i="15"/>
  <c r="CT23" i="15"/>
  <c r="Q25" i="15"/>
  <c r="BE25" i="15"/>
  <c r="CS25" i="15"/>
  <c r="L26" i="15"/>
  <c r="BJ26" i="15"/>
  <c r="CN26" i="15"/>
  <c r="CI38" i="15"/>
  <c r="BF46" i="15"/>
  <c r="BR51" i="15"/>
  <c r="AQ22" i="15"/>
  <c r="CE22" i="15"/>
  <c r="AH23" i="15"/>
  <c r="BV23" i="15"/>
  <c r="M24" i="15"/>
  <c r="W24" i="15"/>
  <c r="BA24" i="15"/>
  <c r="BK24" i="15"/>
  <c r="CO24" i="15"/>
  <c r="CY24" i="15"/>
  <c r="AG28" i="15"/>
  <c r="BU28" i="15"/>
  <c r="AL30" i="15"/>
  <c r="BZ30" i="15"/>
  <c r="AV31" i="15"/>
  <c r="AB32" i="15"/>
  <c r="AR32" i="15"/>
  <c r="BP32" i="15"/>
  <c r="CF32" i="15"/>
  <c r="BF33" i="15"/>
  <c r="N36" i="15"/>
  <c r="AL36" i="15"/>
  <c r="BB36" i="15"/>
  <c r="BZ36" i="15"/>
  <c r="CP36" i="15"/>
  <c r="AH39" i="15"/>
  <c r="BZ39" i="15"/>
  <c r="CO40" i="15"/>
  <c r="CK40" i="15"/>
  <c r="CU41" i="15"/>
  <c r="CL42" i="15"/>
  <c r="CN42" i="15"/>
  <c r="BC43" i="15"/>
  <c r="AX44" i="15"/>
  <c r="AZ44" i="15"/>
  <c r="W45" i="15"/>
  <c r="T45" i="15"/>
  <c r="S45" i="15"/>
  <c r="BP48" i="15"/>
  <c r="BO48" i="15"/>
  <c r="BM48" i="15"/>
  <c r="CV50" i="15"/>
  <c r="CD58" i="15"/>
  <c r="CB58" i="15"/>
  <c r="CE58" i="15"/>
  <c r="CA58" i="15"/>
  <c r="CX62" i="15"/>
  <c r="CU62" i="15"/>
  <c r="CY62" i="15"/>
  <c r="BK15" i="15"/>
  <c r="G16" i="15"/>
  <c r="W17" i="15"/>
  <c r="BK17" i="15"/>
  <c r="CY17" i="15"/>
  <c r="CK18" i="15"/>
  <c r="J19" i="15"/>
  <c r="W20" i="15"/>
  <c r="BK20" i="15"/>
  <c r="CY20" i="15"/>
  <c r="AD21" i="15"/>
  <c r="AN21" i="15"/>
  <c r="BR21" i="15"/>
  <c r="CB21" i="15"/>
  <c r="R22" i="15"/>
  <c r="AH22" i="15"/>
  <c r="BF22" i="15"/>
  <c r="BV22" i="15"/>
  <c r="CT22" i="15"/>
  <c r="J23" i="15"/>
  <c r="V23" i="15"/>
  <c r="AI23" i="15"/>
  <c r="AX23" i="15"/>
  <c r="BJ23" i="15"/>
  <c r="BW23" i="15"/>
  <c r="CL23" i="15"/>
  <c r="CX23" i="15"/>
  <c r="N24" i="15"/>
  <c r="BB24" i="15"/>
  <c r="CP24" i="15"/>
  <c r="G27" i="15"/>
  <c r="Q27" i="15"/>
  <c r="AH27" i="15"/>
  <c r="AU27" i="15"/>
  <c r="BE27" i="15"/>
  <c r="BV27" i="15"/>
  <c r="CI27" i="15"/>
  <c r="CS27" i="15"/>
  <c r="H28" i="15"/>
  <c r="X28" i="15"/>
  <c r="AV28" i="15"/>
  <c r="BL28" i="15"/>
  <c r="CJ28" i="15"/>
  <c r="L29" i="15"/>
  <c r="V29" i="15"/>
  <c r="AM29" i="15"/>
  <c r="AZ29" i="15"/>
  <c r="BJ29" i="15"/>
  <c r="CA29" i="15"/>
  <c r="CN29" i="15"/>
  <c r="CX29" i="15"/>
  <c r="M30" i="15"/>
  <c r="AC30" i="15"/>
  <c r="BA30" i="15"/>
  <c r="BQ30" i="15"/>
  <c r="AA31" i="15"/>
  <c r="AN31" i="15"/>
  <c r="BZ31" i="15"/>
  <c r="E32" i="15"/>
  <c r="AS32" i="15"/>
  <c r="CG32" i="15"/>
  <c r="Q33" i="15"/>
  <c r="AX33" i="15"/>
  <c r="CO33" i="15"/>
  <c r="I34" i="15"/>
  <c r="AW34" i="15"/>
  <c r="CK34" i="15"/>
  <c r="V35" i="15"/>
  <c r="BJ35" i="15"/>
  <c r="CX35" i="15"/>
  <c r="O36" i="15"/>
  <c r="BC36" i="15"/>
  <c r="CQ36" i="15"/>
  <c r="L37" i="15"/>
  <c r="BQ37" i="15"/>
  <c r="N39" i="15"/>
  <c r="Y39" i="15"/>
  <c r="AI39" i="15"/>
  <c r="BY39" i="15"/>
  <c r="CQ39" i="15"/>
  <c r="CN40" i="15"/>
  <c r="CV41" i="15"/>
  <c r="O42" i="15"/>
  <c r="BH42" i="15"/>
  <c r="CP42" i="15"/>
  <c r="I43" i="15"/>
  <c r="BE43" i="15"/>
  <c r="CK43" i="15"/>
  <c r="T44" i="15"/>
  <c r="BA44" i="15"/>
  <c r="CK44" i="15"/>
  <c r="V45" i="15"/>
  <c r="CL45" i="15"/>
  <c r="N46" i="15"/>
  <c r="CG46" i="15"/>
  <c r="CI46" i="15"/>
  <c r="Q47" i="15"/>
  <c r="BE47" i="15"/>
  <c r="CS47" i="15"/>
  <c r="CY48" i="15"/>
  <c r="AX49" i="15"/>
  <c r="BA49" i="15"/>
  <c r="CY51" i="15"/>
  <c r="CV51" i="15"/>
  <c r="CU51" i="15"/>
  <c r="AK66" i="15"/>
  <c r="AI66" i="15"/>
  <c r="AL66" i="15"/>
  <c r="AH66" i="15"/>
  <c r="CJ54" i="15"/>
  <c r="R55" i="15"/>
  <c r="BH55" i="15"/>
  <c r="CP55" i="15"/>
  <c r="AF60" i="15"/>
  <c r="S61" i="15"/>
  <c r="W61" i="15"/>
  <c r="T61" i="15"/>
  <c r="AM61" i="15"/>
  <c r="AQ61" i="15"/>
  <c r="BF61" i="15"/>
  <c r="BC61" i="15"/>
  <c r="H64" i="15"/>
  <c r="E64" i="15"/>
  <c r="AB67" i="15"/>
  <c r="AA67" i="15"/>
  <c r="X67" i="15"/>
  <c r="W68" i="15"/>
  <c r="V68" i="15"/>
  <c r="S68" i="15"/>
  <c r="AU68" i="15"/>
  <c r="J70" i="15"/>
  <c r="I70" i="15"/>
  <c r="L70" i="15"/>
  <c r="CL70" i="15"/>
  <c r="CK70" i="15"/>
  <c r="CN70" i="15"/>
  <c r="BH75" i="15"/>
  <c r="BK75" i="15"/>
  <c r="BG75" i="15"/>
  <c r="CJ78" i="15"/>
  <c r="CG78" i="15"/>
  <c r="CF78" i="15"/>
  <c r="CI78" i="15"/>
  <c r="L50" i="15"/>
  <c r="AP50" i="15"/>
  <c r="AZ50" i="15"/>
  <c r="CD50" i="15"/>
  <c r="CN50" i="15"/>
  <c r="AP51" i="15"/>
  <c r="CD51" i="15"/>
  <c r="G52" i="15"/>
  <c r="Q52" i="15"/>
  <c r="AU52" i="15"/>
  <c r="BE52" i="15"/>
  <c r="CI52" i="15"/>
  <c r="CS52" i="15"/>
  <c r="AF53" i="15"/>
  <c r="BT53" i="15"/>
  <c r="G54" i="15"/>
  <c r="AK54" i="15"/>
  <c r="AU54" i="15"/>
  <c r="Q55" i="15"/>
  <c r="AB55" i="15"/>
  <c r="BJ55" i="15"/>
  <c r="CS55" i="15"/>
  <c r="G56" i="15"/>
  <c r="AG56" i="15"/>
  <c r="AU56" i="15"/>
  <c r="R57" i="15"/>
  <c r="O59" i="15"/>
  <c r="N59" i="15"/>
  <c r="AK59" i="15"/>
  <c r="CJ59" i="15"/>
  <c r="AG60" i="15"/>
  <c r="AP61" i="15"/>
  <c r="CD61" i="15"/>
  <c r="CB61" i="15"/>
  <c r="AL62" i="15"/>
  <c r="AK62" i="15"/>
  <c r="AI62" i="15"/>
  <c r="I64" i="15"/>
  <c r="M64" i="15"/>
  <c r="AG64" i="15"/>
  <c r="AF64" i="15"/>
  <c r="AD64" i="15"/>
  <c r="W65" i="15"/>
  <c r="V65" i="15"/>
  <c r="S65" i="15"/>
  <c r="AM65" i="15"/>
  <c r="AP65" i="15"/>
  <c r="AN65" i="15"/>
  <c r="BK65" i="15"/>
  <c r="BJ65" i="15"/>
  <c r="CI65" i="15"/>
  <c r="AZ67" i="15"/>
  <c r="M70" i="15"/>
  <c r="CO70" i="15"/>
  <c r="AL73" i="15"/>
  <c r="AK73" i="15"/>
  <c r="AI73" i="15"/>
  <c r="AH73" i="15"/>
  <c r="CQ43" i="15"/>
  <c r="E44" i="15"/>
  <c r="AS44" i="15"/>
  <c r="CG44" i="15"/>
  <c r="AH45" i="15"/>
  <c r="BV45" i="15"/>
  <c r="J46" i="15"/>
  <c r="AX46" i="15"/>
  <c r="CL46" i="15"/>
  <c r="H47" i="15"/>
  <c r="AV47" i="15"/>
  <c r="CJ47" i="15"/>
  <c r="O48" i="15"/>
  <c r="BC48" i="15"/>
  <c r="CQ48" i="15"/>
  <c r="E49" i="15"/>
  <c r="O49" i="15"/>
  <c r="AS49" i="15"/>
  <c r="BC49" i="15"/>
  <c r="CG49" i="15"/>
  <c r="CQ49" i="15"/>
  <c r="E50" i="15"/>
  <c r="AS50" i="15"/>
  <c r="CG50" i="15"/>
  <c r="AH51" i="15"/>
  <c r="BV51" i="15"/>
  <c r="J52" i="15"/>
  <c r="AX52" i="15"/>
  <c r="CL52" i="15"/>
  <c r="I53" i="15"/>
  <c r="X53" i="15"/>
  <c r="AW53" i="15"/>
  <c r="BL53" i="15"/>
  <c r="CK53" i="15"/>
  <c r="AN54" i="15"/>
  <c r="BP54" i="15"/>
  <c r="CE54" i="15"/>
  <c r="T55" i="15"/>
  <c r="BC55" i="15"/>
  <c r="CU55" i="15"/>
  <c r="BL56" i="15"/>
  <c r="CA56" i="15"/>
  <c r="CK56" i="15"/>
  <c r="T57" i="15"/>
  <c r="BB57" i="15"/>
  <c r="CV57" i="15"/>
  <c r="J58" i="15"/>
  <c r="BV59" i="15"/>
  <c r="BZ59" i="15"/>
  <c r="CQ59" i="15"/>
  <c r="CP59" i="15"/>
  <c r="AU61" i="15"/>
  <c r="AS61" i="15"/>
  <c r="AN62" i="15"/>
  <c r="CD67" i="15"/>
  <c r="CB67" i="15"/>
  <c r="BP72" i="15"/>
  <c r="BO72" i="15"/>
  <c r="BL72" i="15"/>
  <c r="Y52" i="15"/>
  <c r="BM52" i="15"/>
  <c r="J53" i="15"/>
  <c r="AN53" i="15"/>
  <c r="AX53" i="15"/>
  <c r="CB53" i="15"/>
  <c r="CL53" i="15"/>
  <c r="O54" i="15"/>
  <c r="BC54" i="15"/>
  <c r="CF54" i="15"/>
  <c r="CU54" i="15"/>
  <c r="J55" i="15"/>
  <c r="AM56" i="15"/>
  <c r="AW56" i="15"/>
  <c r="BC57" i="15"/>
  <c r="AA59" i="15"/>
  <c r="X59" i="15"/>
  <c r="BY60" i="15"/>
  <c r="BP61" i="15"/>
  <c r="BL61" i="15"/>
  <c r="CF61" i="15"/>
  <c r="CJ61" i="15"/>
  <c r="G63" i="15"/>
  <c r="E63" i="15"/>
  <c r="BM64" i="15"/>
  <c r="BL64" i="15"/>
  <c r="BP64" i="15"/>
  <c r="CJ64" i="15"/>
  <c r="CG64" i="15"/>
  <c r="BW66" i="15"/>
  <c r="BY66" i="15"/>
  <c r="AP67" i="15"/>
  <c r="AN67" i="15"/>
  <c r="AI68" i="15"/>
  <c r="AK68" i="15"/>
  <c r="BW69" i="15"/>
  <c r="BY69" i="15"/>
  <c r="AU72" i="15"/>
  <c r="AS72" i="15"/>
  <c r="AR72" i="15"/>
  <c r="AV72" i="15"/>
  <c r="CG54" i="15"/>
  <c r="CL55" i="15"/>
  <c r="CX55" i="15"/>
  <c r="CN56" i="15"/>
  <c r="I57" i="15"/>
  <c r="CF58" i="15"/>
  <c r="CJ58" i="15"/>
  <c r="H60" i="15"/>
  <c r="E60" i="15"/>
  <c r="AW60" i="15"/>
  <c r="BA60" i="15"/>
  <c r="AH61" i="15"/>
  <c r="AX61" i="15"/>
  <c r="AB63" i="15"/>
  <c r="Y63" i="15"/>
  <c r="BZ65" i="15"/>
  <c r="BY65" i="15"/>
  <c r="BW65" i="15"/>
  <c r="E66" i="15"/>
  <c r="AS66" i="15"/>
  <c r="CY68" i="15"/>
  <c r="CX68" i="15"/>
  <c r="CU68" i="15"/>
  <c r="E69" i="15"/>
  <c r="AS69" i="15"/>
  <c r="BZ69" i="15"/>
  <c r="AL70" i="15"/>
  <c r="AH70" i="15"/>
  <c r="AK70" i="15"/>
  <c r="CD59" i="15"/>
  <c r="CB59" i="15"/>
  <c r="CD60" i="15"/>
  <c r="CB60" i="15"/>
  <c r="CY65" i="15"/>
  <c r="CX65" i="15"/>
  <c r="CU65" i="15"/>
  <c r="BK68" i="15"/>
  <c r="BJ68" i="15"/>
  <c r="BG68" i="15"/>
  <c r="CN75" i="15"/>
  <c r="AX76" i="15"/>
  <c r="BP77" i="15"/>
  <c r="BM77" i="15"/>
  <c r="BL77" i="15"/>
  <c r="CV77" i="15"/>
  <c r="AU79" i="15"/>
  <c r="AS79" i="15"/>
  <c r="AR79" i="15"/>
  <c r="AV79" i="15"/>
  <c r="N45" i="15"/>
  <c r="BB45" i="15"/>
  <c r="CP45" i="15"/>
  <c r="AR47" i="15"/>
  <c r="CF47" i="15"/>
  <c r="J50" i="15"/>
  <c r="AN50" i="15"/>
  <c r="AX50" i="15"/>
  <c r="CB50" i="15"/>
  <c r="CL50" i="15"/>
  <c r="N51" i="15"/>
  <c r="AN51" i="15"/>
  <c r="BB51" i="15"/>
  <c r="CB51" i="15"/>
  <c r="CP51" i="15"/>
  <c r="E52" i="15"/>
  <c r="O52" i="15"/>
  <c r="AS52" i="15"/>
  <c r="BC52" i="15"/>
  <c r="CG52" i="15"/>
  <c r="CQ52" i="15"/>
  <c r="M53" i="15"/>
  <c r="AD53" i="15"/>
  <c r="AR53" i="15"/>
  <c r="BA53" i="15"/>
  <c r="BR53" i="15"/>
  <c r="CF53" i="15"/>
  <c r="CO53" i="15"/>
  <c r="E54" i="15"/>
  <c r="AI54" i="15"/>
  <c r="AS54" i="15"/>
  <c r="CI54" i="15"/>
  <c r="O55" i="15"/>
  <c r="Y55" i="15"/>
  <c r="BG55" i="15"/>
  <c r="CQ55" i="15"/>
  <c r="E56" i="15"/>
  <c r="AC56" i="15"/>
  <c r="AR56" i="15"/>
  <c r="CQ56" i="15"/>
  <c r="N57" i="15"/>
  <c r="BH57" i="15"/>
  <c r="CP57" i="15"/>
  <c r="AP58" i="15"/>
  <c r="AN58" i="15"/>
  <c r="AH59" i="15"/>
  <c r="AS59" i="15"/>
  <c r="AV59" i="15"/>
  <c r="CE59" i="15"/>
  <c r="AD60" i="15"/>
  <c r="CE60" i="15"/>
  <c r="AN61" i="15"/>
  <c r="BA61" i="15"/>
  <c r="L63" i="15"/>
  <c r="J63" i="15"/>
  <c r="AV64" i="15"/>
  <c r="BU64" i="15"/>
  <c r="BT64" i="15"/>
  <c r="BR64" i="15"/>
  <c r="N65" i="15"/>
  <c r="BF65" i="15"/>
  <c r="BC65" i="15"/>
  <c r="CA65" i="15"/>
  <c r="CE65" i="15"/>
  <c r="CG66" i="15"/>
  <c r="BP67" i="15"/>
  <c r="BL67" i="15"/>
  <c r="BO67" i="15"/>
  <c r="CN67" i="15"/>
  <c r="CI68" i="15"/>
  <c r="V70" i="15"/>
  <c r="CX70" i="15"/>
  <c r="AG66" i="15"/>
  <c r="AF66" i="15"/>
  <c r="E67" i="15"/>
  <c r="S67" i="15"/>
  <c r="CG67" i="15"/>
  <c r="CF67" i="15"/>
  <c r="CU67" i="15"/>
  <c r="AG69" i="15"/>
  <c r="AF69" i="15"/>
  <c r="M71" i="15"/>
  <c r="L71" i="15"/>
  <c r="J71" i="15"/>
  <c r="AF71" i="15"/>
  <c r="AC71" i="15"/>
  <c r="BA71" i="15"/>
  <c r="AZ71" i="15"/>
  <c r="AX71" i="15"/>
  <c r="BT71" i="15"/>
  <c r="BQ71" i="15"/>
  <c r="CO71" i="15"/>
  <c r="CN71" i="15"/>
  <c r="CL71" i="15"/>
  <c r="CI73" i="15"/>
  <c r="AU73" i="15"/>
  <c r="G76" i="15"/>
  <c r="AL12" i="15"/>
  <c r="AH12" i="15"/>
  <c r="AK12" i="15"/>
  <c r="CB62" i="15"/>
  <c r="AW64" i="15"/>
  <c r="AL65" i="15"/>
  <c r="CD66" i="15"/>
  <c r="H67" i="15"/>
  <c r="CJ67" i="15"/>
  <c r="AN68" i="15"/>
  <c r="AM68" i="15"/>
  <c r="BB68" i="15"/>
  <c r="AI69" i="15"/>
  <c r="CD69" i="15"/>
  <c r="G73" i="15"/>
  <c r="AS74" i="15"/>
  <c r="BW74" i="15"/>
  <c r="BY74" i="15"/>
  <c r="AU75" i="15"/>
  <c r="AS75" i="15"/>
  <c r="AR75" i="15"/>
  <c r="CG69" i="15"/>
  <c r="AX70" i="15"/>
  <c r="AW70" i="15"/>
  <c r="BZ70" i="15"/>
  <c r="T71" i="15"/>
  <c r="BH71" i="15"/>
  <c r="CV71" i="15"/>
  <c r="CQ73" i="15"/>
  <c r="CT73" i="15"/>
  <c r="G75" i="15"/>
  <c r="E75" i="15"/>
  <c r="AB75" i="15"/>
  <c r="AA75" i="15"/>
  <c r="X75" i="15"/>
  <c r="G14" i="15"/>
  <c r="E14" i="15"/>
  <c r="CF56" i="15"/>
  <c r="AV58" i="15"/>
  <c r="AM59" i="15"/>
  <c r="AH60" i="15"/>
  <c r="H61" i="15"/>
  <c r="W62" i="15"/>
  <c r="BB62" i="15"/>
  <c r="BC62" i="15"/>
  <c r="BV62" i="15"/>
  <c r="CE62" i="15"/>
  <c r="CJ63" i="15"/>
  <c r="CI63" i="15"/>
  <c r="BA64" i="15"/>
  <c r="CK64" i="15"/>
  <c r="I66" i="15"/>
  <c r="BU66" i="15"/>
  <c r="BT66" i="15"/>
  <c r="CK66" i="15"/>
  <c r="AS67" i="15"/>
  <c r="AR67" i="15"/>
  <c r="BG67" i="15"/>
  <c r="AQ68" i="15"/>
  <c r="I69" i="15"/>
  <c r="AK69" i="15"/>
  <c r="BU69" i="15"/>
  <c r="BT69" i="15"/>
  <c r="CK69" i="15"/>
  <c r="AZ70" i="15"/>
  <c r="BJ70" i="15"/>
  <c r="BY70" i="15"/>
  <c r="CI72" i="15"/>
  <c r="CG72" i="15"/>
  <c r="CF72" i="15"/>
  <c r="BC73" i="15"/>
  <c r="BF73" i="15"/>
  <c r="BZ73" i="15"/>
  <c r="BY73" i="15"/>
  <c r="BW73" i="15"/>
  <c r="H75" i="15"/>
  <c r="O76" i="15"/>
  <c r="N76" i="15"/>
  <c r="R76" i="15"/>
  <c r="BL13" i="15"/>
  <c r="Y64" i="15"/>
  <c r="X64" i="15"/>
  <c r="CP65" i="15"/>
  <c r="AC66" i="15"/>
  <c r="AP66" i="15"/>
  <c r="N68" i="15"/>
  <c r="CB68" i="15"/>
  <c r="CA68" i="15"/>
  <c r="CP68" i="15"/>
  <c r="AC69" i="15"/>
  <c r="AP69" i="15"/>
  <c r="G72" i="15"/>
  <c r="E72" i="15"/>
  <c r="AB72" i="15"/>
  <c r="AA72" i="15"/>
  <c r="X72" i="15"/>
  <c r="E74" i="15"/>
  <c r="AI74" i="15"/>
  <c r="AK74" i="15"/>
  <c r="CG74" i="15"/>
  <c r="CB75" i="15"/>
  <c r="CD75" i="15"/>
  <c r="CL76" i="15"/>
  <c r="AQ73" i="15"/>
  <c r="CE73" i="15"/>
  <c r="T77" i="15"/>
  <c r="AX65" i="15"/>
  <c r="CL65" i="15"/>
  <c r="AD70" i="15"/>
  <c r="BR70" i="15"/>
  <c r="AR71" i="15"/>
  <c r="CF71" i="15"/>
  <c r="O72" i="15"/>
  <c r="AQ72" i="15"/>
  <c r="BC72" i="15"/>
  <c r="CE72" i="15"/>
  <c r="CQ72" i="15"/>
  <c r="N74" i="15"/>
  <c r="BB74" i="15"/>
  <c r="CP74" i="15"/>
  <c r="O75" i="15"/>
  <c r="AQ75" i="15"/>
  <c r="BC75" i="15"/>
  <c r="BP75" i="15"/>
  <c r="AI76" i="15"/>
  <c r="BK76" i="15"/>
  <c r="CQ76" i="15"/>
  <c r="CP76" i="15"/>
  <c r="CT76" i="15"/>
  <c r="I77" i="15"/>
  <c r="E71" i="15"/>
  <c r="AS71" i="15"/>
  <c r="CG71" i="15"/>
  <c r="J73" i="15"/>
  <c r="AX73" i="15"/>
  <c r="CL73" i="15"/>
  <c r="CV75" i="15"/>
  <c r="CU75" i="15"/>
  <c r="S76" i="15"/>
  <c r="CU76" i="15"/>
  <c r="AB77" i="15"/>
  <c r="BH77" i="15"/>
  <c r="AI78" i="15"/>
  <c r="AH78" i="15"/>
  <c r="AK78" i="15"/>
  <c r="S72" i="15"/>
  <c r="BG72" i="15"/>
  <c r="CU72" i="15"/>
  <c r="AM73" i="15"/>
  <c r="CA73" i="15"/>
  <c r="S75" i="15"/>
  <c r="M77" i="15"/>
  <c r="AC77" i="15"/>
  <c r="AF77" i="15"/>
  <c r="CP12" i="15"/>
  <c r="BW13" i="15"/>
  <c r="BY13" i="15"/>
  <c r="BV13" i="15"/>
  <c r="BZ13" i="15"/>
  <c r="CS78" i="15"/>
  <c r="CP78" i="15"/>
  <c r="CT78" i="15"/>
  <c r="CQ78" i="15"/>
  <c r="BC76" i="15"/>
  <c r="BB76" i="15"/>
  <c r="BF76" i="15"/>
  <c r="BW76" i="15"/>
  <c r="BQ77" i="15"/>
  <c r="BT77" i="15"/>
  <c r="AP12" i="15"/>
  <c r="AN12" i="15"/>
  <c r="AM12" i="15"/>
  <c r="AQ12" i="15"/>
  <c r="CX79" i="15"/>
  <c r="CY79" i="15"/>
  <c r="CU79" i="15"/>
  <c r="BB13" i="15"/>
  <c r="E78" i="15"/>
  <c r="AW78" i="15"/>
  <c r="BU78" i="15"/>
  <c r="AB79" i="15"/>
  <c r="AM79" i="15"/>
  <c r="BP79" i="15"/>
  <c r="CA79" i="15"/>
  <c r="AA12" i="15"/>
  <c r="BL12" i="15"/>
  <c r="S13" i="15"/>
  <c r="BC13" i="15"/>
  <c r="CU13" i="15"/>
  <c r="S14" i="15"/>
  <c r="N78" i="15"/>
  <c r="AX78" i="15"/>
  <c r="CD78" i="15"/>
  <c r="AN79" i="15"/>
  <c r="BG79" i="15"/>
  <c r="CB79" i="15"/>
  <c r="E12" i="15"/>
  <c r="BO12" i="15"/>
  <c r="CE12" i="15"/>
  <c r="CU12" i="15"/>
  <c r="O13" i="15"/>
  <c r="T13" i="15"/>
  <c r="AK13" i="15"/>
  <c r="BE13" i="15"/>
  <c r="BQ13" i="15"/>
  <c r="CA13" i="15"/>
  <c r="CV13" i="15"/>
  <c r="I14" i="15"/>
  <c r="W14" i="15"/>
  <c r="G78" i="15"/>
  <c r="R78" i="15"/>
  <c r="W79" i="15"/>
  <c r="BA77" i="15"/>
  <c r="CO77" i="15"/>
  <c r="BG12" i="15"/>
  <c r="CA12" i="15"/>
  <c r="CL12" i="15"/>
  <c r="O14" i="15"/>
  <c r="J78" i="15"/>
  <c r="AP78" i="15"/>
  <c r="BT78" i="15"/>
  <c r="CA78" i="15"/>
  <c r="AA79" i="15"/>
  <c r="AK79" i="15"/>
  <c r="BO79" i="15"/>
  <c r="CF79" i="15"/>
  <c r="I12" i="15"/>
  <c r="BK12" i="15"/>
  <c r="BQ12" i="15"/>
  <c r="CN12" i="15"/>
  <c r="AC13" i="15"/>
  <c r="AM13" i="15"/>
  <c r="BH13" i="15"/>
  <c r="CS13" i="15"/>
  <c r="R14" i="15"/>
  <c r="I15" i="15"/>
  <c r="S15" i="15"/>
  <c r="X78" i="15"/>
  <c r="J79" i="15"/>
  <c r="CG79" i="15"/>
  <c r="C5" i="44"/>
  <c r="C6" i="44" s="1"/>
  <c r="C7" i="44" s="1"/>
  <c r="C8" i="44" s="1"/>
  <c r="C9" i="44" s="1"/>
  <c r="C10" i="44" s="1"/>
  <c r="C11" i="44" s="1"/>
  <c r="C12" i="44" s="1"/>
  <c r="C13" i="44" s="1"/>
  <c r="C14" i="44" s="1"/>
  <c r="C15" i="44" s="1"/>
  <c r="C16" i="44" s="1"/>
  <c r="C17" i="44" s="1"/>
  <c r="C18" i="44" s="1"/>
  <c r="C19" i="44" s="1"/>
  <c r="C20" i="44" s="1"/>
  <c r="C21" i="44" s="1"/>
  <c r="C22" i="44" s="1"/>
  <c r="C23" i="44" s="1"/>
  <c r="C24" i="44" s="1"/>
  <c r="C25" i="44" s="1"/>
  <c r="C26" i="44" s="1"/>
  <c r="C27" i="44" s="1"/>
  <c r="C28" i="44" s="1"/>
  <c r="C29" i="44" s="1"/>
  <c r="C30" i="44" s="1"/>
  <c r="C31" i="44" s="1"/>
  <c r="C32" i="44" s="1"/>
  <c r="C33" i="44" s="1"/>
  <c r="C34" i="44" s="1"/>
  <c r="C35" i="44" s="1"/>
  <c r="C36" i="44" s="1"/>
  <c r="C37" i="44" s="1"/>
  <c r="C38" i="44" s="1"/>
  <c r="C39" i="44" s="1"/>
  <c r="C40" i="44" s="1"/>
  <c r="C41" i="44" s="1"/>
  <c r="C42" i="44" s="1"/>
  <c r="C43" i="44" s="1"/>
  <c r="C44" i="44" s="1"/>
  <c r="C45" i="44" s="1"/>
  <c r="C46" i="44" s="1"/>
  <c r="C47" i="44" s="1"/>
  <c r="C48" i="44" s="1"/>
  <c r="C49" i="44" s="1"/>
  <c r="C50" i="44" s="1"/>
  <c r="C51" i="44" s="1"/>
  <c r="C52" i="44" s="1"/>
  <c r="C53" i="44" s="1"/>
  <c r="C54" i="44" s="1"/>
  <c r="C55" i="44" s="1"/>
  <c r="C56" i="44" s="1"/>
  <c r="C57" i="44" s="1"/>
  <c r="C58" i="44" s="1"/>
  <c r="C59" i="44" s="1"/>
  <c r="C60" i="44" s="1"/>
  <c r="C61" i="44" s="1"/>
  <c r="C62" i="44" s="1"/>
  <c r="C63" i="44" s="1"/>
  <c r="C64" i="44" s="1"/>
  <c r="C65" i="44" s="1"/>
  <c r="C66" i="44" s="1"/>
  <c r="C67" i="44" s="1"/>
  <c r="C68" i="44" s="1"/>
  <c r="C69" i="44" s="1"/>
  <c r="C70" i="44" s="1"/>
  <c r="C71" i="44" s="1"/>
  <c r="C72" i="44" s="1"/>
  <c r="C73" i="44" s="1"/>
  <c r="C74" i="44" s="1"/>
  <c r="C75" i="44" s="1"/>
  <c r="C76" i="44" s="1"/>
  <c r="C77" i="44" s="1"/>
  <c r="C78" i="44" s="1"/>
  <c r="C79" i="44" s="1"/>
  <c r="C80" i="44" s="1"/>
  <c r="C81" i="44" s="1"/>
  <c r="C82" i="44" s="1"/>
  <c r="C83" i="44" s="1"/>
  <c r="C84" i="44" s="1"/>
  <c r="E86" i="44" s="1"/>
  <c r="AF17" i="15"/>
  <c r="BT17" i="15"/>
  <c r="AG19" i="15"/>
  <c r="AF20" i="15"/>
  <c r="BT20" i="15"/>
  <c r="AA21" i="15"/>
  <c r="BO21" i="15"/>
  <c r="G22" i="15"/>
  <c r="AU22" i="15"/>
  <c r="CI22" i="15"/>
  <c r="AA23" i="15"/>
  <c r="BO23" i="15"/>
  <c r="G24" i="15"/>
  <c r="AU24" i="15"/>
  <c r="CI24" i="15"/>
  <c r="AP25" i="15"/>
  <c r="CD25" i="15"/>
  <c r="G26" i="15"/>
  <c r="AU26" i="15"/>
  <c r="CI26" i="15"/>
  <c r="AP27" i="15"/>
  <c r="CD27" i="15"/>
  <c r="AK28" i="15"/>
  <c r="BY28" i="15"/>
  <c r="G29" i="15"/>
  <c r="AU29" i="15"/>
  <c r="CI29" i="15"/>
  <c r="AP30" i="15"/>
  <c r="CN30" i="15"/>
  <c r="Q31" i="15"/>
  <c r="BJ31" i="15"/>
  <c r="CS31" i="15"/>
  <c r="J32" i="15"/>
  <c r="V32" i="15"/>
  <c r="AD32" i="15"/>
  <c r="AP32" i="15"/>
  <c r="AX32" i="15"/>
  <c r="BJ32" i="15"/>
  <c r="BR32" i="15"/>
  <c r="CD32" i="15"/>
  <c r="CL32" i="15"/>
  <c r="CX32" i="15"/>
  <c r="E35" i="15"/>
  <c r="Q35" i="15"/>
  <c r="Y35" i="15"/>
  <c r="AK35" i="15"/>
  <c r="AS35" i="15"/>
  <c r="BE35" i="15"/>
  <c r="BM35" i="15"/>
  <c r="BY35" i="15"/>
  <c r="CG35" i="15"/>
  <c r="CS35" i="15"/>
  <c r="AU37" i="15"/>
  <c r="BC37" i="15"/>
  <c r="BF37" i="15"/>
  <c r="CY37" i="15"/>
  <c r="CU37" i="15"/>
  <c r="AH38" i="15"/>
  <c r="AL38" i="15"/>
  <c r="AK38" i="15"/>
  <c r="AU40" i="15"/>
  <c r="AS40" i="15"/>
  <c r="BC40" i="15"/>
  <c r="BF40" i="15"/>
  <c r="E42" i="15"/>
  <c r="H42" i="15"/>
  <c r="AC42" i="15"/>
  <c r="AG42" i="15"/>
  <c r="AF42" i="15"/>
  <c r="X15" i="15"/>
  <c r="AH15" i="15"/>
  <c r="AR15" i="15"/>
  <c r="BB15" i="15"/>
  <c r="BL15" i="15"/>
  <c r="BV15" i="15"/>
  <c r="CF15" i="15"/>
  <c r="CP15" i="15"/>
  <c r="I17" i="15"/>
  <c r="Q17" i="15"/>
  <c r="AG17" i="15"/>
  <c r="AW17" i="15"/>
  <c r="BE17" i="15"/>
  <c r="BU17" i="15"/>
  <c r="CK17" i="15"/>
  <c r="CS17" i="15"/>
  <c r="BY18" i="15"/>
  <c r="I20" i="15"/>
  <c r="Q20" i="15"/>
  <c r="AG20" i="15"/>
  <c r="AW20" i="15"/>
  <c r="BE20" i="15"/>
  <c r="BU20" i="15"/>
  <c r="CK20" i="15"/>
  <c r="CS20" i="15"/>
  <c r="L21" i="15"/>
  <c r="AB21" i="15"/>
  <c r="AR21" i="15"/>
  <c r="AZ21" i="15"/>
  <c r="BP21" i="15"/>
  <c r="CF21" i="15"/>
  <c r="CN21" i="15"/>
  <c r="H22" i="15"/>
  <c r="X22" i="15"/>
  <c r="AF22" i="15"/>
  <c r="AV22" i="15"/>
  <c r="BL22" i="15"/>
  <c r="BT22" i="15"/>
  <c r="CJ22" i="15"/>
  <c r="L23" i="15"/>
  <c r="AB23" i="15"/>
  <c r="AR23" i="15"/>
  <c r="AZ23" i="15"/>
  <c r="BP23" i="15"/>
  <c r="CF23" i="15"/>
  <c r="CN23" i="15"/>
  <c r="H24" i="15"/>
  <c r="X24" i="15"/>
  <c r="AF24" i="15"/>
  <c r="AV24" i="15"/>
  <c r="BL24" i="15"/>
  <c r="BT24" i="15"/>
  <c r="CJ24" i="15"/>
  <c r="S25" i="15"/>
  <c r="AA25" i="15"/>
  <c r="AQ25" i="15"/>
  <c r="BG25" i="15"/>
  <c r="BO25" i="15"/>
  <c r="CE25" i="15"/>
  <c r="CU25" i="15"/>
  <c r="H26" i="15"/>
  <c r="X26" i="15"/>
  <c r="AF26" i="15"/>
  <c r="AV26" i="15"/>
  <c r="BL26" i="15"/>
  <c r="BT26" i="15"/>
  <c r="CJ26" i="15"/>
  <c r="S27" i="15"/>
  <c r="AA27" i="15"/>
  <c r="AQ27" i="15"/>
  <c r="BG27" i="15"/>
  <c r="BO27" i="15"/>
  <c r="CE27" i="15"/>
  <c r="CU27" i="15"/>
  <c r="N28" i="15"/>
  <c r="V28" i="15"/>
  <c r="AL28" i="15"/>
  <c r="BB28" i="15"/>
  <c r="BJ28" i="15"/>
  <c r="BZ28" i="15"/>
  <c r="CP28" i="15"/>
  <c r="CX28" i="15"/>
  <c r="H29" i="15"/>
  <c r="X29" i="15"/>
  <c r="AF29" i="15"/>
  <c r="AV29" i="15"/>
  <c r="BL29" i="15"/>
  <c r="BT29" i="15"/>
  <c r="CJ29" i="15"/>
  <c r="S30" i="15"/>
  <c r="AA30" i="15"/>
  <c r="AQ30" i="15"/>
  <c r="BG30" i="15"/>
  <c r="BO30" i="15"/>
  <c r="CF30" i="15"/>
  <c r="CO30" i="15"/>
  <c r="S31" i="15"/>
  <c r="AH31" i="15"/>
  <c r="BB31" i="15"/>
  <c r="BK31" i="15"/>
  <c r="CU31" i="15"/>
  <c r="L32" i="15"/>
  <c r="W32" i="15"/>
  <c r="AF32" i="15"/>
  <c r="AQ32" i="15"/>
  <c r="AZ32" i="15"/>
  <c r="BK32" i="15"/>
  <c r="BT32" i="15"/>
  <c r="CE32" i="15"/>
  <c r="CN32" i="15"/>
  <c r="CY32" i="15"/>
  <c r="G34" i="15"/>
  <c r="O34" i="15"/>
  <c r="AA34" i="15"/>
  <c r="AI34" i="15"/>
  <c r="AU34" i="15"/>
  <c r="BC34" i="15"/>
  <c r="BO34" i="15"/>
  <c r="BW34" i="15"/>
  <c r="CI34" i="15"/>
  <c r="CQ34" i="15"/>
  <c r="G35" i="15"/>
  <c r="R35" i="15"/>
  <c r="AA35" i="15"/>
  <c r="AL35" i="15"/>
  <c r="AU35" i="15"/>
  <c r="BF35" i="15"/>
  <c r="BO35" i="15"/>
  <c r="BZ35" i="15"/>
  <c r="CI35" i="15"/>
  <c r="CT35" i="15"/>
  <c r="L36" i="15"/>
  <c r="T36" i="15"/>
  <c r="AF36" i="15"/>
  <c r="AN36" i="15"/>
  <c r="AZ36" i="15"/>
  <c r="BH36" i="15"/>
  <c r="BT36" i="15"/>
  <c r="CB36" i="15"/>
  <c r="CN36" i="15"/>
  <c r="CV36" i="15"/>
  <c r="CY36" i="15"/>
  <c r="AI37" i="15"/>
  <c r="AH37" i="15"/>
  <c r="AV37" i="15"/>
  <c r="BE37" i="15"/>
  <c r="CX37" i="15"/>
  <c r="R38" i="15"/>
  <c r="N38" i="15"/>
  <c r="AM38" i="15"/>
  <c r="BT38" i="15"/>
  <c r="BR38" i="15"/>
  <c r="BQ38" i="15"/>
  <c r="AZ39" i="15"/>
  <c r="AX39" i="15"/>
  <c r="BH39" i="15"/>
  <c r="BK39" i="15"/>
  <c r="AV40" i="15"/>
  <c r="BE40" i="15"/>
  <c r="CA40" i="15"/>
  <c r="CE40" i="15"/>
  <c r="CD40" i="15"/>
  <c r="AV41" i="15"/>
  <c r="AU41" i="15"/>
  <c r="AS41" i="15"/>
  <c r="AR41" i="15"/>
  <c r="G42" i="15"/>
  <c r="AS42" i="15"/>
  <c r="AR42" i="15"/>
  <c r="AV42" i="15"/>
  <c r="BQ42" i="15"/>
  <c r="BU42" i="15"/>
  <c r="BT42" i="15"/>
  <c r="R44" i="15"/>
  <c r="Q44" i="15"/>
  <c r="O44" i="15"/>
  <c r="N44" i="15"/>
  <c r="BF44" i="15"/>
  <c r="BE44" i="15"/>
  <c r="BC44" i="15"/>
  <c r="BB44" i="15"/>
  <c r="CT44" i="15"/>
  <c r="CS44" i="15"/>
  <c r="CQ44" i="15"/>
  <c r="CP44" i="15"/>
  <c r="E45" i="15"/>
  <c r="H45" i="15"/>
  <c r="G45" i="15"/>
  <c r="X14" i="15"/>
  <c r="AH14" i="15"/>
  <c r="AR14" i="15"/>
  <c r="BB14" i="15"/>
  <c r="BL14" i="15"/>
  <c r="BV14" i="15"/>
  <c r="CF14" i="15"/>
  <c r="CP14" i="15"/>
  <c r="AA15" i="15"/>
  <c r="AK15" i="15"/>
  <c r="AU15" i="15"/>
  <c r="BE15" i="15"/>
  <c r="BO15" i="15"/>
  <c r="BY15" i="15"/>
  <c r="CI15" i="15"/>
  <c r="CS15" i="15"/>
  <c r="I16" i="15"/>
  <c r="S16" i="15"/>
  <c r="AC16" i="15"/>
  <c r="AM16" i="15"/>
  <c r="AW16" i="15"/>
  <c r="BG16" i="15"/>
  <c r="BQ16" i="15"/>
  <c r="CA16" i="15"/>
  <c r="CK16" i="15"/>
  <c r="CU16" i="15"/>
  <c r="J17" i="15"/>
  <c r="R17" i="15"/>
  <c r="AH17" i="15"/>
  <c r="AP17" i="15"/>
  <c r="AX17" i="15"/>
  <c r="BF17" i="15"/>
  <c r="BV17" i="15"/>
  <c r="CD17" i="15"/>
  <c r="CL17" i="15"/>
  <c r="CT17" i="15"/>
  <c r="BZ18" i="15"/>
  <c r="J20" i="15"/>
  <c r="R20" i="15"/>
  <c r="AH20" i="15"/>
  <c r="AP20" i="15"/>
  <c r="AX20" i="15"/>
  <c r="BF20" i="15"/>
  <c r="BV20" i="15"/>
  <c r="CD20" i="15"/>
  <c r="CL20" i="15"/>
  <c r="CT20" i="15"/>
  <c r="E21" i="15"/>
  <c r="M21" i="15"/>
  <c r="AC21" i="15"/>
  <c r="AK21" i="15"/>
  <c r="AS21" i="15"/>
  <c r="BA21" i="15"/>
  <c r="BQ21" i="15"/>
  <c r="BY21" i="15"/>
  <c r="CG21" i="15"/>
  <c r="CO21" i="15"/>
  <c r="I22" i="15"/>
  <c r="Q22" i="15"/>
  <c r="Y22" i="15"/>
  <c r="AG22" i="15"/>
  <c r="AW22" i="15"/>
  <c r="BE22" i="15"/>
  <c r="BM22" i="15"/>
  <c r="BU22" i="15"/>
  <c r="CK22" i="15"/>
  <c r="CS22" i="15"/>
  <c r="E23" i="15"/>
  <c r="M23" i="15"/>
  <c r="AC23" i="15"/>
  <c r="AK23" i="15"/>
  <c r="AS23" i="15"/>
  <c r="BA23" i="15"/>
  <c r="BQ23" i="15"/>
  <c r="BY23" i="15"/>
  <c r="CG23" i="15"/>
  <c r="CO23" i="15"/>
  <c r="I24" i="15"/>
  <c r="Q24" i="15"/>
  <c r="Y24" i="15"/>
  <c r="AG24" i="15"/>
  <c r="AW24" i="15"/>
  <c r="BE24" i="15"/>
  <c r="BM24" i="15"/>
  <c r="BU24" i="15"/>
  <c r="CK24" i="15"/>
  <c r="CS24" i="15"/>
  <c r="L25" i="15"/>
  <c r="T25" i="15"/>
  <c r="AB25" i="15"/>
  <c r="AR25" i="15"/>
  <c r="AZ25" i="15"/>
  <c r="BH25" i="15"/>
  <c r="BP25" i="15"/>
  <c r="CF25" i="15"/>
  <c r="CN25" i="15"/>
  <c r="CV25" i="15"/>
  <c r="I26" i="15"/>
  <c r="Q26" i="15"/>
  <c r="Y26" i="15"/>
  <c r="AG26" i="15"/>
  <c r="AW26" i="15"/>
  <c r="BE26" i="15"/>
  <c r="BM26" i="15"/>
  <c r="BU26" i="15"/>
  <c r="CK26" i="15"/>
  <c r="CS26" i="15"/>
  <c r="L27" i="15"/>
  <c r="T27" i="15"/>
  <c r="AB27" i="15"/>
  <c r="AR27" i="15"/>
  <c r="AZ27" i="15"/>
  <c r="BH27" i="15"/>
  <c r="BP27" i="15"/>
  <c r="CF27" i="15"/>
  <c r="CN27" i="15"/>
  <c r="CV27" i="15"/>
  <c r="G28" i="15"/>
  <c r="O28" i="15"/>
  <c r="W28" i="15"/>
  <c r="AM28" i="15"/>
  <c r="AU28" i="15"/>
  <c r="BC28" i="15"/>
  <c r="BK28" i="15"/>
  <c r="CA28" i="15"/>
  <c r="CI28" i="15"/>
  <c r="CQ28" i="15"/>
  <c r="CY28" i="15"/>
  <c r="I29" i="15"/>
  <c r="Q29" i="15"/>
  <c r="Y29" i="15"/>
  <c r="AG29" i="15"/>
  <c r="AW29" i="15"/>
  <c r="BE29" i="15"/>
  <c r="BM29" i="15"/>
  <c r="BU29" i="15"/>
  <c r="CK29" i="15"/>
  <c r="CS29" i="15"/>
  <c r="L30" i="15"/>
  <c r="T30" i="15"/>
  <c r="AB30" i="15"/>
  <c r="AR30" i="15"/>
  <c r="AZ30" i="15"/>
  <c r="BH30" i="15"/>
  <c r="BP30" i="15"/>
  <c r="CX30" i="15"/>
  <c r="J31" i="15"/>
  <c r="T31" i="15"/>
  <c r="AK31" i="15"/>
  <c r="BT31" i="15"/>
  <c r="CD31" i="15"/>
  <c r="CL31" i="15"/>
  <c r="M32" i="15"/>
  <c r="AG32" i="15"/>
  <c r="BA32" i="15"/>
  <c r="BU32" i="15"/>
  <c r="CO32" i="15"/>
  <c r="H33" i="15"/>
  <c r="AB33" i="15"/>
  <c r="X33" i="15"/>
  <c r="AR33" i="15"/>
  <c r="AV33" i="15"/>
  <c r="BP33" i="15"/>
  <c r="BL33" i="15"/>
  <c r="CF33" i="15"/>
  <c r="CJ33" i="15"/>
  <c r="H34" i="15"/>
  <c r="Q34" i="15"/>
  <c r="AB34" i="15"/>
  <c r="AK34" i="15"/>
  <c r="AV34" i="15"/>
  <c r="BE34" i="15"/>
  <c r="BP34" i="15"/>
  <c r="BY34" i="15"/>
  <c r="CJ34" i="15"/>
  <c r="CS34" i="15"/>
  <c r="H35" i="15"/>
  <c r="AB35" i="15"/>
  <c r="AV35" i="15"/>
  <c r="BP35" i="15"/>
  <c r="CJ35" i="15"/>
  <c r="M36" i="15"/>
  <c r="V36" i="15"/>
  <c r="AG36" i="15"/>
  <c r="AP36" i="15"/>
  <c r="BA36" i="15"/>
  <c r="BJ36" i="15"/>
  <c r="BU36" i="15"/>
  <c r="CD36" i="15"/>
  <c r="CO36" i="15"/>
  <c r="CX36" i="15"/>
  <c r="AK37" i="15"/>
  <c r="CA37" i="15"/>
  <c r="CE37" i="15"/>
  <c r="CD37" i="15"/>
  <c r="Q38" i="15"/>
  <c r="BU38" i="15"/>
  <c r="BA39" i="15"/>
  <c r="BJ39" i="15"/>
  <c r="CF39" i="15"/>
  <c r="CJ39" i="15"/>
  <c r="CI39" i="15"/>
  <c r="I41" i="15"/>
  <c r="M41" i="15"/>
  <c r="L41" i="15"/>
  <c r="CJ41" i="15"/>
  <c r="CI41" i="15"/>
  <c r="CG41" i="15"/>
  <c r="CF41" i="15"/>
  <c r="AU42" i="15"/>
  <c r="CG42" i="15"/>
  <c r="CF42" i="15"/>
  <c r="CJ42" i="15"/>
  <c r="CI42" i="15"/>
  <c r="CJ30" i="15"/>
  <c r="BF31" i="15"/>
  <c r="CX31" i="15"/>
  <c r="G37" i="15"/>
  <c r="O37" i="15"/>
  <c r="R37" i="15"/>
  <c r="BK37" i="15"/>
  <c r="BG37" i="15"/>
  <c r="AP38" i="15"/>
  <c r="AX38" i="15"/>
  <c r="BA38" i="15"/>
  <c r="AK40" i="15"/>
  <c r="AI40" i="15"/>
  <c r="AH40" i="15"/>
  <c r="CI40" i="15"/>
  <c r="CG40" i="15"/>
  <c r="CQ40" i="15"/>
  <c r="CT40" i="15"/>
  <c r="Y41" i="15"/>
  <c r="X41" i="15"/>
  <c r="AB41" i="15"/>
  <c r="AW41" i="15"/>
  <c r="BA41" i="15"/>
  <c r="AZ41" i="15"/>
  <c r="L17" i="15"/>
  <c r="T17" i="15"/>
  <c r="AR17" i="15"/>
  <c r="AZ17" i="15"/>
  <c r="BH17" i="15"/>
  <c r="CF17" i="15"/>
  <c r="CN17" i="15"/>
  <c r="CV17" i="15"/>
  <c r="BF18" i="15"/>
  <c r="AX19" i="15"/>
  <c r="L20" i="15"/>
  <c r="T20" i="15"/>
  <c r="AR20" i="15"/>
  <c r="AZ20" i="15"/>
  <c r="BH20" i="15"/>
  <c r="CF20" i="15"/>
  <c r="CN20" i="15"/>
  <c r="CV20" i="15"/>
  <c r="G21" i="15"/>
  <c r="O21" i="15"/>
  <c r="AM21" i="15"/>
  <c r="AU21" i="15"/>
  <c r="BC21" i="15"/>
  <c r="CA21" i="15"/>
  <c r="CI21" i="15"/>
  <c r="CQ21" i="15"/>
  <c r="S22" i="15"/>
  <c r="AA22" i="15"/>
  <c r="AI22" i="15"/>
  <c r="BG22" i="15"/>
  <c r="BO22" i="15"/>
  <c r="BW22" i="15"/>
  <c r="CU22" i="15"/>
  <c r="G23" i="15"/>
  <c r="O23" i="15"/>
  <c r="AM23" i="15"/>
  <c r="AU23" i="15"/>
  <c r="BC23" i="15"/>
  <c r="CA23" i="15"/>
  <c r="CI23" i="15"/>
  <c r="CQ23" i="15"/>
  <c r="S24" i="15"/>
  <c r="AA24" i="15"/>
  <c r="AI24" i="15"/>
  <c r="BG24" i="15"/>
  <c r="BO24" i="15"/>
  <c r="BW24" i="15"/>
  <c r="CU24" i="15"/>
  <c r="N25" i="15"/>
  <c r="V25" i="15"/>
  <c r="AD25" i="15"/>
  <c r="BB25" i="15"/>
  <c r="BJ25" i="15"/>
  <c r="BR25" i="15"/>
  <c r="CP25" i="15"/>
  <c r="CX25" i="15"/>
  <c r="S26" i="15"/>
  <c r="AA26" i="15"/>
  <c r="AI26" i="15"/>
  <c r="BG26" i="15"/>
  <c r="BO26" i="15"/>
  <c r="BW26" i="15"/>
  <c r="CU26" i="15"/>
  <c r="N27" i="15"/>
  <c r="V27" i="15"/>
  <c r="AD27" i="15"/>
  <c r="BB27" i="15"/>
  <c r="BJ27" i="15"/>
  <c r="BR27" i="15"/>
  <c r="CP27" i="15"/>
  <c r="CX27" i="15"/>
  <c r="I28" i="15"/>
  <c r="Q28" i="15"/>
  <c r="Y28" i="15"/>
  <c r="AW28" i="15"/>
  <c r="BE28" i="15"/>
  <c r="BM28" i="15"/>
  <c r="CK28" i="15"/>
  <c r="CS28" i="15"/>
  <c r="S29" i="15"/>
  <c r="AA29" i="15"/>
  <c r="AI29" i="15"/>
  <c r="BG29" i="15"/>
  <c r="BO29" i="15"/>
  <c r="BW29" i="15"/>
  <c r="CU29" i="15"/>
  <c r="N30" i="15"/>
  <c r="V30" i="15"/>
  <c r="AD30" i="15"/>
  <c r="BB30" i="15"/>
  <c r="BJ30" i="15"/>
  <c r="BR30" i="15"/>
  <c r="CI30" i="15"/>
  <c r="V31" i="15"/>
  <c r="AD31" i="15"/>
  <c r="BE31" i="15"/>
  <c r="CF31" i="15"/>
  <c r="CY31" i="15"/>
  <c r="R32" i="15"/>
  <c r="N32" i="15"/>
  <c r="AH32" i="15"/>
  <c r="AL32" i="15"/>
  <c r="BF32" i="15"/>
  <c r="BB32" i="15"/>
  <c r="BV32" i="15"/>
  <c r="BZ32" i="15"/>
  <c r="CT32" i="15"/>
  <c r="CP32" i="15"/>
  <c r="I35" i="15"/>
  <c r="M35" i="15"/>
  <c r="AG35" i="15"/>
  <c r="AC35" i="15"/>
  <c r="AW35" i="15"/>
  <c r="BA35" i="15"/>
  <c r="BU35" i="15"/>
  <c r="BQ35" i="15"/>
  <c r="CK35" i="15"/>
  <c r="CO35" i="15"/>
  <c r="H37" i="15"/>
  <c r="Q37" i="15"/>
  <c r="BJ37" i="15"/>
  <c r="AD38" i="15"/>
  <c r="AC38" i="15"/>
  <c r="AQ38" i="15"/>
  <c r="AZ38" i="15"/>
  <c r="BV38" i="15"/>
  <c r="BZ38" i="15"/>
  <c r="BY38" i="15"/>
  <c r="H39" i="15"/>
  <c r="G39" i="15"/>
  <c r="AP39" i="15"/>
  <c r="AN39" i="15"/>
  <c r="AM39" i="15"/>
  <c r="CN39" i="15"/>
  <c r="CL39" i="15"/>
  <c r="CV39" i="15"/>
  <c r="CY39" i="15"/>
  <c r="AL40" i="15"/>
  <c r="CJ40" i="15"/>
  <c r="CS40" i="15"/>
  <c r="AA41" i="15"/>
  <c r="BM41" i="15"/>
  <c r="BL41" i="15"/>
  <c r="BP41" i="15"/>
  <c r="CK41" i="15"/>
  <c r="CO41" i="15"/>
  <c r="CN41" i="15"/>
  <c r="W43" i="15"/>
  <c r="V43" i="15"/>
  <c r="T43" i="15"/>
  <c r="S43" i="15"/>
  <c r="BK43" i="15"/>
  <c r="BJ43" i="15"/>
  <c r="BH43" i="15"/>
  <c r="BG43" i="15"/>
  <c r="CY43" i="15"/>
  <c r="CX43" i="15"/>
  <c r="CV43" i="15"/>
  <c r="CU43" i="15"/>
  <c r="AI44" i="15"/>
  <c r="AH44" i="15"/>
  <c r="AL44" i="15"/>
  <c r="AK44" i="15"/>
  <c r="BW44" i="15"/>
  <c r="BV44" i="15"/>
  <c r="BZ44" i="15"/>
  <c r="BY44" i="15"/>
  <c r="AC15" i="15"/>
  <c r="AM15" i="15"/>
  <c r="AW15" i="15"/>
  <c r="BG15" i="15"/>
  <c r="BQ15" i="15"/>
  <c r="CA15" i="15"/>
  <c r="CK15" i="15"/>
  <c r="CU15" i="15"/>
  <c r="M17" i="15"/>
  <c r="AC17" i="15"/>
  <c r="BA17" i="15"/>
  <c r="BQ17" i="15"/>
  <c r="CO17" i="15"/>
  <c r="M20" i="15"/>
  <c r="AC20" i="15"/>
  <c r="BA20" i="15"/>
  <c r="BQ20" i="15"/>
  <c r="CO20" i="15"/>
  <c r="H21" i="15"/>
  <c r="X21" i="15"/>
  <c r="AV21" i="15"/>
  <c r="BL21" i="15"/>
  <c r="CJ21" i="15"/>
  <c r="AB22" i="15"/>
  <c r="AR22" i="15"/>
  <c r="BP22" i="15"/>
  <c r="CF22" i="15"/>
  <c r="H23" i="15"/>
  <c r="X23" i="15"/>
  <c r="AV23" i="15"/>
  <c r="BL23" i="15"/>
  <c r="CJ23" i="15"/>
  <c r="AB24" i="15"/>
  <c r="AR24" i="15"/>
  <c r="BP24" i="15"/>
  <c r="CF24" i="15"/>
  <c r="W25" i="15"/>
  <c r="AM25" i="15"/>
  <c r="BK25" i="15"/>
  <c r="CA25" i="15"/>
  <c r="CY25" i="15"/>
  <c r="AB26" i="15"/>
  <c r="AR26" i="15"/>
  <c r="BP26" i="15"/>
  <c r="CF26" i="15"/>
  <c r="W27" i="15"/>
  <c r="AM27" i="15"/>
  <c r="BK27" i="15"/>
  <c r="CA27" i="15"/>
  <c r="CY27" i="15"/>
  <c r="R28" i="15"/>
  <c r="AH28" i="15"/>
  <c r="BF28" i="15"/>
  <c r="BV28" i="15"/>
  <c r="CT28" i="15"/>
  <c r="AB29" i="15"/>
  <c r="AR29" i="15"/>
  <c r="BP29" i="15"/>
  <c r="CF29" i="15"/>
  <c r="W30" i="15"/>
  <c r="AM30" i="15"/>
  <c r="BK30" i="15"/>
  <c r="CK30" i="15"/>
  <c r="N31" i="15"/>
  <c r="W31" i="15"/>
  <c r="BG31" i="15"/>
  <c r="BV31" i="15"/>
  <c r="CP31" i="15"/>
  <c r="W34" i="15"/>
  <c r="S34" i="15"/>
  <c r="AM34" i="15"/>
  <c r="AQ34" i="15"/>
  <c r="BK34" i="15"/>
  <c r="BG34" i="15"/>
  <c r="CA34" i="15"/>
  <c r="CE34" i="15"/>
  <c r="CY34" i="15"/>
  <c r="CU34" i="15"/>
  <c r="H36" i="15"/>
  <c r="AB36" i="15"/>
  <c r="X36" i="15"/>
  <c r="AR36" i="15"/>
  <c r="AV36" i="15"/>
  <c r="BP36" i="15"/>
  <c r="BL36" i="15"/>
  <c r="CF36" i="15"/>
  <c r="CJ36" i="15"/>
  <c r="AM37" i="15"/>
  <c r="AQ37" i="15"/>
  <c r="AP37" i="15"/>
  <c r="CI37" i="15"/>
  <c r="CQ37" i="15"/>
  <c r="CT37" i="15"/>
  <c r="G40" i="15"/>
  <c r="E40" i="15"/>
  <c r="O40" i="15"/>
  <c r="R40" i="15"/>
  <c r="AC14" i="15"/>
  <c r="AM14" i="15"/>
  <c r="AW14" i="15"/>
  <c r="BG14" i="15"/>
  <c r="BQ14" i="15"/>
  <c r="CA14" i="15"/>
  <c r="CK14" i="15"/>
  <c r="CU14" i="15"/>
  <c r="AF15" i="15"/>
  <c r="AP15" i="15"/>
  <c r="AZ15" i="15"/>
  <c r="BJ15" i="15"/>
  <c r="BT15" i="15"/>
  <c r="CD15" i="15"/>
  <c r="CN15" i="15"/>
  <c r="CX15" i="15"/>
  <c r="N16" i="15"/>
  <c r="X16" i="15"/>
  <c r="AH16" i="15"/>
  <c r="AR16" i="15"/>
  <c r="BB16" i="15"/>
  <c r="BL16" i="15"/>
  <c r="BV16" i="15"/>
  <c r="CF16" i="15"/>
  <c r="CP16" i="15"/>
  <c r="N17" i="15"/>
  <c r="V17" i="15"/>
  <c r="AD17" i="15"/>
  <c r="BB17" i="15"/>
  <c r="BJ17" i="15"/>
  <c r="BR17" i="15"/>
  <c r="CP17" i="15"/>
  <c r="CX17" i="15"/>
  <c r="CG18" i="15"/>
  <c r="AB19" i="15"/>
  <c r="AZ19" i="15"/>
  <c r="N20" i="15"/>
  <c r="V20" i="15"/>
  <c r="AD20" i="15"/>
  <c r="BB20" i="15"/>
  <c r="BJ20" i="15"/>
  <c r="BR20" i="15"/>
  <c r="CP20" i="15"/>
  <c r="CX20" i="15"/>
  <c r="I21" i="15"/>
  <c r="Q21" i="15"/>
  <c r="Y21" i="15"/>
  <c r="AW21" i="15"/>
  <c r="BE21" i="15"/>
  <c r="BM21" i="15"/>
  <c r="CK21" i="15"/>
  <c r="CS21" i="15"/>
  <c r="E22" i="15"/>
  <c r="AC22" i="15"/>
  <c r="AK22" i="15"/>
  <c r="AS22" i="15"/>
  <c r="BQ22" i="15"/>
  <c r="BY22" i="15"/>
  <c r="CG22" i="15"/>
  <c r="I23" i="15"/>
  <c r="Q23" i="15"/>
  <c r="Y23" i="15"/>
  <c r="AW23" i="15"/>
  <c r="BE23" i="15"/>
  <c r="BM23" i="15"/>
  <c r="CK23" i="15"/>
  <c r="CS23" i="15"/>
  <c r="E24" i="15"/>
  <c r="AC24" i="15"/>
  <c r="AK24" i="15"/>
  <c r="AS24" i="15"/>
  <c r="BQ24" i="15"/>
  <c r="BY24" i="15"/>
  <c r="CG24" i="15"/>
  <c r="X25" i="15"/>
  <c r="AF25" i="15"/>
  <c r="AN25" i="15"/>
  <c r="BL25" i="15"/>
  <c r="BT25" i="15"/>
  <c r="CB25" i="15"/>
  <c r="E26" i="15"/>
  <c r="AC26" i="15"/>
  <c r="AK26" i="15"/>
  <c r="AS26" i="15"/>
  <c r="BQ26" i="15"/>
  <c r="BY26" i="15"/>
  <c r="CG26" i="15"/>
  <c r="X27" i="15"/>
  <c r="AF27" i="15"/>
  <c r="AN27" i="15"/>
  <c r="BL27" i="15"/>
  <c r="BT27" i="15"/>
  <c r="CB27" i="15"/>
  <c r="S28" i="15"/>
  <c r="AA28" i="15"/>
  <c r="AI28" i="15"/>
  <c r="BG28" i="15"/>
  <c r="BO28" i="15"/>
  <c r="BW28" i="15"/>
  <c r="CU28" i="15"/>
  <c r="E29" i="15"/>
  <c r="AC29" i="15"/>
  <c r="AK29" i="15"/>
  <c r="AS29" i="15"/>
  <c r="BQ29" i="15"/>
  <c r="BY29" i="15"/>
  <c r="CG29" i="15"/>
  <c r="X30" i="15"/>
  <c r="AF30" i="15"/>
  <c r="AN30" i="15"/>
  <c r="BL30" i="15"/>
  <c r="BT30" i="15"/>
  <c r="CB30" i="15"/>
  <c r="CL30" i="15"/>
  <c r="AF31" i="15"/>
  <c r="AP31" i="15"/>
  <c r="AX31" i="15"/>
  <c r="BH31" i="15"/>
  <c r="BY31" i="15"/>
  <c r="S32" i="15"/>
  <c r="AM32" i="15"/>
  <c r="BG32" i="15"/>
  <c r="CA32" i="15"/>
  <c r="CU32" i="15"/>
  <c r="L33" i="15"/>
  <c r="T33" i="15"/>
  <c r="AF33" i="15"/>
  <c r="AN33" i="15"/>
  <c r="AZ33" i="15"/>
  <c r="BH33" i="15"/>
  <c r="BT33" i="15"/>
  <c r="CB33" i="15"/>
  <c r="CN33" i="15"/>
  <c r="CV33" i="15"/>
  <c r="V34" i="15"/>
  <c r="AP34" i="15"/>
  <c r="BJ34" i="15"/>
  <c r="CD34" i="15"/>
  <c r="CX34" i="15"/>
  <c r="N35" i="15"/>
  <c r="AH35" i="15"/>
  <c r="BB35" i="15"/>
  <c r="BV35" i="15"/>
  <c r="CP35" i="15"/>
  <c r="G36" i="15"/>
  <c r="AA36" i="15"/>
  <c r="AU36" i="15"/>
  <c r="BO36" i="15"/>
  <c r="CI36" i="15"/>
  <c r="W37" i="15"/>
  <c r="S37" i="15"/>
  <c r="AR37" i="15"/>
  <c r="BW37" i="15"/>
  <c r="BV37" i="15"/>
  <c r="CJ37" i="15"/>
  <c r="CS37" i="15"/>
  <c r="J38" i="15"/>
  <c r="M38" i="15"/>
  <c r="BF38" i="15"/>
  <c r="BB38" i="15"/>
  <c r="CD38" i="15"/>
  <c r="CB38" i="15"/>
  <c r="CL38" i="15"/>
  <c r="CO38" i="15"/>
  <c r="L39" i="15"/>
  <c r="J39" i="15"/>
  <c r="T39" i="15"/>
  <c r="W39" i="15"/>
  <c r="H40" i="15"/>
  <c r="Q40" i="15"/>
  <c r="AM40" i="15"/>
  <c r="AQ40" i="15"/>
  <c r="AP40" i="15"/>
  <c r="BY40" i="15"/>
  <c r="BW40" i="15"/>
  <c r="BV40" i="15"/>
  <c r="AB42" i="15"/>
  <c r="AA42" i="15"/>
  <c r="Y42" i="15"/>
  <c r="X42" i="15"/>
  <c r="R31" i="15"/>
  <c r="CT31" i="15"/>
  <c r="AR39" i="15"/>
  <c r="AV39" i="15"/>
  <c r="AU39" i="15"/>
  <c r="CD39" i="15"/>
  <c r="CB39" i="15"/>
  <c r="CA39" i="15"/>
  <c r="G41" i="15"/>
  <c r="E41" i="15"/>
  <c r="BP42" i="15"/>
  <c r="BO42" i="15"/>
  <c r="BM42" i="15"/>
  <c r="BL42" i="15"/>
  <c r="AN43" i="15"/>
  <c r="AM43" i="15"/>
  <c r="AQ43" i="15"/>
  <c r="AP43" i="15"/>
  <c r="CB43" i="15"/>
  <c r="CA43" i="15"/>
  <c r="CE43" i="15"/>
  <c r="CD43" i="15"/>
  <c r="AU45" i="15"/>
  <c r="CI45" i="15"/>
  <c r="AP46" i="15"/>
  <c r="CD46" i="15"/>
  <c r="L47" i="15"/>
  <c r="AZ47" i="15"/>
  <c r="CN47" i="15"/>
  <c r="AF48" i="15"/>
  <c r="BT48" i="15"/>
  <c r="AP49" i="15"/>
  <c r="CD49" i="15"/>
  <c r="AK50" i="15"/>
  <c r="BY50" i="15"/>
  <c r="G51" i="15"/>
  <c r="AU51" i="15"/>
  <c r="CI51" i="15"/>
  <c r="AP52" i="15"/>
  <c r="CD52" i="15"/>
  <c r="AK53" i="15"/>
  <c r="BY53" i="15"/>
  <c r="AF54" i="15"/>
  <c r="BT54" i="15"/>
  <c r="AK55" i="15"/>
  <c r="AV55" i="15"/>
  <c r="BU55" i="15"/>
  <c r="CD55" i="15"/>
  <c r="BG56" i="15"/>
  <c r="E57" i="15"/>
  <c r="AF57" i="15"/>
  <c r="AQ57" i="15"/>
  <c r="BT57" i="15"/>
  <c r="CE57" i="15"/>
  <c r="N58" i="15"/>
  <c r="Q58" i="15"/>
  <c r="AA58" i="15"/>
  <c r="AK58" i="15"/>
  <c r="BB58" i="15"/>
  <c r="BE58" i="15"/>
  <c r="BO58" i="15"/>
  <c r="BY58" i="15"/>
  <c r="CP58" i="15"/>
  <c r="CS58" i="15"/>
  <c r="T59" i="15"/>
  <c r="AG59" i="15"/>
  <c r="BH59" i="15"/>
  <c r="BU59" i="15"/>
  <c r="CV59" i="15"/>
  <c r="Y62" i="15"/>
  <c r="AB62" i="15"/>
  <c r="AU62" i="15"/>
  <c r="BU62" i="15"/>
  <c r="BQ62" i="15"/>
  <c r="CK62" i="15"/>
  <c r="CO62" i="15"/>
  <c r="CN62" i="15"/>
  <c r="BF63" i="15"/>
  <c r="BC63" i="15"/>
  <c r="BB63" i="15"/>
  <c r="CY64" i="15"/>
  <c r="CX64" i="15"/>
  <c r="CU64" i="15"/>
  <c r="H65" i="15"/>
  <c r="E65" i="15"/>
  <c r="AB66" i="15"/>
  <c r="AA66" i="15"/>
  <c r="Y66" i="15"/>
  <c r="X66" i="15"/>
  <c r="BP66" i="15"/>
  <c r="BO66" i="15"/>
  <c r="BM66" i="15"/>
  <c r="BL66" i="15"/>
  <c r="AA43" i="15"/>
  <c r="BO43" i="15"/>
  <c r="V44" i="15"/>
  <c r="BJ44" i="15"/>
  <c r="CX44" i="15"/>
  <c r="X45" i="15"/>
  <c r="AF45" i="15"/>
  <c r="AV45" i="15"/>
  <c r="BL45" i="15"/>
  <c r="BT45" i="15"/>
  <c r="CJ45" i="15"/>
  <c r="S46" i="15"/>
  <c r="AA46" i="15"/>
  <c r="AQ46" i="15"/>
  <c r="BG46" i="15"/>
  <c r="BO46" i="15"/>
  <c r="CE46" i="15"/>
  <c r="CU46" i="15"/>
  <c r="M47" i="15"/>
  <c r="AC47" i="15"/>
  <c r="AK47" i="15"/>
  <c r="BA47" i="15"/>
  <c r="BQ47" i="15"/>
  <c r="BY47" i="15"/>
  <c r="CO47" i="15"/>
  <c r="I48" i="15"/>
  <c r="Q48" i="15"/>
  <c r="AG48" i="15"/>
  <c r="AW48" i="15"/>
  <c r="BE48" i="15"/>
  <c r="BU48" i="15"/>
  <c r="CK48" i="15"/>
  <c r="CS48" i="15"/>
  <c r="S49" i="15"/>
  <c r="AA49" i="15"/>
  <c r="AQ49" i="15"/>
  <c r="BG49" i="15"/>
  <c r="BO49" i="15"/>
  <c r="CE49" i="15"/>
  <c r="CU49" i="15"/>
  <c r="N50" i="15"/>
  <c r="V50" i="15"/>
  <c r="AL50" i="15"/>
  <c r="BB50" i="15"/>
  <c r="BJ50" i="15"/>
  <c r="BZ50" i="15"/>
  <c r="CP50" i="15"/>
  <c r="CX50" i="15"/>
  <c r="H51" i="15"/>
  <c r="X51" i="15"/>
  <c r="AF51" i="15"/>
  <c r="AV51" i="15"/>
  <c r="BL51" i="15"/>
  <c r="BT51" i="15"/>
  <c r="CJ51" i="15"/>
  <c r="S52" i="15"/>
  <c r="AA52" i="15"/>
  <c r="AQ52" i="15"/>
  <c r="BG52" i="15"/>
  <c r="BO52" i="15"/>
  <c r="CE52" i="15"/>
  <c r="CU52" i="15"/>
  <c r="N53" i="15"/>
  <c r="V53" i="15"/>
  <c r="AL53" i="15"/>
  <c r="BB53" i="15"/>
  <c r="BJ53" i="15"/>
  <c r="BZ53" i="15"/>
  <c r="CP53" i="15"/>
  <c r="CX53" i="15"/>
  <c r="I54" i="15"/>
  <c r="Q54" i="15"/>
  <c r="AG54" i="15"/>
  <c r="AW54" i="15"/>
  <c r="BE54" i="15"/>
  <c r="BU54" i="15"/>
  <c r="CK54" i="15"/>
  <c r="CS54" i="15"/>
  <c r="L55" i="15"/>
  <c r="AC55" i="15"/>
  <c r="AL55" i="15"/>
  <c r="AU55" i="15"/>
  <c r="BV55" i="15"/>
  <c r="CE55" i="15"/>
  <c r="CN55" i="15"/>
  <c r="Q56" i="15"/>
  <c r="AA56" i="15"/>
  <c r="AI56" i="15"/>
  <c r="BJ56" i="15"/>
  <c r="CS56" i="15"/>
  <c r="G57" i="15"/>
  <c r="AG57" i="15"/>
  <c r="BU57" i="15"/>
  <c r="R58" i="15"/>
  <c r="AB58" i="15"/>
  <c r="BF58" i="15"/>
  <c r="BP58" i="15"/>
  <c r="CT58" i="15"/>
  <c r="I59" i="15"/>
  <c r="L59" i="15"/>
  <c r="V59" i="15"/>
  <c r="AF59" i="15"/>
  <c r="AW59" i="15"/>
  <c r="AZ59" i="15"/>
  <c r="BJ59" i="15"/>
  <c r="BT59" i="15"/>
  <c r="CK59" i="15"/>
  <c r="CN59" i="15"/>
  <c r="CX59" i="15"/>
  <c r="O60" i="15"/>
  <c r="AB60" i="15"/>
  <c r="BC60" i="15"/>
  <c r="BP60" i="15"/>
  <c r="CQ60" i="15"/>
  <c r="Y61" i="15"/>
  <c r="AL61" i="15"/>
  <c r="BM61" i="15"/>
  <c r="BZ61" i="15"/>
  <c r="CP61" i="15"/>
  <c r="CT61" i="15"/>
  <c r="CS61" i="15"/>
  <c r="Q62" i="15"/>
  <c r="AA62" i="15"/>
  <c r="BT62" i="15"/>
  <c r="CP62" i="15"/>
  <c r="S63" i="15"/>
  <c r="W63" i="15"/>
  <c r="V63" i="15"/>
  <c r="BE63" i="15"/>
  <c r="O64" i="15"/>
  <c r="N64" i="15"/>
  <c r="R64" i="15"/>
  <c r="BZ64" i="15"/>
  <c r="BW64" i="15"/>
  <c r="BV64" i="15"/>
  <c r="G65" i="15"/>
  <c r="AA37" i="15"/>
  <c r="BO37" i="15"/>
  <c r="V38" i="15"/>
  <c r="BJ38" i="15"/>
  <c r="CP38" i="15"/>
  <c r="CX38" i="15"/>
  <c r="X39" i="15"/>
  <c r="AF39" i="15"/>
  <c r="BL39" i="15"/>
  <c r="BT39" i="15"/>
  <c r="S40" i="15"/>
  <c r="AA40" i="15"/>
  <c r="BG40" i="15"/>
  <c r="BO40" i="15"/>
  <c r="CU40" i="15"/>
  <c r="AC41" i="15"/>
  <c r="AK41" i="15"/>
  <c r="BQ41" i="15"/>
  <c r="BY41" i="15"/>
  <c r="I42" i="15"/>
  <c r="Q42" i="15"/>
  <c r="AW42" i="15"/>
  <c r="BE42" i="15"/>
  <c r="CK42" i="15"/>
  <c r="CS42" i="15"/>
  <c r="L43" i="15"/>
  <c r="AB43" i="15"/>
  <c r="AR43" i="15"/>
  <c r="AZ43" i="15"/>
  <c r="BP43" i="15"/>
  <c r="CF43" i="15"/>
  <c r="CN43" i="15"/>
  <c r="G44" i="15"/>
  <c r="W44" i="15"/>
  <c r="AM44" i="15"/>
  <c r="AU44" i="15"/>
  <c r="BK44" i="15"/>
  <c r="CA44" i="15"/>
  <c r="CI44" i="15"/>
  <c r="CY44" i="15"/>
  <c r="I45" i="15"/>
  <c r="Q45" i="15"/>
  <c r="Y45" i="15"/>
  <c r="AG45" i="15"/>
  <c r="AW45" i="15"/>
  <c r="BE45" i="15"/>
  <c r="BM45" i="15"/>
  <c r="BU45" i="15"/>
  <c r="CK45" i="15"/>
  <c r="CS45" i="15"/>
  <c r="L46" i="15"/>
  <c r="T46" i="15"/>
  <c r="AB46" i="15"/>
  <c r="AR46" i="15"/>
  <c r="AZ46" i="15"/>
  <c r="BH46" i="15"/>
  <c r="BP46" i="15"/>
  <c r="CF46" i="15"/>
  <c r="CN46" i="15"/>
  <c r="CV46" i="15"/>
  <c r="N47" i="15"/>
  <c r="V47" i="15"/>
  <c r="AD47" i="15"/>
  <c r="AL47" i="15"/>
  <c r="BB47" i="15"/>
  <c r="BJ47" i="15"/>
  <c r="BR47" i="15"/>
  <c r="BZ47" i="15"/>
  <c r="CP47" i="15"/>
  <c r="CX47" i="15"/>
  <c r="J48" i="15"/>
  <c r="R48" i="15"/>
  <c r="AH48" i="15"/>
  <c r="AP48" i="15"/>
  <c r="AX48" i="15"/>
  <c r="BF48" i="15"/>
  <c r="BV48" i="15"/>
  <c r="CD48" i="15"/>
  <c r="CL48" i="15"/>
  <c r="CT48" i="15"/>
  <c r="L49" i="15"/>
  <c r="T49" i="15"/>
  <c r="AB49" i="15"/>
  <c r="AR49" i="15"/>
  <c r="AZ49" i="15"/>
  <c r="BH49" i="15"/>
  <c r="BP49" i="15"/>
  <c r="CF49" i="15"/>
  <c r="CN49" i="15"/>
  <c r="CV49" i="15"/>
  <c r="G50" i="15"/>
  <c r="O50" i="15"/>
  <c r="W50" i="15"/>
  <c r="AM50" i="15"/>
  <c r="AU50" i="15"/>
  <c r="BC50" i="15"/>
  <c r="BK50" i="15"/>
  <c r="CA50" i="15"/>
  <c r="CI50" i="15"/>
  <c r="CQ50" i="15"/>
  <c r="CY50" i="15"/>
  <c r="I51" i="15"/>
  <c r="Q51" i="15"/>
  <c r="Y51" i="15"/>
  <c r="AG51" i="15"/>
  <c r="AW51" i="15"/>
  <c r="BE51" i="15"/>
  <c r="BM51" i="15"/>
  <c r="BU51" i="15"/>
  <c r="CK51" i="15"/>
  <c r="CS51" i="15"/>
  <c r="L52" i="15"/>
  <c r="T52" i="15"/>
  <c r="AB52" i="15"/>
  <c r="AR52" i="15"/>
  <c r="AZ52" i="15"/>
  <c r="BH52" i="15"/>
  <c r="BP52" i="15"/>
  <c r="CF52" i="15"/>
  <c r="CN52" i="15"/>
  <c r="CV52" i="15"/>
  <c r="G53" i="15"/>
  <c r="O53" i="15"/>
  <c r="W53" i="15"/>
  <c r="AM53" i="15"/>
  <c r="AU53" i="15"/>
  <c r="BC53" i="15"/>
  <c r="BK53" i="15"/>
  <c r="CA53" i="15"/>
  <c r="CI53" i="15"/>
  <c r="CQ53" i="15"/>
  <c r="CY53" i="15"/>
  <c r="J54" i="15"/>
  <c r="R54" i="15"/>
  <c r="AH54" i="15"/>
  <c r="AP54" i="15"/>
  <c r="AX54" i="15"/>
  <c r="BF54" i="15"/>
  <c r="BV54" i="15"/>
  <c r="CD54" i="15"/>
  <c r="CL54" i="15"/>
  <c r="CT54" i="15"/>
  <c r="M55" i="15"/>
  <c r="AW55" i="15"/>
  <c r="BL55" i="15"/>
  <c r="BW55" i="15"/>
  <c r="CO55" i="15"/>
  <c r="R56" i="15"/>
  <c r="AB56" i="15"/>
  <c r="AK56" i="15"/>
  <c r="BB56" i="15"/>
  <c r="BK56" i="15"/>
  <c r="BT56" i="15"/>
  <c r="CE56" i="15"/>
  <c r="CT56" i="15"/>
  <c r="H57" i="15"/>
  <c r="Q57" i="15"/>
  <c r="AS57" i="15"/>
  <c r="BF57" i="15"/>
  <c r="CG57" i="15"/>
  <c r="CT57" i="15"/>
  <c r="M59" i="15"/>
  <c r="W59" i="15"/>
  <c r="BA59" i="15"/>
  <c r="BK59" i="15"/>
  <c r="CO59" i="15"/>
  <c r="CY59" i="15"/>
  <c r="G60" i="15"/>
  <c r="Q60" i="15"/>
  <c r="AA60" i="15"/>
  <c r="AR60" i="15"/>
  <c r="AU60" i="15"/>
  <c r="BE60" i="15"/>
  <c r="BO60" i="15"/>
  <c r="CF60" i="15"/>
  <c r="CI60" i="15"/>
  <c r="CS60" i="15"/>
  <c r="N61" i="15"/>
  <c r="Q61" i="15"/>
  <c r="AA61" i="15"/>
  <c r="AK61" i="15"/>
  <c r="BB61" i="15"/>
  <c r="BE61" i="15"/>
  <c r="BO61" i="15"/>
  <c r="BY61" i="15"/>
  <c r="E62" i="15"/>
  <c r="R62" i="15"/>
  <c r="AI63" i="15"/>
  <c r="AH63" i="15"/>
  <c r="AL63" i="15"/>
  <c r="CT63" i="15"/>
  <c r="CQ63" i="15"/>
  <c r="CP63" i="15"/>
  <c r="Q64" i="15"/>
  <c r="AM64" i="15"/>
  <c r="AQ64" i="15"/>
  <c r="AP64" i="15"/>
  <c r="BY64" i="15"/>
  <c r="AF55" i="15"/>
  <c r="AN55" i="15"/>
  <c r="AH57" i="15"/>
  <c r="AK57" i="15"/>
  <c r="BV57" i="15"/>
  <c r="BY57" i="15"/>
  <c r="AD58" i="15"/>
  <c r="AG58" i="15"/>
  <c r="BR58" i="15"/>
  <c r="BU58" i="15"/>
  <c r="AG62" i="15"/>
  <c r="AC62" i="15"/>
  <c r="AW62" i="15"/>
  <c r="BA62" i="15"/>
  <c r="AZ62" i="15"/>
  <c r="CS62" i="15"/>
  <c r="BG63" i="15"/>
  <c r="BK63" i="15"/>
  <c r="BJ63" i="15"/>
  <c r="BC64" i="15"/>
  <c r="BB64" i="15"/>
  <c r="BF64" i="15"/>
  <c r="I65" i="15"/>
  <c r="M65" i="15"/>
  <c r="L65" i="15"/>
  <c r="O41" i="15"/>
  <c r="BC41" i="15"/>
  <c r="CQ41" i="15"/>
  <c r="AI42" i="15"/>
  <c r="BW42" i="15"/>
  <c r="AD43" i="15"/>
  <c r="BR43" i="15"/>
  <c r="Y44" i="15"/>
  <c r="BM44" i="15"/>
  <c r="AA45" i="15"/>
  <c r="AI45" i="15"/>
  <c r="BO45" i="15"/>
  <c r="BW45" i="15"/>
  <c r="V46" i="15"/>
  <c r="AD46" i="15"/>
  <c r="BJ46" i="15"/>
  <c r="BR46" i="15"/>
  <c r="CX46" i="15"/>
  <c r="AF47" i="15"/>
  <c r="AN47" i="15"/>
  <c r="BT47" i="15"/>
  <c r="CB47" i="15"/>
  <c r="L48" i="15"/>
  <c r="T48" i="15"/>
  <c r="AZ48" i="15"/>
  <c r="BH48" i="15"/>
  <c r="CN48" i="15"/>
  <c r="CV48" i="15"/>
  <c r="V49" i="15"/>
  <c r="AD49" i="15"/>
  <c r="BJ49" i="15"/>
  <c r="BR49" i="15"/>
  <c r="CX49" i="15"/>
  <c r="Q50" i="15"/>
  <c r="Y50" i="15"/>
  <c r="BE50" i="15"/>
  <c r="BM50" i="15"/>
  <c r="CS50" i="15"/>
  <c r="AA51" i="15"/>
  <c r="AI51" i="15"/>
  <c r="BO51" i="15"/>
  <c r="BW51" i="15"/>
  <c r="V52" i="15"/>
  <c r="AD52" i="15"/>
  <c r="BJ52" i="15"/>
  <c r="BR52" i="15"/>
  <c r="CX52" i="15"/>
  <c r="Q53" i="15"/>
  <c r="Y53" i="15"/>
  <c r="BE53" i="15"/>
  <c r="BM53" i="15"/>
  <c r="CS53" i="15"/>
  <c r="L54" i="15"/>
  <c r="T54" i="15"/>
  <c r="AZ54" i="15"/>
  <c r="BH54" i="15"/>
  <c r="CN54" i="15"/>
  <c r="CV54" i="15"/>
  <c r="H55" i="15"/>
  <c r="AG55" i="15"/>
  <c r="AP55" i="15"/>
  <c r="BY55" i="15"/>
  <c r="CJ55" i="15"/>
  <c r="S56" i="15"/>
  <c r="AD56" i="15"/>
  <c r="CU56" i="15"/>
  <c r="AL57" i="15"/>
  <c r="BZ57" i="15"/>
  <c r="I58" i="15"/>
  <c r="V58" i="15"/>
  <c r="AF58" i="15"/>
  <c r="AW58" i="15"/>
  <c r="BJ58" i="15"/>
  <c r="BT58" i="15"/>
  <c r="CK58" i="15"/>
  <c r="CX58" i="15"/>
  <c r="E59" i="15"/>
  <c r="Y59" i="15"/>
  <c r="AB59" i="15"/>
  <c r="BM59" i="15"/>
  <c r="BP59" i="15"/>
  <c r="CX61" i="15"/>
  <c r="H62" i="15"/>
  <c r="AF62" i="15"/>
  <c r="CG62" i="15"/>
  <c r="CF62" i="15"/>
  <c r="CT62" i="15"/>
  <c r="BW63" i="15"/>
  <c r="BV63" i="15"/>
  <c r="BZ63" i="15"/>
  <c r="W64" i="15"/>
  <c r="V64" i="15"/>
  <c r="S64" i="15"/>
  <c r="BE64" i="15"/>
  <c r="CA64" i="15"/>
  <c r="CE64" i="15"/>
  <c r="CD64" i="15"/>
  <c r="Y65" i="15"/>
  <c r="X65" i="15"/>
  <c r="AB65" i="15"/>
  <c r="AB45" i="15"/>
  <c r="AR45" i="15"/>
  <c r="BP45" i="15"/>
  <c r="CF45" i="15"/>
  <c r="W46" i="15"/>
  <c r="AM46" i="15"/>
  <c r="BK46" i="15"/>
  <c r="CA46" i="15"/>
  <c r="CY46" i="15"/>
  <c r="I47" i="15"/>
  <c r="AG47" i="15"/>
  <c r="AW47" i="15"/>
  <c r="BU47" i="15"/>
  <c r="CK47" i="15"/>
  <c r="M48" i="15"/>
  <c r="AC48" i="15"/>
  <c r="BA48" i="15"/>
  <c r="BQ48" i="15"/>
  <c r="CO48" i="15"/>
  <c r="W49" i="15"/>
  <c r="AM49" i="15"/>
  <c r="BK49" i="15"/>
  <c r="CA49" i="15"/>
  <c r="CY49" i="15"/>
  <c r="R50" i="15"/>
  <c r="AH50" i="15"/>
  <c r="BF50" i="15"/>
  <c r="BV50" i="15"/>
  <c r="CT50" i="15"/>
  <c r="AB51" i="15"/>
  <c r="AR51" i="15"/>
  <c r="BP51" i="15"/>
  <c r="CF51" i="15"/>
  <c r="W52" i="15"/>
  <c r="AM52" i="15"/>
  <c r="BK52" i="15"/>
  <c r="CA52" i="15"/>
  <c r="CY52" i="15"/>
  <c r="R53" i="15"/>
  <c r="AH53" i="15"/>
  <c r="BF53" i="15"/>
  <c r="BV53" i="15"/>
  <c r="CT53" i="15"/>
  <c r="M54" i="15"/>
  <c r="AC54" i="15"/>
  <c r="BA54" i="15"/>
  <c r="BQ54" i="15"/>
  <c r="CO54" i="15"/>
  <c r="AH55" i="15"/>
  <c r="AQ55" i="15"/>
  <c r="BQ55" i="15"/>
  <c r="BZ55" i="15"/>
  <c r="BO56" i="15"/>
  <c r="BW56" i="15"/>
  <c r="M57" i="15"/>
  <c r="AM57" i="15"/>
  <c r="CA57" i="15"/>
  <c r="AH58" i="15"/>
  <c r="BV58" i="15"/>
  <c r="Q59" i="15"/>
  <c r="AR59" i="15"/>
  <c r="BE59" i="15"/>
  <c r="CF59" i="15"/>
  <c r="CS59" i="15"/>
  <c r="T60" i="15"/>
  <c r="W60" i="15"/>
  <c r="BH60" i="15"/>
  <c r="BK60" i="15"/>
  <c r="CV60" i="15"/>
  <c r="CY60" i="15"/>
  <c r="AD61" i="15"/>
  <c r="AG61" i="15"/>
  <c r="BR61" i="15"/>
  <c r="BU61" i="15"/>
  <c r="CL61" i="15"/>
  <c r="CK61" i="15"/>
  <c r="BM62" i="15"/>
  <c r="BP62" i="15"/>
  <c r="AQ63" i="15"/>
  <c r="AP63" i="15"/>
  <c r="AM63" i="15"/>
  <c r="CU63" i="15"/>
  <c r="CY63" i="15"/>
  <c r="CX63" i="15"/>
  <c r="CQ64" i="15"/>
  <c r="CP64" i="15"/>
  <c r="CT64" i="15"/>
  <c r="CT38" i="15"/>
  <c r="AB39" i="15"/>
  <c r="BP39" i="15"/>
  <c r="W40" i="15"/>
  <c r="BK40" i="15"/>
  <c r="CY40" i="15"/>
  <c r="Q41" i="15"/>
  <c r="AG41" i="15"/>
  <c r="BE41" i="15"/>
  <c r="BU41" i="15"/>
  <c r="CS41" i="15"/>
  <c r="M42" i="15"/>
  <c r="AK42" i="15"/>
  <c r="BA42" i="15"/>
  <c r="BY42" i="15"/>
  <c r="CO42" i="15"/>
  <c r="H43" i="15"/>
  <c r="X43" i="15"/>
  <c r="AF43" i="15"/>
  <c r="AV43" i="15"/>
  <c r="BL43" i="15"/>
  <c r="BT43" i="15"/>
  <c r="CJ43" i="15"/>
  <c r="S44" i="15"/>
  <c r="AA44" i="15"/>
  <c r="AQ44" i="15"/>
  <c r="BG44" i="15"/>
  <c r="BO44" i="15"/>
  <c r="CE44" i="15"/>
  <c r="CU44" i="15"/>
  <c r="M45" i="15"/>
  <c r="AC45" i="15"/>
  <c r="AK45" i="15"/>
  <c r="AS45" i="15"/>
  <c r="BA45" i="15"/>
  <c r="BQ45" i="15"/>
  <c r="BY45" i="15"/>
  <c r="CG45" i="15"/>
  <c r="CO45" i="15"/>
  <c r="H46" i="15"/>
  <c r="X46" i="15"/>
  <c r="AF46" i="15"/>
  <c r="AN46" i="15"/>
  <c r="AV46" i="15"/>
  <c r="BL46" i="15"/>
  <c r="BT46" i="15"/>
  <c r="CB46" i="15"/>
  <c r="CJ46" i="15"/>
  <c r="J47" i="15"/>
  <c r="R47" i="15"/>
  <c r="AH47" i="15"/>
  <c r="AP47" i="15"/>
  <c r="AX47" i="15"/>
  <c r="BF47" i="15"/>
  <c r="BV47" i="15"/>
  <c r="CD47" i="15"/>
  <c r="CL47" i="15"/>
  <c r="CT47" i="15"/>
  <c r="N48" i="15"/>
  <c r="V48" i="15"/>
  <c r="AD48" i="15"/>
  <c r="AL48" i="15"/>
  <c r="BB48" i="15"/>
  <c r="BJ48" i="15"/>
  <c r="BR48" i="15"/>
  <c r="BZ48" i="15"/>
  <c r="CP48" i="15"/>
  <c r="CX48" i="15"/>
  <c r="H49" i="15"/>
  <c r="X49" i="15"/>
  <c r="AF49" i="15"/>
  <c r="AN49" i="15"/>
  <c r="AV49" i="15"/>
  <c r="BL49" i="15"/>
  <c r="BT49" i="15"/>
  <c r="CB49" i="15"/>
  <c r="CJ49" i="15"/>
  <c r="S50" i="15"/>
  <c r="AA50" i="15"/>
  <c r="AI50" i="15"/>
  <c r="AQ50" i="15"/>
  <c r="BG50" i="15"/>
  <c r="BO50" i="15"/>
  <c r="BW50" i="15"/>
  <c r="CE50" i="15"/>
  <c r="CU50" i="15"/>
  <c r="E51" i="15"/>
  <c r="M51" i="15"/>
  <c r="AC51" i="15"/>
  <c r="AK51" i="15"/>
  <c r="AS51" i="15"/>
  <c r="BA51" i="15"/>
  <c r="BQ51" i="15"/>
  <c r="BY51" i="15"/>
  <c r="CG51" i="15"/>
  <c r="CO51" i="15"/>
  <c r="H52" i="15"/>
  <c r="X52" i="15"/>
  <c r="AF52" i="15"/>
  <c r="AN52" i="15"/>
  <c r="AV52" i="15"/>
  <c r="BL52" i="15"/>
  <c r="BT52" i="15"/>
  <c r="CB52" i="15"/>
  <c r="CJ52" i="15"/>
  <c r="S53" i="15"/>
  <c r="AA53" i="15"/>
  <c r="AI53" i="15"/>
  <c r="AQ53" i="15"/>
  <c r="BG53" i="15"/>
  <c r="BO53" i="15"/>
  <c r="BW53" i="15"/>
  <c r="CE53" i="15"/>
  <c r="CU53" i="15"/>
  <c r="N54" i="15"/>
  <c r="V54" i="15"/>
  <c r="AD54" i="15"/>
  <c r="AL54" i="15"/>
  <c r="BB54" i="15"/>
  <c r="BJ54" i="15"/>
  <c r="BR54" i="15"/>
  <c r="BZ54" i="15"/>
  <c r="CP54" i="15"/>
  <c r="CX54" i="15"/>
  <c r="I55" i="15"/>
  <c r="X55" i="15"/>
  <c r="AI55" i="15"/>
  <c r="AR55" i="15"/>
  <c r="BA55" i="15"/>
  <c r="CK55" i="15"/>
  <c r="N56" i="15"/>
  <c r="W56" i="15"/>
  <c r="AF56" i="15"/>
  <c r="AQ56" i="15"/>
  <c r="BF56" i="15"/>
  <c r="BP56" i="15"/>
  <c r="BY56" i="15"/>
  <c r="CP56" i="15"/>
  <c r="CY56" i="15"/>
  <c r="L57" i="15"/>
  <c r="AX57" i="15"/>
  <c r="BA57" i="15"/>
  <c r="CL57" i="15"/>
  <c r="CO57" i="15"/>
  <c r="G59" i="15"/>
  <c r="R59" i="15"/>
  <c r="AC59" i="15"/>
  <c r="AU59" i="15"/>
  <c r="BF59" i="15"/>
  <c r="BQ59" i="15"/>
  <c r="CI59" i="15"/>
  <c r="CT59" i="15"/>
  <c r="L60" i="15"/>
  <c r="V60" i="15"/>
  <c r="AM60" i="15"/>
  <c r="AZ60" i="15"/>
  <c r="BJ60" i="15"/>
  <c r="CA60" i="15"/>
  <c r="CN60" i="15"/>
  <c r="CX60" i="15"/>
  <c r="I61" i="15"/>
  <c r="V61" i="15"/>
  <c r="AF61" i="15"/>
  <c r="AW61" i="15"/>
  <c r="BJ61" i="15"/>
  <c r="BT61" i="15"/>
  <c r="CN61" i="15"/>
  <c r="I62" i="15"/>
  <c r="M62" i="15"/>
  <c r="L62" i="15"/>
  <c r="BE62" i="15"/>
  <c r="BO62" i="15"/>
  <c r="CJ62" i="15"/>
  <c r="R63" i="15"/>
  <c r="O63" i="15"/>
  <c r="N63" i="15"/>
  <c r="BK64" i="15"/>
  <c r="BJ64" i="15"/>
  <c r="BG64" i="15"/>
  <c r="CS64" i="15"/>
  <c r="BM65" i="15"/>
  <c r="BL65" i="15"/>
  <c r="BP65" i="15"/>
  <c r="BO65" i="15"/>
  <c r="AD67" i="15"/>
  <c r="AC67" i="15"/>
  <c r="AG67" i="15"/>
  <c r="AF67" i="15"/>
  <c r="BT55" i="15"/>
  <c r="CB55" i="15"/>
  <c r="AC57" i="15"/>
  <c r="AP57" i="15"/>
  <c r="BQ57" i="15"/>
  <c r="CD57" i="15"/>
  <c r="Y58" i="15"/>
  <c r="AL58" i="15"/>
  <c r="BM58" i="15"/>
  <c r="BZ58" i="15"/>
  <c r="AS62" i="15"/>
  <c r="AR62" i="15"/>
  <c r="CE63" i="15"/>
  <c r="CD63" i="15"/>
  <c r="CA63" i="15"/>
  <c r="AL64" i="15"/>
  <c r="AI64" i="15"/>
  <c r="AH64" i="15"/>
  <c r="AG65" i="15"/>
  <c r="AF65" i="15"/>
  <c r="AC65" i="15"/>
  <c r="BU65" i="15"/>
  <c r="BT65" i="15"/>
  <c r="BR65" i="15"/>
  <c r="BQ65" i="15"/>
  <c r="T66" i="15"/>
  <c r="S66" i="15"/>
  <c r="W66" i="15"/>
  <c r="V66" i="15"/>
  <c r="BH66" i="15"/>
  <c r="BG66" i="15"/>
  <c r="BK66" i="15"/>
  <c r="BJ66" i="15"/>
  <c r="CV66" i="15"/>
  <c r="CU66" i="15"/>
  <c r="CY66" i="15"/>
  <c r="CX66" i="15"/>
  <c r="AL67" i="15"/>
  <c r="AK67" i="15"/>
  <c r="AI67" i="15"/>
  <c r="AH67" i="15"/>
  <c r="BT67" i="15"/>
  <c r="AA68" i="15"/>
  <c r="BO68" i="15"/>
  <c r="V69" i="15"/>
  <c r="BJ69" i="15"/>
  <c r="CX69" i="15"/>
  <c r="AP70" i="15"/>
  <c r="CD70" i="15"/>
  <c r="AK71" i="15"/>
  <c r="BY71" i="15"/>
  <c r="AF72" i="15"/>
  <c r="BT72" i="15"/>
  <c r="AA73" i="15"/>
  <c r="BO73" i="15"/>
  <c r="V74" i="15"/>
  <c r="BJ74" i="15"/>
  <c r="CX74" i="15"/>
  <c r="AF75" i="15"/>
  <c r="BT75" i="15"/>
  <c r="AA76" i="15"/>
  <c r="BO76" i="15"/>
  <c r="AK77" i="15"/>
  <c r="BY77" i="15"/>
  <c r="T62" i="15"/>
  <c r="BH62" i="15"/>
  <c r="CV62" i="15"/>
  <c r="AD63" i="15"/>
  <c r="BR63" i="15"/>
  <c r="J64" i="15"/>
  <c r="AX64" i="15"/>
  <c r="CL64" i="15"/>
  <c r="T65" i="15"/>
  <c r="AR65" i="15"/>
  <c r="AZ65" i="15"/>
  <c r="BH65" i="15"/>
  <c r="CF65" i="15"/>
  <c r="CN65" i="15"/>
  <c r="CV65" i="15"/>
  <c r="G66" i="15"/>
  <c r="O66" i="15"/>
  <c r="AM66" i="15"/>
  <c r="AU66" i="15"/>
  <c r="BC66" i="15"/>
  <c r="CA66" i="15"/>
  <c r="CI66" i="15"/>
  <c r="CQ66" i="15"/>
  <c r="I67" i="15"/>
  <c r="Q67" i="15"/>
  <c r="Y67" i="15"/>
  <c r="AW67" i="15"/>
  <c r="BE67" i="15"/>
  <c r="BM67" i="15"/>
  <c r="BU67" i="15"/>
  <c r="CK67" i="15"/>
  <c r="CS67" i="15"/>
  <c r="L68" i="15"/>
  <c r="T68" i="15"/>
  <c r="AB68" i="15"/>
  <c r="AR68" i="15"/>
  <c r="AZ68" i="15"/>
  <c r="BH68" i="15"/>
  <c r="BP68" i="15"/>
  <c r="CF68" i="15"/>
  <c r="CN68" i="15"/>
  <c r="CV68" i="15"/>
  <c r="G69" i="15"/>
  <c r="O69" i="15"/>
  <c r="W69" i="15"/>
  <c r="AM69" i="15"/>
  <c r="AU69" i="15"/>
  <c r="BC69" i="15"/>
  <c r="BK69" i="15"/>
  <c r="CA69" i="15"/>
  <c r="CI69" i="15"/>
  <c r="CQ69" i="15"/>
  <c r="CY69" i="15"/>
  <c r="S70" i="15"/>
  <c r="AA70" i="15"/>
  <c r="AI70" i="15"/>
  <c r="AQ70" i="15"/>
  <c r="BG70" i="15"/>
  <c r="BO70" i="15"/>
  <c r="BW70" i="15"/>
  <c r="CE70" i="15"/>
  <c r="CU70" i="15"/>
  <c r="N71" i="15"/>
  <c r="V71" i="15"/>
  <c r="AD71" i="15"/>
  <c r="AL71" i="15"/>
  <c r="BB71" i="15"/>
  <c r="BJ71" i="15"/>
  <c r="BR71" i="15"/>
  <c r="BZ71" i="15"/>
  <c r="CP71" i="15"/>
  <c r="CX71" i="15"/>
  <c r="I72" i="15"/>
  <c r="Q72" i="15"/>
  <c r="Y72" i="15"/>
  <c r="AG72" i="15"/>
  <c r="AW72" i="15"/>
  <c r="BE72" i="15"/>
  <c r="BM72" i="15"/>
  <c r="BU72" i="15"/>
  <c r="CK72" i="15"/>
  <c r="CS72" i="15"/>
  <c r="L73" i="15"/>
  <c r="T73" i="15"/>
  <c r="AB73" i="15"/>
  <c r="AR73" i="15"/>
  <c r="AZ73" i="15"/>
  <c r="BH73" i="15"/>
  <c r="BP73" i="15"/>
  <c r="CF73" i="15"/>
  <c r="CN73" i="15"/>
  <c r="CV73" i="15"/>
  <c r="G74" i="15"/>
  <c r="O74" i="15"/>
  <c r="W74" i="15"/>
  <c r="AM74" i="15"/>
  <c r="AU74" i="15"/>
  <c r="BC74" i="15"/>
  <c r="BK74" i="15"/>
  <c r="CA74" i="15"/>
  <c r="CI74" i="15"/>
  <c r="CQ74" i="15"/>
  <c r="CY74" i="15"/>
  <c r="I75" i="15"/>
  <c r="Q75" i="15"/>
  <c r="Y75" i="15"/>
  <c r="AG75" i="15"/>
  <c r="AW75" i="15"/>
  <c r="BE75" i="15"/>
  <c r="BM75" i="15"/>
  <c r="BU75" i="15"/>
  <c r="CK75" i="15"/>
  <c r="CS75" i="15"/>
  <c r="L76" i="15"/>
  <c r="T76" i="15"/>
  <c r="AB76" i="15"/>
  <c r="AR76" i="15"/>
  <c r="AZ76" i="15"/>
  <c r="BH76" i="15"/>
  <c r="BP76" i="15"/>
  <c r="CF76" i="15"/>
  <c r="CN76" i="15"/>
  <c r="CV76" i="15"/>
  <c r="N77" i="15"/>
  <c r="V77" i="15"/>
  <c r="AD77" i="15"/>
  <c r="AL77" i="15"/>
  <c r="BB77" i="15"/>
  <c r="BJ77" i="15"/>
  <c r="BR77" i="15"/>
  <c r="BZ77" i="15"/>
  <c r="CP77" i="15"/>
  <c r="CX77" i="15"/>
  <c r="AS65" i="15"/>
  <c r="BA65" i="15"/>
  <c r="CG65" i="15"/>
  <c r="CO65" i="15"/>
  <c r="H66" i="15"/>
  <c r="AN66" i="15"/>
  <c r="AV66" i="15"/>
  <c r="CB66" i="15"/>
  <c r="CJ66" i="15"/>
  <c r="J67" i="15"/>
  <c r="R67" i="15"/>
  <c r="AX67" i="15"/>
  <c r="BF67" i="15"/>
  <c r="BV67" i="15"/>
  <c r="CL67" i="15"/>
  <c r="CT67" i="15"/>
  <c r="E68" i="15"/>
  <c r="M68" i="15"/>
  <c r="AC68" i="15"/>
  <c r="AS68" i="15"/>
  <c r="BA68" i="15"/>
  <c r="BQ68" i="15"/>
  <c r="CG68" i="15"/>
  <c r="CO68" i="15"/>
  <c r="H69" i="15"/>
  <c r="X69" i="15"/>
  <c r="AN69" i="15"/>
  <c r="AV69" i="15"/>
  <c r="BL69" i="15"/>
  <c r="CB69" i="15"/>
  <c r="CJ69" i="15"/>
  <c r="T70" i="15"/>
  <c r="AB70" i="15"/>
  <c r="AR70" i="15"/>
  <c r="BH70" i="15"/>
  <c r="BP70" i="15"/>
  <c r="CF70" i="15"/>
  <c r="CV70" i="15"/>
  <c r="O71" i="15"/>
  <c r="W71" i="15"/>
  <c r="AM71" i="15"/>
  <c r="BC71" i="15"/>
  <c r="BK71" i="15"/>
  <c r="CA71" i="15"/>
  <c r="CQ71" i="15"/>
  <c r="CY71" i="15"/>
  <c r="J72" i="15"/>
  <c r="R72" i="15"/>
  <c r="AH72" i="15"/>
  <c r="AX72" i="15"/>
  <c r="BF72" i="15"/>
  <c r="BV72" i="15"/>
  <c r="CL72" i="15"/>
  <c r="CT72" i="15"/>
  <c r="E73" i="15"/>
  <c r="M73" i="15"/>
  <c r="AC73" i="15"/>
  <c r="AS73" i="15"/>
  <c r="BA73" i="15"/>
  <c r="BQ73" i="15"/>
  <c r="CG73" i="15"/>
  <c r="CO73" i="15"/>
  <c r="H74" i="15"/>
  <c r="X74" i="15"/>
  <c r="AN74" i="15"/>
  <c r="AV74" i="15"/>
  <c r="BL74" i="15"/>
  <c r="CB74" i="15"/>
  <c r="CJ74" i="15"/>
  <c r="J75" i="15"/>
  <c r="R75" i="15"/>
  <c r="AH75" i="15"/>
  <c r="AX75" i="15"/>
  <c r="BF75" i="15"/>
  <c r="BV75" i="15"/>
  <c r="CL75" i="15"/>
  <c r="CT75" i="15"/>
  <c r="E76" i="15"/>
  <c r="M76" i="15"/>
  <c r="AC76" i="15"/>
  <c r="AS76" i="15"/>
  <c r="BA76" i="15"/>
  <c r="BQ76" i="15"/>
  <c r="CG76" i="15"/>
  <c r="CO76" i="15"/>
  <c r="O77" i="15"/>
  <c r="W77" i="15"/>
  <c r="AM77" i="15"/>
  <c r="BC77" i="15"/>
  <c r="BK77" i="15"/>
  <c r="CA77" i="15"/>
  <c r="CQ77" i="15"/>
  <c r="CY77" i="15"/>
  <c r="BW67" i="15"/>
  <c r="AD68" i="15"/>
  <c r="BR68" i="15"/>
  <c r="Y69" i="15"/>
  <c r="BM69" i="15"/>
  <c r="E70" i="15"/>
  <c r="AS70" i="15"/>
  <c r="CG70" i="15"/>
  <c r="AN71" i="15"/>
  <c r="CB71" i="15"/>
  <c r="AI72" i="15"/>
  <c r="BW72" i="15"/>
  <c r="AD73" i="15"/>
  <c r="BR73" i="15"/>
  <c r="Y74" i="15"/>
  <c r="BM74" i="15"/>
  <c r="AI75" i="15"/>
  <c r="BW75" i="15"/>
  <c r="AD76" i="15"/>
  <c r="BR76" i="15"/>
  <c r="AN77" i="15"/>
  <c r="CB77" i="15"/>
  <c r="AV65" i="15"/>
  <c r="CJ65" i="15"/>
  <c r="AQ66" i="15"/>
  <c r="CE66" i="15"/>
  <c r="M67" i="15"/>
  <c r="BA67" i="15"/>
  <c r="BQ67" i="15"/>
  <c r="BY67" i="15"/>
  <c r="CO67" i="15"/>
  <c r="H68" i="15"/>
  <c r="X68" i="15"/>
  <c r="AF68" i="15"/>
  <c r="AV68" i="15"/>
  <c r="BL68" i="15"/>
  <c r="BT68" i="15"/>
  <c r="CJ68" i="15"/>
  <c r="S69" i="15"/>
  <c r="AA69" i="15"/>
  <c r="AQ69" i="15"/>
  <c r="BG69" i="15"/>
  <c r="BO69" i="15"/>
  <c r="CE69" i="15"/>
  <c r="CU69" i="15"/>
  <c r="G70" i="15"/>
  <c r="W70" i="15"/>
  <c r="AM70" i="15"/>
  <c r="AU70" i="15"/>
  <c r="BK70" i="15"/>
  <c r="CA70" i="15"/>
  <c r="CI70" i="15"/>
  <c r="CY70" i="15"/>
  <c r="R71" i="15"/>
  <c r="AH71" i="15"/>
  <c r="AP71" i="15"/>
  <c r="BF71" i="15"/>
  <c r="BV71" i="15"/>
  <c r="CD71" i="15"/>
  <c r="CT71" i="15"/>
  <c r="M72" i="15"/>
  <c r="AC72" i="15"/>
  <c r="AK72" i="15"/>
  <c r="BA72" i="15"/>
  <c r="BQ72" i="15"/>
  <c r="BY72" i="15"/>
  <c r="CO72" i="15"/>
  <c r="H73" i="15"/>
  <c r="X73" i="15"/>
  <c r="AF73" i="15"/>
  <c r="AV73" i="15"/>
  <c r="BL73" i="15"/>
  <c r="BT73" i="15"/>
  <c r="CJ73" i="15"/>
  <c r="S74" i="15"/>
  <c r="AA74" i="15"/>
  <c r="AQ74" i="15"/>
  <c r="BG74" i="15"/>
  <c r="BO74" i="15"/>
  <c r="CE74" i="15"/>
  <c r="CU74" i="15"/>
  <c r="M75" i="15"/>
  <c r="AC75" i="15"/>
  <c r="AK75" i="15"/>
  <c r="BA75" i="15"/>
  <c r="BQ75" i="15"/>
  <c r="BY75" i="15"/>
  <c r="CO75" i="15"/>
  <c r="H76" i="15"/>
  <c r="X76" i="15"/>
  <c r="AF76" i="15"/>
  <c r="AV76" i="15"/>
  <c r="BL76" i="15"/>
  <c r="BT76" i="15"/>
  <c r="CJ76" i="15"/>
  <c r="R77" i="15"/>
  <c r="AH77" i="15"/>
  <c r="AP77" i="15"/>
  <c r="BF77" i="15"/>
  <c r="BV77" i="15"/>
  <c r="CD77" i="15"/>
  <c r="CT77" i="15"/>
  <c r="AA63" i="15"/>
  <c r="BO63" i="15"/>
  <c r="G64" i="15"/>
  <c r="AU64" i="15"/>
  <c r="CI64" i="15"/>
  <c r="Q65" i="15"/>
  <c r="AW65" i="15"/>
  <c r="BE65" i="15"/>
  <c r="CK65" i="15"/>
  <c r="CS65" i="15"/>
  <c r="L66" i="15"/>
  <c r="AR66" i="15"/>
  <c r="AZ66" i="15"/>
  <c r="CF66" i="15"/>
  <c r="CN66" i="15"/>
  <c r="N67" i="15"/>
  <c r="V67" i="15"/>
  <c r="BB67" i="15"/>
  <c r="BJ67" i="15"/>
  <c r="BR67" i="15"/>
  <c r="BZ67" i="15"/>
  <c r="CP67" i="15"/>
  <c r="CX67" i="15"/>
  <c r="I68" i="15"/>
  <c r="Q68" i="15"/>
  <c r="Y68" i="15"/>
  <c r="AG68" i="15"/>
  <c r="AW68" i="15"/>
  <c r="BE68" i="15"/>
  <c r="BM68" i="15"/>
  <c r="BU68" i="15"/>
  <c r="CK68" i="15"/>
  <c r="CS68" i="15"/>
  <c r="L69" i="15"/>
  <c r="T69" i="15"/>
  <c r="AB69" i="15"/>
  <c r="AR69" i="15"/>
  <c r="AZ69" i="15"/>
  <c r="BH69" i="15"/>
  <c r="BP69" i="15"/>
  <c r="CF69" i="15"/>
  <c r="CN69" i="15"/>
  <c r="CV69" i="15"/>
  <c r="H70" i="15"/>
  <c r="X70" i="15"/>
  <c r="AF70" i="15"/>
  <c r="AN70" i="15"/>
  <c r="AV70" i="15"/>
  <c r="BL70" i="15"/>
  <c r="BT70" i="15"/>
  <c r="CB70" i="15"/>
  <c r="CJ70" i="15"/>
  <c r="S71" i="15"/>
  <c r="AA71" i="15"/>
  <c r="AI71" i="15"/>
  <c r="AQ71" i="15"/>
  <c r="BG71" i="15"/>
  <c r="BO71" i="15"/>
  <c r="BW71" i="15"/>
  <c r="CE71" i="15"/>
  <c r="CU71" i="15"/>
  <c r="N72" i="15"/>
  <c r="V72" i="15"/>
  <c r="AD72" i="15"/>
  <c r="AL72" i="15"/>
  <c r="BB72" i="15"/>
  <c r="BJ72" i="15"/>
  <c r="BR72" i="15"/>
  <c r="BZ72" i="15"/>
  <c r="CP72" i="15"/>
  <c r="CX72" i="15"/>
  <c r="I73" i="15"/>
  <c r="Q73" i="15"/>
  <c r="Y73" i="15"/>
  <c r="AG73" i="15"/>
  <c r="AW73" i="15"/>
  <c r="BE73" i="15"/>
  <c r="BM73" i="15"/>
  <c r="BU73" i="15"/>
  <c r="CK73" i="15"/>
  <c r="CS73" i="15"/>
  <c r="L74" i="15"/>
  <c r="T74" i="15"/>
  <c r="AB74" i="15"/>
  <c r="AR74" i="15"/>
  <c r="AZ74" i="15"/>
  <c r="BH74" i="15"/>
  <c r="BP74" i="15"/>
  <c r="CF74" i="15"/>
  <c r="CN74" i="15"/>
  <c r="CV74" i="15"/>
  <c r="N75" i="15"/>
  <c r="V75" i="15"/>
  <c r="AD75" i="15"/>
  <c r="AL75" i="15"/>
  <c r="BB75" i="15"/>
  <c r="BJ75" i="15"/>
  <c r="BR75" i="15"/>
  <c r="BZ75" i="15"/>
  <c r="CP75" i="15"/>
  <c r="CX75" i="15"/>
  <c r="I76" i="15"/>
  <c r="Q76" i="15"/>
  <c r="Y76" i="15"/>
  <c r="AG76" i="15"/>
  <c r="AW76" i="15"/>
  <c r="BE76" i="15"/>
  <c r="BM76" i="15"/>
  <c r="BU76" i="15"/>
  <c r="CK76" i="15"/>
  <c r="CS76" i="15"/>
  <c r="S77" i="15"/>
  <c r="AA77" i="15"/>
  <c r="AI77" i="15"/>
  <c r="AQ77" i="15"/>
  <c r="BG77" i="15"/>
  <c r="BO77" i="15"/>
  <c r="BW77" i="15"/>
  <c r="CE77" i="15"/>
  <c r="CU77" i="15"/>
  <c r="Q12" i="15"/>
  <c r="AD12" i="15"/>
  <c r="BE12" i="15"/>
  <c r="BR12" i="15"/>
  <c r="CS12" i="15"/>
  <c r="AA13" i="15"/>
  <c r="AN13" i="15"/>
  <c r="BO13" i="15"/>
  <c r="CB13" i="15"/>
  <c r="L14" i="15"/>
  <c r="G15" i="15"/>
  <c r="T15" i="15"/>
  <c r="M12" i="15"/>
  <c r="V12" i="15"/>
  <c r="AI12" i="15"/>
  <c r="BA12" i="15"/>
  <c r="BJ12" i="15"/>
  <c r="BW12" i="15"/>
  <c r="CO12" i="15"/>
  <c r="CX12" i="15"/>
  <c r="W13" i="15"/>
  <c r="AF13" i="15"/>
  <c r="BK13" i="15"/>
  <c r="BT13" i="15"/>
  <c r="CY13" i="15"/>
  <c r="H14" i="15"/>
  <c r="Q14" i="15"/>
  <c r="L15" i="15"/>
  <c r="R12" i="15"/>
  <c r="BF12" i="15"/>
  <c r="CT12" i="15"/>
  <c r="AB13" i="15"/>
  <c r="BP13" i="15"/>
  <c r="M14" i="15"/>
  <c r="V14" i="15"/>
  <c r="H15" i="15"/>
  <c r="W12" i="15"/>
  <c r="M15" i="15"/>
  <c r="V15" i="15"/>
  <c r="O12" i="15"/>
  <c r="BC12" i="15"/>
  <c r="CQ12" i="15"/>
  <c r="Y13" i="15"/>
  <c r="BM13" i="15"/>
  <c r="J14" i="15"/>
  <c r="T12" i="15"/>
  <c r="BH12" i="15"/>
  <c r="CV12" i="15"/>
  <c r="AD13" i="15"/>
  <c r="BR13" i="15"/>
  <c r="AA78" i="15"/>
  <c r="Y78" i="15"/>
  <c r="BO78" i="15"/>
  <c r="BM78" i="15"/>
  <c r="R79" i="15"/>
  <c r="Q79" i="15"/>
  <c r="O79" i="15"/>
  <c r="BF79" i="15"/>
  <c r="BE79" i="15"/>
  <c r="BC79" i="15"/>
  <c r="CT79" i="15"/>
  <c r="CS79" i="15"/>
  <c r="CQ79" i="15"/>
  <c r="W78" i="15"/>
  <c r="V78" i="15"/>
  <c r="T78" i="15"/>
  <c r="BK78" i="15"/>
  <c r="BJ78" i="15"/>
  <c r="BH78" i="15"/>
  <c r="CY78" i="15"/>
  <c r="CX78" i="15"/>
  <c r="CV78" i="15"/>
  <c r="AL78" i="15"/>
  <c r="BZ78" i="15"/>
  <c r="L78" i="15"/>
  <c r="AZ78" i="15"/>
  <c r="CN78" i="15"/>
  <c r="G79" i="15"/>
  <c r="T79" i="15"/>
  <c r="BH79" i="15"/>
  <c r="CI79" i="15"/>
  <c r="CV79" i="15"/>
  <c r="AD78" i="15"/>
  <c r="BR78" i="15"/>
  <c r="L79" i="15"/>
  <c r="Y79" i="15"/>
  <c r="AZ79" i="15"/>
  <c r="CN79" i="15"/>
  <c r="CT18" i="15"/>
  <c r="CX19" i="15"/>
  <c r="BT18" i="15"/>
  <c r="BU18" i="15"/>
  <c r="J18" i="15"/>
  <c r="CJ18" i="15"/>
  <c r="L19" i="15"/>
  <c r="Y19" i="15"/>
  <c r="BF19" i="15"/>
  <c r="CN19" i="15"/>
  <c r="BP19" i="15"/>
  <c r="H18" i="15"/>
  <c r="BA18" i="15"/>
  <c r="M19" i="15"/>
  <c r="BH19" i="15"/>
  <c r="M18" i="15"/>
  <c r="AS18" i="15"/>
  <c r="CL18" i="15"/>
  <c r="Q19" i="15"/>
  <c r="AD19" i="15"/>
  <c r="BJ19" i="15"/>
  <c r="BZ19" i="15"/>
  <c r="CS19" i="15"/>
  <c r="AL19" i="15"/>
  <c r="BE19" i="15"/>
  <c r="R18" i="15"/>
  <c r="AV18" i="15"/>
  <c r="CO18" i="15"/>
  <c r="R19" i="15"/>
  <c r="BM19" i="15"/>
  <c r="CV19" i="15"/>
  <c r="Q18" i="15"/>
  <c r="Y18" i="15"/>
  <c r="BE18" i="15"/>
  <c r="BM18" i="15"/>
  <c r="CS18" i="15"/>
  <c r="E19" i="15"/>
  <c r="AK19" i="15"/>
  <c r="AS19" i="15"/>
  <c r="BY19" i="15"/>
  <c r="CG19" i="15"/>
  <c r="CO19" i="15"/>
  <c r="AA18" i="15"/>
  <c r="AQ18" i="15"/>
  <c r="BO18" i="15"/>
  <c r="BW18" i="15"/>
  <c r="CE18" i="15"/>
  <c r="CU18" i="15"/>
  <c r="G19" i="15"/>
  <c r="W19" i="15"/>
  <c r="AU19" i="15"/>
  <c r="BC19" i="15"/>
  <c r="BK19" i="15"/>
  <c r="CI19" i="15"/>
  <c r="CQ19" i="15"/>
  <c r="CY19" i="15"/>
  <c r="T18" i="15"/>
  <c r="AB18" i="15"/>
  <c r="BH18" i="15"/>
  <c r="BP18" i="15"/>
  <c r="CF18" i="15"/>
  <c r="CV18" i="15"/>
  <c r="H19" i="15"/>
  <c r="AF19" i="15"/>
  <c r="AN19" i="15"/>
  <c r="AV19" i="15"/>
  <c r="BT19" i="15"/>
  <c r="CB19" i="15"/>
  <c r="CJ19" i="15"/>
  <c r="V18" i="15"/>
  <c r="BJ18" i="15"/>
  <c r="CP18" i="15"/>
  <c r="CX18" i="15"/>
  <c r="AP19" i="15"/>
  <c r="CD19" i="15"/>
  <c r="CL19" i="15"/>
  <c r="CE19" i="15"/>
  <c r="CU19" i="15"/>
  <c r="DG12" i="15" l="1"/>
  <c r="DH12" i="15"/>
  <c r="DG19" i="15"/>
  <c r="DH19" i="15"/>
  <c r="DG14" i="15"/>
  <c r="DH14" i="15" s="1"/>
  <c r="DG13" i="15"/>
  <c r="DH13" i="15" s="1"/>
  <c r="DG18" i="15"/>
  <c r="DH18" i="15" s="1"/>
  <c r="DG17" i="15"/>
  <c r="DH17" i="15"/>
  <c r="DG5" i="15"/>
  <c r="DT5" i="15"/>
  <c r="DG16" i="15"/>
  <c r="DH16" i="15" s="1"/>
  <c r="DG15" i="15"/>
  <c r="DH15" i="15" s="1"/>
  <c r="CK82" i="15"/>
  <c r="CP82" i="15" s="1"/>
  <c r="CU82" i="15" s="1"/>
  <c r="AJ11" i="37"/>
  <c r="Z11" i="15" s="1"/>
  <c r="CA83" i="15"/>
  <c r="CF83" i="15" s="1"/>
  <c r="I5" i="15"/>
  <c r="I4" i="15"/>
  <c r="N4" i="15" s="1"/>
  <c r="I19" i="15"/>
  <c r="I18" i="15"/>
  <c r="AP11" i="37" l="1"/>
  <c r="AB11" i="15"/>
  <c r="Y11" i="15"/>
  <c r="AA11" i="15"/>
  <c r="X11" i="15"/>
  <c r="CK83" i="15"/>
  <c r="CP83" i="15" s="1"/>
  <c r="CU83" i="15" s="1"/>
  <c r="DT4" i="15"/>
  <c r="N5" i="15"/>
  <c r="S4" i="15"/>
  <c r="N19" i="15"/>
  <c r="N18" i="15"/>
  <c r="S18" i="15" s="1"/>
  <c r="AQ11" i="37" l="1"/>
  <c r="AE11" i="15" s="1"/>
  <c r="S5" i="15"/>
  <c r="X5" i="15" s="1"/>
  <c r="S19" i="15"/>
  <c r="X18" i="15"/>
  <c r="AW11" i="37" l="1"/>
  <c r="AG11" i="15"/>
  <c r="AF11" i="15"/>
  <c r="AD11" i="15"/>
  <c r="AC11" i="15"/>
  <c r="AC5" i="15"/>
  <c r="AH5" i="15" s="1"/>
  <c r="AC18" i="15"/>
  <c r="X19" i="15"/>
  <c r="AX11" i="37" l="1"/>
  <c r="AJ11" i="15" s="1"/>
  <c r="AM5" i="15"/>
  <c r="AR5" i="15" s="1"/>
  <c r="AW5" i="15" s="1"/>
  <c r="BB5" i="15" s="1"/>
  <c r="AH18" i="15"/>
  <c r="AC19" i="15"/>
  <c r="AH19" i="15" s="1"/>
  <c r="AM18" i="15"/>
  <c r="BD11" i="37" l="1"/>
  <c r="AL11" i="15"/>
  <c r="AI11" i="15"/>
  <c r="AK11" i="15"/>
  <c r="AH11" i="15"/>
  <c r="AM19" i="15"/>
  <c r="AR19" i="15" s="1"/>
  <c r="AR18" i="15"/>
  <c r="BE11" i="37" l="1"/>
  <c r="AO11" i="15" s="1"/>
  <c r="AW19" i="15"/>
  <c r="AW18" i="15"/>
  <c r="BK11" i="37" l="1"/>
  <c r="AQ11" i="15"/>
  <c r="AP11" i="15"/>
  <c r="AN11" i="15"/>
  <c r="AM11" i="15"/>
  <c r="BB18" i="15"/>
  <c r="BB19" i="15"/>
  <c r="BL11" i="37" l="1"/>
  <c r="AT11" i="15" s="1"/>
  <c r="BG19" i="15"/>
  <c r="BG18" i="15"/>
  <c r="BR11" i="37" l="1"/>
  <c r="AU11" i="15"/>
  <c r="AV11" i="15"/>
  <c r="AS11" i="15"/>
  <c r="AR11" i="15"/>
  <c r="BL19" i="15"/>
  <c r="BL18" i="15"/>
  <c r="BS11" i="37" l="1"/>
  <c r="AY11" i="15" s="1"/>
  <c r="BQ18" i="15"/>
  <c r="BQ19" i="15"/>
  <c r="BZ11" i="37" l="1"/>
  <c r="BD11" i="15" s="1"/>
  <c r="BY11" i="37"/>
  <c r="AZ11" i="15"/>
  <c r="BA11" i="15"/>
  <c r="AX11" i="15"/>
  <c r="AW11" i="15"/>
  <c r="BV19" i="15"/>
  <c r="BV18" i="15"/>
  <c r="BB11" i="15" l="1"/>
  <c r="BE11" i="15"/>
  <c r="BC11" i="15"/>
  <c r="BF11" i="15"/>
  <c r="CA18" i="15"/>
  <c r="CA19" i="15"/>
  <c r="X4" i="15" l="1"/>
  <c r="AC4" i="15" l="1"/>
  <c r="AH4" i="15" s="1"/>
  <c r="AM4" i="15" s="1"/>
  <c r="AR4" i="15" s="1"/>
  <c r="AW4" i="15" s="1"/>
  <c r="BB4" i="1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<sst xmlns="http://schemas.openxmlformats.org/spreadsheetml/2006/main" count="3419" uniqueCount="233">
  <si>
    <t xml:space="preserve">Title: </t>
  </si>
  <si>
    <t>Start of the academic year in Europe, 2025/2026</t>
  </si>
  <si>
    <t xml:space="preserve">Source: </t>
  </si>
  <si>
    <t>Eurydice</t>
  </si>
  <si>
    <t>URL:</t>
  </si>
  <si>
    <t>https://eurydice.eacea.ec.europa.eu/data-and-visuals/european-academic-year</t>
  </si>
  <si>
    <t xml:space="preserve">Copyright: </t>
  </si>
  <si>
    <t>European Commission, 2025</t>
  </si>
  <si>
    <t xml:space="preserve">Last update: </t>
  </si>
  <si>
    <t>Country</t>
  </si>
  <si>
    <t>StartofYear_Period</t>
  </si>
  <si>
    <t>StartofYear_DecisionLevel</t>
  </si>
  <si>
    <t>StartofYear_Note</t>
  </si>
  <si>
    <t>Albania</t>
  </si>
  <si>
    <t>October</t>
  </si>
  <si>
    <t>Top-level authority</t>
  </si>
  <si>
    <t>Austria</t>
  </si>
  <si>
    <t>September/October</t>
  </si>
  <si>
    <t>Information on the decision-making level refers to universities (Universitäten) and university colleges of teacher education (Pädagogische Hochschulen). Universities of applied sciences (Fachhochschulen/Hochschulen für Angewandte Wissenschaften) and private higher education institutions have institutional autonomy to decide on the start of the academic year (generally in September or October).</t>
  </si>
  <si>
    <t>Belgium (Flemish Community)</t>
  </si>
  <si>
    <t>September</t>
  </si>
  <si>
    <t>Institutional autonomy</t>
  </si>
  <si>
    <t>The Higher Education Code specifies that the academic year should start between 1 September and 1 October.
No information is available regarding the independent private sector.</t>
  </si>
  <si>
    <t>Belgium (French Community)</t>
  </si>
  <si>
    <t>No information is available regarding the independent private sector.</t>
  </si>
  <si>
    <t>Belgium (German-speaking Community)</t>
  </si>
  <si>
    <t>Bosnia and Herzegovina</t>
  </si>
  <si>
    <t>Bulgaria</t>
  </si>
  <si>
    <t>Some private universities start the academic year in September.</t>
  </si>
  <si>
    <t>Croatia</t>
  </si>
  <si>
    <t>The Act on Higher Education and Scientific Activity specifies that the academic year spans between 1 October and 30 September of the following year. Under specific circumstances, some courses may start as early as 1 September.</t>
  </si>
  <si>
    <t>Cyprus</t>
  </si>
  <si>
    <t>Some private higher education institutions start the academic year in October.</t>
  </si>
  <si>
    <t>Czechia</t>
  </si>
  <si>
    <t>Denmark</t>
  </si>
  <si>
    <t>Estonia</t>
  </si>
  <si>
    <t>August/September</t>
  </si>
  <si>
    <t>Finland</t>
  </si>
  <si>
    <t xml:space="preserve">The official start of the academic year is in August, as defined by the top-level authority. </t>
  </si>
  <si>
    <t>France</t>
  </si>
  <si>
    <t>Georgia</t>
  </si>
  <si>
    <t>Germany</t>
  </si>
  <si>
    <t xml:space="preserve">The decision on the start of the academic year is made by the Länder. For universities of applied sciences (Hochschulen für angewandte Wissenschaften/Fachhochschulen), the academic year typically starts in September. </t>
  </si>
  <si>
    <t>Greece</t>
  </si>
  <si>
    <t>At ISCED 6, the top-level authority sets the official start of the academic year at 1 September, while institutional higher education institutions determine the start of teaching activities. At ISCED 7, the academic year may start in October or March.</t>
  </si>
  <si>
    <t>Hungary</t>
  </si>
  <si>
    <t>Iceland</t>
  </si>
  <si>
    <t>Ireland</t>
  </si>
  <si>
    <t>Italy</t>
  </si>
  <si>
    <t>Latvia</t>
  </si>
  <si>
    <t>Liechtenstein</t>
  </si>
  <si>
    <t>In the private sector the academic year usually starts in October.</t>
  </si>
  <si>
    <t>Lithuania</t>
  </si>
  <si>
    <t>Luxembourg</t>
  </si>
  <si>
    <t>Malta</t>
  </si>
  <si>
    <t>For private institutions, the start of the academic year happens at different times of the year.</t>
  </si>
  <si>
    <t>Moldavia</t>
  </si>
  <si>
    <t>Montenegro</t>
  </si>
  <si>
    <t>Netherelands</t>
  </si>
  <si>
    <t>North Macedonia</t>
  </si>
  <si>
    <t>Norway</t>
  </si>
  <si>
    <t>August</t>
  </si>
  <si>
    <t>Poland</t>
  </si>
  <si>
    <t>Portugal</t>
  </si>
  <si>
    <t>Romania</t>
  </si>
  <si>
    <t>Serbia</t>
  </si>
  <si>
    <t xml:space="preserve"> Some higher education institutions will exceptionally start the academic year in November to adjust to the prolongation of the previous academic year (due to socio-political circumstances).</t>
  </si>
  <si>
    <t>Slovakia</t>
  </si>
  <si>
    <t>The top-level authority determines the start of the academic year, as well as the dates of autumn and spring semesters. However, the Institutes decide independently on the periods when teaching activities start.</t>
  </si>
  <si>
    <t>Slovenia</t>
  </si>
  <si>
    <t>Spain</t>
  </si>
  <si>
    <t>In some autonomous communities, some non-university tertiary programmes start in October. For those, the autonomous community usually decides on the start of the academic year. However, the decision may be delegated to the provincial directorates or the municipalities.</t>
  </si>
  <si>
    <t>Sweden</t>
  </si>
  <si>
    <t>Switzerland</t>
  </si>
  <si>
    <t>Türkiye</t>
  </si>
  <si>
    <t>Ukraine</t>
  </si>
  <si>
    <t>Country code:</t>
  </si>
  <si>
    <t>Beginning and end of school year</t>
  </si>
  <si>
    <t>Please specify the full name of the region/zone concerned =&gt;</t>
  </si>
  <si>
    <t>North</t>
  </si>
  <si>
    <t>South</t>
  </si>
  <si>
    <t>Please specify the ISCED level(s) concerned (dropdown list) =&gt;</t>
  </si>
  <si>
    <t>Please specify</t>
  </si>
  <si>
    <t>BEGINNING of the school year for STUDENTS</t>
  </si>
  <si>
    <t>Initial dates may vary</t>
  </si>
  <si>
    <t>from</t>
  </si>
  <si>
    <t>Beginning of school year</t>
  </si>
  <si>
    <t>Final dates may vary</t>
  </si>
  <si>
    <t>to</t>
  </si>
  <si>
    <t>BEGINNING of the school year for TEACHERS (NOT shown on graph)</t>
  </si>
  <si>
    <t>END of the school year for STUDENTS (NOT shown on graph)</t>
  </si>
  <si>
    <t>End of school year</t>
  </si>
  <si>
    <t>END of the school year for TEACHERS (NOT shown on graph)</t>
  </si>
  <si>
    <t>School holiday periods (for students)</t>
  </si>
  <si>
    <t xml:space="preserve"> Period 1</t>
  </si>
  <si>
    <t>Minimum or fixed number of days</t>
  </si>
  <si>
    <t>Maximum number of days</t>
  </si>
  <si>
    <t xml:space="preserve"> Period 2</t>
  </si>
  <si>
    <t xml:space="preserve"> Period 3</t>
  </si>
  <si>
    <t xml:space="preserve"> Period 4</t>
  </si>
  <si>
    <t xml:space="preserve"> Period 5</t>
  </si>
  <si>
    <t xml:space="preserve"> Period 6</t>
  </si>
  <si>
    <t>Period 7</t>
  </si>
  <si>
    <t xml:space="preserve"> Period 8</t>
  </si>
  <si>
    <t xml:space="preserve"> Period 9</t>
  </si>
  <si>
    <t xml:space="preserve"> Period 10</t>
  </si>
  <si>
    <t xml:space="preserve"> Period 11</t>
  </si>
  <si>
    <t xml:space="preserve"> Period 12</t>
  </si>
  <si>
    <t xml:space="preserve"> Period 13</t>
  </si>
  <si>
    <t xml:space="preserve"> Period 14</t>
  </si>
  <si>
    <t xml:space="preserve"> Period 15</t>
  </si>
  <si>
    <t xml:space="preserve"> Period 16</t>
  </si>
  <si>
    <t xml:space="preserve"> Period 17</t>
  </si>
  <si>
    <t xml:space="preserve"> Period 18</t>
  </si>
  <si>
    <t xml:space="preserve"> Period 19</t>
  </si>
  <si>
    <t xml:space="preserve"> Period 20</t>
  </si>
  <si>
    <t>PRIMARY</t>
  </si>
  <si>
    <t>SECONDARY</t>
  </si>
  <si>
    <t>no</t>
  </si>
  <si>
    <t>Period 1</t>
  </si>
  <si>
    <t>Period 2</t>
  </si>
  <si>
    <t>Period 3</t>
  </si>
  <si>
    <t>Period 4</t>
  </si>
  <si>
    <t>Period 5</t>
  </si>
  <si>
    <t>Period 6</t>
  </si>
  <si>
    <t>Period 8</t>
  </si>
  <si>
    <t>Period 9</t>
  </si>
  <si>
    <t>Period 10</t>
  </si>
  <si>
    <t>Period 11</t>
  </si>
  <si>
    <t>Period 12</t>
  </si>
  <si>
    <t>Period 13</t>
  </si>
  <si>
    <t>Period 14</t>
  </si>
  <si>
    <t>Period 15</t>
  </si>
  <si>
    <t>Period 16</t>
  </si>
  <si>
    <t>Period 17</t>
  </si>
  <si>
    <t>Period 18</t>
  </si>
  <si>
    <t>Period 19</t>
  </si>
  <si>
    <t>Period 20</t>
  </si>
  <si>
    <t>Students BEGINNING</t>
  </si>
  <si>
    <t>Students END</t>
  </si>
  <si>
    <t>Teachers BEGINNING</t>
  </si>
  <si>
    <t>Teachers END</t>
  </si>
  <si>
    <t>Country_code</t>
  </si>
  <si>
    <t>Overview_Regional_calendar</t>
  </si>
  <si>
    <t>Level of education</t>
  </si>
  <si>
    <t>Min from</t>
  </si>
  <si>
    <t>Min to</t>
  </si>
  <si>
    <t>Max from</t>
  </si>
  <si>
    <t>Max to</t>
  </si>
  <si>
    <t>Period_name</t>
  </si>
  <si>
    <t>Beginning of school year for students</t>
  </si>
  <si>
    <t>Beginning of school year for teachers</t>
  </si>
  <si>
    <t>-</t>
  </si>
  <si>
    <t>Calendar 4</t>
  </si>
  <si>
    <t>BEGINNING of the school year for TEACHERS</t>
  </si>
  <si>
    <t xml:space="preserve">Calendar 4 </t>
  </si>
  <si>
    <t>Calendar 5</t>
  </si>
  <si>
    <t xml:space="preserve"> Period 7</t>
  </si>
  <si>
    <t>Calendar 6</t>
  </si>
  <si>
    <t>Calendar 7</t>
  </si>
  <si>
    <t>Calendar 8</t>
  </si>
  <si>
    <t xml:space="preserve">Calendar 8 </t>
  </si>
  <si>
    <t>Calendar 9</t>
  </si>
  <si>
    <t xml:space="preserve">Calendar 9 </t>
  </si>
  <si>
    <t>Calendar 10</t>
  </si>
  <si>
    <t>Calendar 11</t>
  </si>
  <si>
    <t xml:space="preserve">Calendar 11 </t>
  </si>
  <si>
    <t>Calendar 12</t>
  </si>
  <si>
    <t>Calendar 13</t>
  </si>
  <si>
    <t>Calendar 14</t>
  </si>
  <si>
    <t xml:space="preserve">Calendar 14 </t>
  </si>
  <si>
    <t>Calendar 15</t>
  </si>
  <si>
    <t xml:space="preserve">Calendar 15 </t>
  </si>
  <si>
    <t>Calendar 16</t>
  </si>
  <si>
    <t xml:space="preserve">Calendar 16 </t>
  </si>
  <si>
    <t>Calendar 17</t>
  </si>
  <si>
    <t xml:space="preserve">Calendar 17 </t>
  </si>
  <si>
    <t>Calendar 18</t>
  </si>
  <si>
    <t xml:space="preserve">Calendar 18 </t>
  </si>
  <si>
    <t>Calendar 19</t>
  </si>
  <si>
    <t>Calendar 20</t>
  </si>
  <si>
    <t>Calendar 21</t>
  </si>
  <si>
    <t>Calendar 22</t>
  </si>
  <si>
    <t>Calendar 23</t>
  </si>
  <si>
    <t>Calendar 24</t>
  </si>
  <si>
    <t>Calendar 25</t>
  </si>
  <si>
    <t>Calendar 26</t>
  </si>
  <si>
    <t>Calendar 27</t>
  </si>
  <si>
    <t>Calendar 28</t>
  </si>
  <si>
    <t>Calendar 29</t>
  </si>
  <si>
    <t>Calendar 30</t>
  </si>
  <si>
    <t>Calendar 31</t>
  </si>
  <si>
    <t>Calendar 32</t>
  </si>
  <si>
    <t>Calendar 33</t>
  </si>
  <si>
    <t>Calendar 34</t>
  </si>
  <si>
    <t>Calendar 35</t>
  </si>
  <si>
    <t>Calendar 36</t>
  </si>
  <si>
    <t>Calendar 37</t>
  </si>
  <si>
    <t>Per1</t>
  </si>
  <si>
    <t>per2</t>
  </si>
  <si>
    <t>per3</t>
  </si>
  <si>
    <t>per4</t>
  </si>
  <si>
    <t>per5</t>
  </si>
  <si>
    <t>per6</t>
  </si>
  <si>
    <t>per7</t>
  </si>
  <si>
    <t>per8</t>
  </si>
  <si>
    <t>per9</t>
  </si>
  <si>
    <t>per10</t>
  </si>
  <si>
    <t>per11</t>
  </si>
  <si>
    <t>per12</t>
  </si>
  <si>
    <t>per13</t>
  </si>
  <si>
    <t>per14</t>
  </si>
  <si>
    <t>per15</t>
  </si>
  <si>
    <t>per16</t>
  </si>
  <si>
    <t>per17</t>
  </si>
  <si>
    <t>per18</t>
  </si>
  <si>
    <t>per19</t>
  </si>
  <si>
    <t>per20</t>
  </si>
  <si>
    <t>épaisseur symbole</t>
  </si>
  <si>
    <t xml:space="preserve">begS </t>
  </si>
  <si>
    <t>End students</t>
  </si>
  <si>
    <t>begS S &gt;T</t>
  </si>
  <si>
    <t>beg S = T</t>
  </si>
  <si>
    <t>End</t>
  </si>
  <si>
    <t>Amorce generale</t>
  </si>
  <si>
    <t>End Amorce</t>
  </si>
  <si>
    <t>End var_deb</t>
  </si>
  <si>
    <t>End fixed/min number</t>
  </si>
  <si>
    <t>End max_number</t>
  </si>
  <si>
    <t>End var_fin</t>
  </si>
  <si>
    <t>.</t>
  </si>
  <si>
    <t>debut</t>
  </si>
  <si>
    <t>we39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</si>
</sst>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mm/dd/yy"/>
    <numFmt numFmtId="165" formatCode="[$-809]mmm/yy;@"/>
    <numFmt numFmtId="166" formatCode="[$-809]dd/mmm/yy;@"/>
    <numFmt numFmtId="167" formatCode="[$-809]dddd/dd/mmm/yy"/>
    <numFmt numFmtId="168" formatCode="[$-809]ddd/dd/mmm/yy"/>
    <numFmt numFmtId="169" formatCode="dd/mm/yy;@"/>
    <numFmt numFmtId="170" formatCode="[$-F800]dddd\,\ mmmm\ dd\,\ yyyy"/>
    <numFmt numFmtId="171" formatCode="&quot;we&quot;0"/>
    <numFmt numFmtId="172" formatCode="[$-809]dddd\ dd/mmm/yy;@"/>
    <numFmt numFmtId="173" formatCode="[$-809]ddd\ dd/mmm/yy;@"/>
    <numFmt numFmtId="174" formatCode="0.0000000000000"/>
  </numFmts>
  <fonts count="65" x14ac:knownFonts="1">
    <font>
      <sz val="10"/>
      <name val="Arial"/>
    </font>
    <font>
      <sz val="12"/>
      <color theme="1"/>
      <name val="Arial"/>
      <family val="2"/>
    </font>
    <font>
      <sz val="11"/>
      <color theme="1"/>
      <name val="Arial"/>
      <family val="2"/>
    </font>
    <font>
      <sz val="11"/>
      <color theme="1"/>
      <name val="Arial"/>
      <family val="2"/>
    </font>
    <font>
      <sz val="8"/>
      <name val="Arial"/>
      <family val="2"/>
    </font>
    <font>
      <sz val="10"/>
      <name val="Arial"/>
      <family val="2"/>
    </font>
    <font>
      <b/>
      <sz val="8"/>
      <name val="Arial"/>
      <family val="2"/>
    </font>
    <font>
      <sz val="9"/>
      <name val="Arial Narrow"/>
      <family val="2"/>
    </font>
    <font>
      <sz val="10"/>
      <color theme="0"/>
      <name val="Arial"/>
      <family val="2"/>
    </font>
    <font>
      <b/>
      <sz val="8"/>
      <color theme="0"/>
      <name val="Arial"/>
      <family val="2"/>
    </font>
    <font>
      <sz val="10"/>
      <color theme="1"/>
      <name val="Arial"/>
      <family val="2"/>
    </font>
    <font>
      <b/>
      <sz val="11"/>
      <color theme="3"/>
      <name val="Arial"/>
      <family val="2"/>
    </font>
    <font>
      <b/>
      <sz val="10"/>
      <color rgb="FFC00000"/>
      <name val="Arial"/>
      <family val="2"/>
    </font>
    <font>
      <b/>
      <sz val="10"/>
      <color theme="0"/>
      <name val="Arial"/>
      <family val="2"/>
    </font>
    <font>
      <b/>
      <sz val="12"/>
      <color theme="0"/>
      <name val="Arial"/>
      <family val="2"/>
    </font>
    <font>
      <b/>
      <sz val="10"/>
      <name val="Arial"/>
      <family val="2"/>
    </font>
    <font>
      <b/>
      <sz val="10"/>
      <color theme="0"/>
      <name val="Arial Narrow"/>
      <family val="2"/>
    </font>
    <font>
      <sz val="8"/>
      <color theme="0"/>
      <name val="Arial Narrow"/>
      <family val="2"/>
    </font>
    <font>
      <sz val="10"/>
      <name val="Arial"/>
      <family val="2"/>
    </font>
    <font>
      <sz val="14"/>
      <color theme="0" tint="-0.34998626667073579"/>
      <name val="Arial"/>
      <family val="2"/>
    </font>
    <font>
      <sz val="8"/>
      <name val="Arial Narrow"/>
      <family val="2"/>
    </font>
    <font>
      <sz val="8"/>
      <color theme="1"/>
      <name val="Arial Narrow"/>
      <family val="2"/>
    </font>
    <font>
      <b/>
      <sz val="14"/>
      <color theme="0"/>
      <name val="Arial"/>
      <family val="2"/>
    </font>
    <font>
      <sz val="14"/>
      <name val="Arial Narrow"/>
      <family val="2"/>
    </font>
    <font>
      <sz val="14"/>
      <name val="Arial"/>
      <family val="2"/>
    </font>
    <font>
      <sz val="10"/>
      <color rgb="FFFF0000"/>
      <name val="Arial"/>
      <family val="2"/>
    </font>
    <font>
      <sz val="9"/>
      <color theme="1"/>
      <name val="Arial Narrow"/>
      <family val="2"/>
    </font>
    <font>
      <b/>
      <sz val="15"/>
      <color theme="3"/>
      <name val="Arial"/>
      <family val="2"/>
    </font>
    <font>
      <b/>
      <sz val="7"/>
      <color theme="6" tint="0.39997558519241921"/>
      <name val="Arial Narrow"/>
      <family val="2"/>
    </font>
    <font>
      <sz val="8"/>
      <color theme="6" tint="0.39997558519241921"/>
      <name val="Arial Narrow"/>
      <family val="2"/>
    </font>
    <font>
      <b/>
      <sz val="20"/>
      <color theme="1"/>
      <name val="Times New Roman"/>
      <family val="1"/>
    </font>
    <font>
      <b/>
      <sz val="20"/>
      <color rgb="FF002060"/>
      <name val="Times New Roman"/>
      <family val="1"/>
    </font>
    <font>
      <b/>
      <sz val="14"/>
      <color theme="0"/>
      <name val="Calibri"/>
      <family val="2"/>
      <scheme val="minor"/>
    </font>
    <font>
      <b/>
      <sz val="15"/>
      <color theme="3"/>
      <name val="Arial Narrow"/>
      <family val="2"/>
    </font>
    <font>
      <b/>
      <sz val="10"/>
      <color rgb="FFC00000"/>
      <name val="Arial Narrow"/>
      <family val="2"/>
    </font>
    <font>
      <b/>
      <sz val="10"/>
      <color theme="1"/>
      <name val="Arial Narrow"/>
      <family val="2"/>
    </font>
    <font>
      <b/>
      <i/>
      <sz val="24"/>
      <color theme="0"/>
      <name val="Times New Roman"/>
      <family val="1"/>
    </font>
    <font>
      <sz val="24"/>
      <name val="Times New Roman"/>
      <family val="1"/>
    </font>
    <font>
      <sz val="24"/>
      <color theme="0"/>
      <name val="Times New Roman"/>
      <family val="1"/>
    </font>
    <font>
      <b/>
      <i/>
      <sz val="22"/>
      <color theme="0"/>
      <name val="Times New Roman"/>
      <family val="1"/>
    </font>
    <font>
      <sz val="22"/>
      <name val="Times New Roman"/>
      <family val="1"/>
    </font>
    <font>
      <b/>
      <sz val="24"/>
      <color theme="0"/>
      <name val="Times New Roman"/>
      <family val="1"/>
    </font>
    <font>
      <b/>
      <sz val="16"/>
      <color theme="0"/>
      <name val="Arial Narrow"/>
      <family val="2"/>
    </font>
    <font>
      <sz val="7"/>
      <name val="Arial Narrow"/>
      <family val="2"/>
    </font>
    <font>
      <sz val="7"/>
      <color theme="0"/>
      <name val="Arial Narrow"/>
      <family val="2"/>
    </font>
    <font>
      <sz val="18"/>
      <color theme="0"/>
      <name val="Arial Narrow"/>
      <family val="2"/>
    </font>
    <font>
      <sz val="20"/>
      <color theme="0"/>
      <name val="Times New Roman"/>
      <family val="1"/>
    </font>
    <font>
      <b/>
      <sz val="12"/>
      <name val="Aptos Narrow"/>
      <family val="2"/>
    </font>
    <font>
      <b/>
      <sz val="14"/>
      <color rgb="FFC00000"/>
      <name val="Arial Narrow"/>
      <family val="2"/>
    </font>
    <font>
      <sz val="10"/>
      <color rgb="FF1F497D"/>
      <name val="Arial"/>
      <family val="2"/>
    </font>
    <font>
      <sz val="9"/>
      <color rgb="FF1F497D"/>
      <name val="Arial"/>
      <family val="2"/>
    </font>
    <font>
      <sz val="10"/>
      <color theme="1"/>
      <name val="Arial Narrow"/>
      <family val="2"/>
    </font>
    <font>
      <sz val="8"/>
      <color rgb="FF1F497D"/>
      <name val="Arial Narrow"/>
      <family val="2"/>
    </font>
    <font>
      <b/>
      <sz val="13"/>
      <color theme="3"/>
      <name val="Arial Narrow"/>
      <family val="2"/>
    </font>
    <font>
      <sz val="8"/>
      <color rgb="FFFFFF99"/>
      <name val="Arial Narrow"/>
      <family val="2"/>
    </font>
    <font>
      <sz val="9"/>
      <name val="Aptos Narrow"/>
      <family val="2"/>
    </font>
    <font>
      <sz val="10"/>
      <color theme="0" tint="-0.249977111117893"/>
      <name val="Arial"/>
      <family val="2"/>
    </font>
    <font>
      <sz val="9"/>
      <name val="Arial"/>
      <family val="2"/>
    </font>
    <font>
      <strike/>
      <sz val="9"/>
      <name val="Aptos Narrow"/>
      <family val="2"/>
    </font>
    <font>
      <sz val="9"/>
      <color theme="1"/>
      <name val="Calibri"/>
      <family val="2"/>
      <scheme val="minor"/>
    </font>
    <font>
      <u/>
      <sz val="10"/>
      <color theme="10"/>
      <name val="Arial"/>
    </font>
    <font>
      <u/>
      <sz val="9"/>
      <color theme="10"/>
      <name val="Calibri"/>
      <family val="2"/>
      <scheme val="minor"/>
    </font>
    <font>
      <sz val="12"/>
      <color theme="1"/>
      <name val="Calibri"/>
      <family val="2"/>
      <scheme val="minor"/>
    </font>
    <font>
      <b/>
      <sz val="12"/>
      <color theme="1"/>
      <name val="Calibri"/>
      <family val="2"/>
      <scheme val="minor"/>
    </font>
    <font>
      <sz val="12"/>
      <name val="Arial"/>
      <family val="2"/>
    </font>
  </fonts>
  <fills count="27">
    <fill>
      <patternFill patternType="none"/>
    </fill>
    <fill>
      <patternFill patternType="gray125"/>
    </fill>
    <fill>
      <patternFill patternType="solid">
        <fgColor indexed="47"/>
        <bgColor indexed="64"/>
      </patternFill>
    </fill>
    <fill>
      <patternFill patternType="solid">
        <fgColor theme="9" tint="-0.249977111117893"/>
        <bgColor indexed="64"/>
      </patternFill>
    </fill>
    <fill>
      <patternFill patternType="solid">
        <fgColor rgb="FFFF0000"/>
        <bgColor indexed="64"/>
      </patternFill>
    </fill>
    <fill>
      <patternFill patternType="solid">
        <fgColor rgb="FFFF7D00"/>
        <bgColor indexed="64"/>
      </patternFill>
    </fill>
    <fill>
      <patternFill patternType="solid">
        <fgColor rgb="FF00B05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39997558519241921"/>
        <bgColor indexed="64"/>
      </patternFill>
    </fill>
    <fill>
      <patternFill patternType="solid">
        <fgColor rgb="FFCCECFF"/>
        <bgColor indexed="64"/>
      </patternFill>
    </fill>
    <fill>
      <patternFill patternType="solid">
        <fgColor theme="8" tint="-0.499984740745262"/>
        <bgColor indexed="64"/>
      </patternFill>
    </fill>
    <fill>
      <patternFill patternType="solid">
        <fgColor rgb="FF215967"/>
        <bgColor indexed="64"/>
      </patternFill>
    </fill>
    <fill>
      <patternFill patternType="solid">
        <fgColor theme="1"/>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8" tint="-0.249977111117893"/>
        <bgColor indexed="64"/>
      </patternFill>
    </fill>
    <fill>
      <patternFill patternType="solid">
        <fgColor rgb="FFFFFF99"/>
        <bgColor indexed="64"/>
      </patternFill>
    </fill>
    <fill>
      <patternFill patternType="solid">
        <fgColor rgb="FFD8E4BC"/>
        <bgColor indexed="64"/>
      </patternFill>
    </fill>
    <fill>
      <patternFill patternType="solid">
        <fgColor theme="3" tint="0.59999389629810485"/>
        <bgColor indexed="64"/>
      </patternFill>
    </fill>
    <fill>
      <patternFill patternType="solid">
        <fgColor theme="9" tint="-0.499984740745262"/>
        <bgColor indexed="64"/>
      </patternFill>
    </fill>
    <fill>
      <patternFill patternType="solid">
        <fgColor rgb="FFFAD296"/>
        <bgColor indexed="64"/>
      </patternFill>
    </fill>
    <fill>
      <patternFill patternType="solid">
        <fgColor theme="3" tint="-0.249977111117893"/>
        <bgColor indexed="64"/>
      </patternFill>
    </fill>
  </fills>
  <borders count="35">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medium">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right style="thin">
        <color indexed="64"/>
      </right>
      <top/>
      <bottom style="thin">
        <color indexed="64"/>
      </bottom>
      <diagonal/>
    </border>
    <border>
      <left/>
      <right/>
      <top style="thick">
        <color auto="1"/>
      </top>
      <bottom style="thick">
        <color auto="1"/>
      </bottom>
      <diagonal/>
    </border>
    <border>
      <left/>
      <right/>
      <top/>
      <bottom style="thick">
        <color theme="4"/>
      </bottom>
      <diagonal/>
    </border>
    <border>
      <left style="thick">
        <color rgb="FFFF33CC"/>
      </left>
      <right style="thick">
        <color rgb="FFFF33CC"/>
      </right>
      <top style="thick">
        <color rgb="FFFF33CC"/>
      </top>
      <bottom style="thick">
        <color rgb="FFFF33CC"/>
      </bottom>
      <diagonal/>
    </border>
    <border>
      <left style="thick">
        <color rgb="FFFF33CC"/>
      </left>
      <right/>
      <top style="thick">
        <color rgb="FFFF33CC"/>
      </top>
      <bottom style="thick">
        <color rgb="FFFF33CC"/>
      </bottom>
      <diagonal/>
    </border>
    <border>
      <left/>
      <right/>
      <top style="thick">
        <color rgb="FFFF33CC"/>
      </top>
      <bottom style="thick">
        <color rgb="FFFF33CC"/>
      </bottom>
      <diagonal/>
    </border>
    <border>
      <left/>
      <right style="thick">
        <color rgb="FFFF33CC"/>
      </right>
      <top style="thick">
        <color rgb="FFFF33CC"/>
      </top>
      <bottom style="thick">
        <color rgb="FFFF33CC"/>
      </bottom>
      <diagonal/>
    </border>
    <border>
      <left/>
      <right/>
      <top style="thick">
        <color auto="1"/>
      </top>
      <bottom/>
      <diagonal/>
    </border>
    <border>
      <left/>
      <right/>
      <top/>
      <bottom style="thick">
        <color auto="1"/>
      </bottom>
      <diagonal/>
    </border>
    <border>
      <left/>
      <right style="thick">
        <color auto="1"/>
      </right>
      <top/>
      <bottom style="thick">
        <color auto="1"/>
      </bottom>
      <diagonal/>
    </border>
    <border>
      <left style="thick">
        <color rgb="FFFF33CC"/>
      </left>
      <right/>
      <top/>
      <bottom/>
      <diagonal/>
    </border>
    <border>
      <left style="thin">
        <color indexed="64"/>
      </left>
      <right style="thick">
        <color rgb="FFFF33CC"/>
      </right>
      <top style="thin">
        <color indexed="64"/>
      </top>
      <bottom style="thin">
        <color indexed="64"/>
      </bottom>
      <diagonal/>
    </border>
    <border>
      <left style="thin">
        <color auto="1"/>
      </left>
      <right/>
      <top style="thick">
        <color rgb="FFFF33CC"/>
      </top>
      <bottom style="thin">
        <color indexed="64"/>
      </bottom>
      <diagonal/>
    </border>
    <border>
      <left/>
      <right style="thick">
        <color rgb="FFFF33CC"/>
      </right>
      <top/>
      <bottom style="thin">
        <color indexed="64"/>
      </bottom>
      <diagonal/>
    </border>
    <border>
      <left/>
      <right style="thick">
        <color rgb="FFFF33CC"/>
      </right>
      <top/>
      <bottom/>
      <diagonal/>
    </border>
    <border>
      <left style="thin">
        <color indexed="64"/>
      </left>
      <right style="thin">
        <color indexed="64"/>
      </right>
      <top/>
      <bottom/>
      <diagonal/>
    </border>
    <border>
      <left/>
      <right/>
      <top/>
      <bottom style="thick">
        <color rgb="FFFF33CC"/>
      </bottom>
      <diagonal/>
    </border>
    <border>
      <left/>
      <right/>
      <top style="thick">
        <color rgb="FFFF33CC"/>
      </top>
      <bottom style="thin">
        <color indexed="64"/>
      </bottom>
      <diagonal/>
    </border>
    <border>
      <left/>
      <right style="thin">
        <color indexed="64"/>
      </right>
      <top style="thick">
        <color rgb="FFFF33CC"/>
      </top>
      <bottom style="thin">
        <color indexed="64"/>
      </bottom>
      <diagonal/>
    </border>
    <border>
      <left style="thin">
        <color theme="0"/>
      </left>
      <right style="thin">
        <color theme="0"/>
      </right>
      <top style="thin">
        <color theme="0"/>
      </top>
      <bottom/>
      <diagonal/>
    </border>
    <border>
      <left style="thin">
        <color indexed="64"/>
      </left>
      <right style="thin">
        <color indexed="64"/>
      </right>
      <top/>
      <bottom style="thin">
        <color indexed="64"/>
      </bottom>
      <diagonal/>
    </border>
  </borders>
  <cellStyleXfs count="22">
    <xf numFmtId="0" fontId="0" fillId="0" borderId="0"/>
    <xf numFmtId="0" fontId="3" fillId="0" borderId="0"/>
    <xf numFmtId="0" fontId="11" fillId="0" borderId="7" applyNumberFormat="0" applyFill="0" applyProtection="0">
      <alignment vertical="center"/>
    </xf>
    <xf numFmtId="0" fontId="12" fillId="0" borderId="0">
      <alignment vertical="top" wrapText="1"/>
    </xf>
    <xf numFmtId="0" fontId="2" fillId="0" borderId="0"/>
    <xf numFmtId="9" fontId="18" fillId="0" borderId="0" applyFont="0" applyFill="0" applyBorder="0" applyAlignment="0" applyProtection="0"/>
    <xf numFmtId="0" fontId="1" fillId="0" borderId="0"/>
    <xf numFmtId="0" fontId="27" fillId="0" borderId="16" applyNumberFormat="0" applyFill="0" applyProtection="0">
      <alignment horizontal="left" vertical="top" wrapText="1" indent="1"/>
    </xf>
    <xf numFmtId="0" fontId="33" fillId="0" borderId="16" applyNumberFormat="0" applyFill="0">
      <alignment vertical="top" wrapText="1"/>
    </xf>
    <xf numFmtId="0" fontId="34" fillId="0" borderId="0"/>
    <xf numFmtId="0" fontId="5" fillId="0" borderId="0"/>
    <xf numFmtId="0" fontId="48" fillId="0" borderId="0">
      <alignment vertical="center" wrapText="1"/>
    </xf>
    <xf numFmtId="0" fontId="48" fillId="0" borderId="0"/>
    <xf numFmtId="0" fontId="1" fillId="0" borderId="0">
      <alignment horizontal="justify"/>
    </xf>
    <xf numFmtId="0" fontId="1" fillId="0" borderId="0"/>
    <xf numFmtId="0" fontId="49" fillId="0" borderId="1" applyNumberFormat="0" applyFill="0" applyBorder="0">
      <alignment horizontal="left" vertical="center" wrapText="1"/>
    </xf>
    <xf numFmtId="0" fontId="51" fillId="0" borderId="0"/>
    <xf numFmtId="0" fontId="53" fillId="0" borderId="16" applyNumberFormat="0" applyFill="0">
      <alignment vertical="center" wrapText="1"/>
    </xf>
    <xf numFmtId="0" fontId="50" fillId="0" borderId="1" applyNumberFormat="0" applyFill="0" applyBorder="0">
      <alignment horizontal="left" vertical="center" wrapText="1"/>
    </xf>
    <xf numFmtId="0" fontId="35" fillId="25" borderId="6">
      <alignment vertical="center"/>
      <protection locked="0"/>
    </xf>
    <xf numFmtId="0" fontId="52" fillId="25" borderId="6">
      <alignment horizontal="left" vertical="top" wrapText="1"/>
      <protection locked="0"/>
    </xf>
    <xf numFmtId="0" fontId="60" fillId="0" borderId="0" applyNumberFormat="0" applyFill="0" applyBorder="0" applyAlignment="0" applyProtection="0"/>
  </cellStyleXfs>
  <cellXfs count="268">
    <xf numFmtId="0" fontId="0" fillId="0" borderId="0" xfId="0"/>
    <xf numFmtId="1" fontId="4" fillId="2" borderId="0" xfId="0" applyNumberFormat="1" applyFont="1" applyFill="1" applyAlignment="1" applyProtection="1">
      <alignment horizontal="center" textRotation="90" wrapText="1" shrinkToFit="1"/>
      <protection locked="0"/>
    </xf>
    <xf numFmtId="0" fontId="5" fillId="0" borderId="0" xfId="0" applyFont="1"/>
    <xf numFmtId="1" fontId="9" fillId="4" borderId="2" xfId="0" applyNumberFormat="1" applyFont="1" applyFill="1" applyBorder="1" applyAlignment="1" applyProtection="1">
      <alignment horizontal="center" textRotation="90" wrapText="1"/>
      <protection locked="0"/>
    </xf>
    <xf numFmtId="1" fontId="6" fillId="5" borderId="2" xfId="0" applyNumberFormat="1" applyFont="1" applyFill="1" applyBorder="1" applyAlignment="1" applyProtection="1">
      <alignment horizontal="center" textRotation="90" wrapText="1"/>
      <protection locked="0"/>
    </xf>
    <xf numFmtId="1" fontId="9" fillId="5" borderId="2" xfId="0" applyNumberFormat="1" applyFont="1" applyFill="1" applyBorder="1" applyAlignment="1" applyProtection="1">
      <alignment horizontal="center" textRotation="90" wrapText="1"/>
      <protection locked="0"/>
    </xf>
    <xf numFmtId="1" fontId="6" fillId="6" borderId="2" xfId="0" applyNumberFormat="1" applyFont="1" applyFill="1" applyBorder="1" applyAlignment="1" applyProtection="1">
      <alignment horizontal="center" textRotation="90" wrapText="1"/>
      <protection locked="0"/>
    </xf>
    <xf numFmtId="1" fontId="6" fillId="7" borderId="2" xfId="0" applyNumberFormat="1" applyFont="1" applyFill="1" applyBorder="1" applyAlignment="1" applyProtection="1">
      <alignment horizontal="center" textRotation="90" wrapText="1" shrinkToFit="1"/>
      <protection locked="0"/>
    </xf>
    <xf numFmtId="1" fontId="6" fillId="8" borderId="2" xfId="0" applyNumberFormat="1" applyFont="1" applyFill="1" applyBorder="1" applyAlignment="1">
      <alignment horizontal="center" textRotation="90" wrapText="1"/>
    </xf>
    <xf numFmtId="1" fontId="4" fillId="9" borderId="0" xfId="0" applyNumberFormat="1" applyFont="1" applyFill="1" applyAlignment="1">
      <alignment horizontal="center" textRotation="90" wrapText="1" shrinkToFit="1"/>
    </xf>
    <xf numFmtId="1" fontId="8" fillId="4" borderId="1" xfId="0" applyNumberFormat="1" applyFont="1" applyFill="1" applyBorder="1" applyAlignment="1" applyProtection="1">
      <alignment horizontal="center" vertical="center" wrapText="1" shrinkToFit="1"/>
      <protection locked="0"/>
    </xf>
    <xf numFmtId="1" fontId="8" fillId="5" borderId="1" xfId="0" applyNumberFormat="1" applyFont="1" applyFill="1" applyBorder="1" applyAlignment="1" applyProtection="1">
      <alignment horizontal="center" vertical="center" wrapText="1" shrinkToFit="1"/>
      <protection locked="0"/>
    </xf>
    <xf numFmtId="1" fontId="5" fillId="0" borderId="0" xfId="0" applyNumberFormat="1" applyFont="1" applyAlignment="1" applyProtection="1">
      <alignment horizontal="center" vertical="center" wrapText="1" shrinkToFit="1"/>
      <protection locked="0"/>
    </xf>
    <xf numFmtId="0" fontId="8" fillId="15" borderId="1" xfId="0" applyFont="1" applyFill="1" applyBorder="1" applyAlignment="1">
      <alignment horizontal="centerContinuous" vertical="center"/>
    </xf>
    <xf numFmtId="0" fontId="13" fillId="15" borderId="1" xfId="0" applyFont="1" applyFill="1" applyBorder="1" applyAlignment="1">
      <alignment horizontal="centerContinuous" vertical="center"/>
    </xf>
    <xf numFmtId="0" fontId="8" fillId="14" borderId="15" xfId="0" applyFont="1" applyFill="1" applyBorder="1" applyAlignment="1">
      <alignment horizontal="centerContinuous" vertical="center"/>
    </xf>
    <xf numFmtId="0" fontId="13" fillId="14" borderId="15" xfId="0" applyFont="1" applyFill="1" applyBorder="1" applyAlignment="1">
      <alignment horizontal="centerContinuous" vertical="center"/>
    </xf>
    <xf numFmtId="0" fontId="17" fillId="14" borderId="13" xfId="5" applyNumberFormat="1" applyFont="1" applyFill="1" applyBorder="1" applyAlignment="1" applyProtection="1">
      <alignment horizontal="center" vertical="center" wrapText="1"/>
      <protection locked="0"/>
    </xf>
    <xf numFmtId="0" fontId="5" fillId="0" borderId="0" xfId="0" applyFont="1" applyAlignment="1">
      <alignment horizontal="left" vertical="center"/>
    </xf>
    <xf numFmtId="0" fontId="19" fillId="0" borderId="0" xfId="0" applyFont="1" applyAlignment="1">
      <alignment horizontal="left" vertical="center"/>
    </xf>
    <xf numFmtId="0" fontId="4" fillId="0" borderId="0" xfId="0" applyFont="1" applyAlignment="1">
      <alignment horizontal="center" textRotation="90"/>
    </xf>
    <xf numFmtId="14" fontId="19" fillId="2" borderId="0" xfId="0" applyNumberFormat="1" applyFont="1" applyFill="1" applyAlignment="1" applyProtection="1">
      <alignment horizontal="center" vertical="center"/>
      <protection locked="0"/>
    </xf>
    <xf numFmtId="0" fontId="5" fillId="16" borderId="0" xfId="0" applyFont="1" applyFill="1" applyAlignment="1">
      <alignment horizontal="center" vertical="center"/>
    </xf>
    <xf numFmtId="0" fontId="0" fillId="16" borderId="0" xfId="0" applyFill="1" applyAlignment="1">
      <alignment horizontal="center" vertical="center"/>
    </xf>
    <xf numFmtId="0" fontId="5" fillId="17" borderId="0" xfId="0" applyFont="1" applyFill="1" applyAlignment="1">
      <alignment horizontal="center" vertical="center"/>
    </xf>
    <xf numFmtId="0" fontId="0" fillId="17" borderId="0" xfId="0" applyFill="1" applyAlignment="1">
      <alignment horizontal="center" vertical="center"/>
    </xf>
    <xf numFmtId="164" fontId="5" fillId="2" borderId="0" xfId="0" applyNumberFormat="1" applyFont="1" applyFill="1" applyAlignment="1" applyProtection="1">
      <alignment horizontal="center" vertical="center"/>
      <protection locked="0"/>
    </xf>
    <xf numFmtId="1" fontId="5" fillId="2" borderId="1" xfId="0" applyNumberFormat="1" applyFont="1" applyFill="1" applyBorder="1" applyAlignment="1" applyProtection="1">
      <alignment horizontal="center" vertical="center" wrapText="1" shrinkToFit="1"/>
      <protection locked="0"/>
    </xf>
    <xf numFmtId="1" fontId="5" fillId="9" borderId="1" xfId="0" applyNumberFormat="1" applyFont="1" applyFill="1" applyBorder="1" applyAlignment="1">
      <alignment horizontal="center" vertical="center" wrapText="1" shrinkToFit="1"/>
    </xf>
    <xf numFmtId="1" fontId="5" fillId="7" borderId="1" xfId="0" applyNumberFormat="1" applyFont="1" applyFill="1" applyBorder="1" applyAlignment="1">
      <alignment horizontal="center" vertical="center" wrapText="1" shrinkToFit="1"/>
    </xf>
    <xf numFmtId="1" fontId="5" fillId="8" borderId="1" xfId="0" applyNumberFormat="1" applyFont="1" applyFill="1" applyBorder="1" applyAlignment="1" applyProtection="1">
      <alignment horizontal="center" vertical="center" wrapText="1" shrinkToFit="1"/>
      <protection locked="0"/>
    </xf>
    <xf numFmtId="1" fontId="10" fillId="9" borderId="1" xfId="0" applyNumberFormat="1" applyFont="1" applyFill="1" applyBorder="1" applyAlignment="1">
      <alignment horizontal="center" vertical="center" wrapText="1" shrinkToFit="1"/>
    </xf>
    <xf numFmtId="1" fontId="5" fillId="5" borderId="1" xfId="0" applyNumberFormat="1" applyFont="1" applyFill="1" applyBorder="1" applyAlignment="1" applyProtection="1">
      <alignment horizontal="center" vertical="center" wrapText="1" shrinkToFit="1"/>
      <protection locked="0"/>
    </xf>
    <xf numFmtId="1" fontId="5" fillId="6" borderId="1" xfId="0" applyNumberFormat="1" applyFont="1" applyFill="1" applyBorder="1" applyAlignment="1" applyProtection="1">
      <alignment horizontal="center" vertical="center" wrapText="1" shrinkToFit="1"/>
      <protection locked="0"/>
    </xf>
    <xf numFmtId="1" fontId="10" fillId="0" borderId="1" xfId="0" applyNumberFormat="1" applyFont="1" applyBorder="1" applyAlignment="1">
      <alignment horizontal="center" vertical="center" wrapText="1" shrinkToFit="1"/>
    </xf>
    <xf numFmtId="1" fontId="5" fillId="0" borderId="0" xfId="0" applyNumberFormat="1" applyFont="1" applyAlignment="1">
      <alignment horizontal="center" vertical="center" wrapText="1" shrinkToFit="1"/>
    </xf>
    <xf numFmtId="0" fontId="5" fillId="0" borderId="0" xfId="0" applyFont="1" applyAlignment="1">
      <alignment horizontal="center"/>
    </xf>
    <xf numFmtId="14" fontId="5" fillId="0" borderId="0" xfId="0" applyNumberFormat="1" applyFont="1" applyAlignment="1">
      <alignment horizontal="center"/>
    </xf>
    <xf numFmtId="169" fontId="4" fillId="0" borderId="0" xfId="0" applyNumberFormat="1" applyFont="1" applyAlignment="1">
      <alignment horizontal="center"/>
    </xf>
    <xf numFmtId="166" fontId="20" fillId="11" borderId="9" xfId="0" applyNumberFormat="1" applyFont="1" applyFill="1" applyBorder="1" applyAlignment="1" applyProtection="1">
      <alignment horizontal="center" vertical="center" wrapText="1"/>
      <protection locked="0"/>
    </xf>
    <xf numFmtId="166" fontId="20" fillId="10" borderId="6" xfId="0" applyNumberFormat="1" applyFont="1" applyFill="1" applyBorder="1" applyAlignment="1" applyProtection="1">
      <alignment horizontal="center" vertical="center" wrapText="1"/>
      <protection locked="0"/>
    </xf>
    <xf numFmtId="166" fontId="20" fillId="11" borderId="9" xfId="0" applyNumberFormat="1" applyFont="1" applyFill="1" applyBorder="1" applyAlignment="1" applyProtection="1">
      <alignment horizontal="center" vertical="center" wrapText="1" shrinkToFit="1"/>
      <protection locked="0"/>
    </xf>
    <xf numFmtId="166" fontId="20" fillId="10" borderId="6" xfId="0" applyNumberFormat="1" applyFont="1" applyFill="1" applyBorder="1" applyAlignment="1" applyProtection="1">
      <alignment horizontal="center" vertical="center" wrapText="1" shrinkToFit="1"/>
      <protection locked="0"/>
    </xf>
    <xf numFmtId="165" fontId="20" fillId="0" borderId="1" xfId="0" applyNumberFormat="1" applyFont="1" applyBorder="1" applyAlignment="1" applyProtection="1">
      <alignment horizontal="center" vertical="center" wrapText="1" shrinkToFit="1"/>
      <protection locked="0"/>
    </xf>
    <xf numFmtId="165" fontId="21" fillId="0" borderId="1" xfId="0" applyNumberFormat="1" applyFont="1" applyBorder="1" applyAlignment="1" applyProtection="1">
      <alignment horizontal="center" vertical="center" wrapText="1" shrinkToFit="1"/>
      <protection locked="0"/>
    </xf>
    <xf numFmtId="0" fontId="22" fillId="0" borderId="0" xfId="0" applyFont="1" applyAlignment="1">
      <alignment horizontal="left" vertical="center"/>
    </xf>
    <xf numFmtId="0" fontId="13" fillId="0" borderId="0" xfId="0" applyFont="1" applyAlignment="1">
      <alignment horizontal="left" vertical="center"/>
    </xf>
    <xf numFmtId="1" fontId="13" fillId="4" borderId="1" xfId="0" applyNumberFormat="1" applyFont="1" applyFill="1" applyBorder="1" applyAlignment="1" applyProtection="1">
      <alignment horizontal="center" vertical="center" wrapText="1" shrinkToFit="1"/>
      <protection locked="0"/>
    </xf>
    <xf numFmtId="0" fontId="13" fillId="0" borderId="0" xfId="0" applyFont="1"/>
    <xf numFmtId="1" fontId="5" fillId="0" borderId="0" xfId="0" applyNumberFormat="1" applyFont="1"/>
    <xf numFmtId="14" fontId="5" fillId="16" borderId="0" xfId="0" applyNumberFormat="1" applyFont="1" applyFill="1" applyAlignment="1">
      <alignment horizontal="center" vertical="center"/>
    </xf>
    <xf numFmtId="14" fontId="5" fillId="17" borderId="0" xfId="0" applyNumberFormat="1" applyFont="1" applyFill="1" applyAlignment="1">
      <alignment horizontal="center" vertical="center"/>
    </xf>
    <xf numFmtId="170" fontId="26" fillId="0" borderId="0" xfId="6" applyNumberFormat="1" applyFont="1"/>
    <xf numFmtId="0" fontId="26" fillId="0" borderId="0" xfId="6" applyFont="1"/>
    <xf numFmtId="1" fontId="1" fillId="0" borderId="0" xfId="6" applyNumberFormat="1"/>
    <xf numFmtId="170" fontId="1" fillId="0" borderId="0" xfId="6" applyNumberFormat="1"/>
    <xf numFmtId="0" fontId="1" fillId="0" borderId="0" xfId="6"/>
    <xf numFmtId="171" fontId="26" fillId="0" borderId="0" xfId="6" applyNumberFormat="1" applyFont="1"/>
    <xf numFmtId="170" fontId="1" fillId="0" borderId="0" xfId="6" applyNumberFormat="1" applyAlignment="1">
      <alignment shrinkToFit="1"/>
    </xf>
    <xf numFmtId="172" fontId="20" fillId="11" borderId="9" xfId="0" applyNumberFormat="1" applyFont="1" applyFill="1" applyBorder="1" applyAlignment="1" applyProtection="1">
      <alignment horizontal="center" vertical="center" wrapText="1"/>
      <protection locked="0"/>
    </xf>
    <xf numFmtId="172" fontId="20" fillId="11" borderId="9" xfId="0" applyNumberFormat="1" applyFont="1" applyFill="1" applyBorder="1" applyAlignment="1" applyProtection="1">
      <alignment horizontal="center" vertical="center" wrapText="1" shrinkToFit="1"/>
      <protection locked="0"/>
    </xf>
    <xf numFmtId="168" fontId="5" fillId="11" borderId="17" xfId="0" applyNumberFormat="1" applyFont="1" applyFill="1" applyBorder="1" applyAlignment="1" applyProtection="1">
      <alignment horizontal="center" vertical="center" wrapText="1" shrinkToFit="1"/>
      <protection locked="0"/>
    </xf>
    <xf numFmtId="168" fontId="13" fillId="4" borderId="17" xfId="0" applyNumberFormat="1" applyFont="1" applyFill="1" applyBorder="1" applyAlignment="1" applyProtection="1">
      <alignment horizontal="center" vertical="center" wrapText="1" shrinkToFit="1"/>
      <protection locked="0"/>
    </xf>
    <xf numFmtId="168" fontId="8" fillId="14" borderId="23" xfId="0" applyNumberFormat="1" applyFont="1" applyFill="1" applyBorder="1" applyAlignment="1">
      <alignment horizontal="centerContinuous" vertical="center"/>
    </xf>
    <xf numFmtId="168" fontId="13" fillId="6" borderId="17" xfId="0" quotePrefix="1" applyNumberFormat="1" applyFont="1" applyFill="1" applyBorder="1" applyAlignment="1" applyProtection="1">
      <alignment vertical="center" wrapText="1" shrinkToFit="1"/>
      <protection locked="0"/>
    </xf>
    <xf numFmtId="0" fontId="24" fillId="0" borderId="0" xfId="0" applyFont="1"/>
    <xf numFmtId="0" fontId="7" fillId="0" borderId="0" xfId="0" applyFont="1"/>
    <xf numFmtId="166" fontId="0" fillId="0" borderId="0" xfId="0" applyNumberFormat="1"/>
    <xf numFmtId="2" fontId="13" fillId="14" borderId="18" xfId="0" applyNumberFormat="1" applyFont="1" applyFill="1" applyBorder="1" applyAlignment="1" applyProtection="1">
      <alignment vertical="center" wrapText="1"/>
      <protection locked="0"/>
    </xf>
    <xf numFmtId="0" fontId="20" fillId="0" borderId="0" xfId="0" applyFont="1" applyAlignment="1">
      <alignment horizontal="center" vertical="center" wrapText="1"/>
    </xf>
    <xf numFmtId="165" fontId="20" fillId="11" borderId="6" xfId="0" applyNumberFormat="1" applyFont="1" applyFill="1" applyBorder="1" applyAlignment="1" applyProtection="1">
      <alignment horizontal="center" vertical="center" wrapText="1" shrinkToFit="1"/>
      <protection locked="0"/>
    </xf>
    <xf numFmtId="166" fontId="17" fillId="3" borderId="13" xfId="0" applyNumberFormat="1" applyFont="1" applyFill="1" applyBorder="1" applyAlignment="1">
      <alignment horizontal="center" vertical="center" wrapText="1"/>
    </xf>
    <xf numFmtId="0" fontId="17" fillId="3" borderId="13" xfId="0" applyFont="1" applyFill="1" applyBorder="1" applyAlignment="1">
      <alignment horizontal="center" vertical="center" wrapText="1"/>
    </xf>
    <xf numFmtId="165" fontId="17" fillId="4" borderId="6" xfId="0" applyNumberFormat="1" applyFont="1" applyFill="1" applyBorder="1" applyAlignment="1" applyProtection="1">
      <alignment horizontal="center" vertical="center" wrapText="1" shrinkToFit="1"/>
      <protection locked="0"/>
    </xf>
    <xf numFmtId="0" fontId="17" fillId="14" borderId="12" xfId="5" applyNumberFormat="1" applyFont="1" applyFill="1" applyBorder="1" applyAlignment="1">
      <alignment horizontal="center" vertical="center" wrapText="1"/>
    </xf>
    <xf numFmtId="165" fontId="17" fillId="6" borderId="6" xfId="0" applyNumberFormat="1" applyFont="1" applyFill="1" applyBorder="1" applyAlignment="1" applyProtection="1">
      <alignment horizontal="center" vertical="center" wrapText="1" shrinkToFit="1"/>
      <protection locked="0"/>
    </xf>
    <xf numFmtId="165" fontId="20" fillId="10" borderId="6" xfId="0" applyNumberFormat="1" applyFont="1" applyFill="1" applyBorder="1" applyAlignment="1" applyProtection="1">
      <alignment horizontal="center" vertical="center" wrapText="1"/>
      <protection locked="0"/>
    </xf>
    <xf numFmtId="173" fontId="17" fillId="4" borderId="6" xfId="0" applyNumberFormat="1" applyFont="1" applyFill="1" applyBorder="1" applyAlignment="1" applyProtection="1">
      <alignment horizontal="center" vertical="center" wrapText="1"/>
      <protection locked="0"/>
    </xf>
    <xf numFmtId="173" fontId="17" fillId="6" borderId="6" xfId="0" applyNumberFormat="1" applyFont="1" applyFill="1" applyBorder="1" applyAlignment="1" applyProtection="1">
      <alignment horizontal="center" vertical="center" wrapText="1"/>
      <protection locked="0"/>
    </xf>
    <xf numFmtId="166" fontId="17" fillId="6" borderId="6" xfId="0" applyNumberFormat="1" applyFont="1" applyFill="1" applyBorder="1" applyAlignment="1" applyProtection="1">
      <alignment horizontal="center" vertical="center" wrapText="1"/>
      <protection locked="0"/>
    </xf>
    <xf numFmtId="166" fontId="17" fillId="6" borderId="6" xfId="0" applyNumberFormat="1" applyFont="1" applyFill="1" applyBorder="1" applyAlignment="1" applyProtection="1">
      <alignment horizontal="center" vertical="center" wrapText="1" shrinkToFit="1"/>
      <protection locked="0"/>
    </xf>
    <xf numFmtId="0" fontId="5" fillId="18" borderId="0" xfId="0" applyFont="1" applyFill="1" applyAlignment="1">
      <alignment horizontal="left" vertical="center" indent="1"/>
    </xf>
    <xf numFmtId="0" fontId="0" fillId="18" borderId="0" xfId="0" applyFill="1" applyAlignment="1">
      <alignment vertical="center"/>
    </xf>
    <xf numFmtId="168" fontId="5" fillId="18" borderId="0" xfId="0" applyNumberFormat="1" applyFont="1" applyFill="1" applyAlignment="1">
      <alignment horizontal="center" vertical="center" wrapText="1" shrinkToFit="1"/>
    </xf>
    <xf numFmtId="0" fontId="0" fillId="18" borderId="0" xfId="0" applyFill="1" applyAlignment="1">
      <alignment horizontal="center" vertical="center"/>
    </xf>
    <xf numFmtId="167" fontId="5" fillId="18" borderId="0" xfId="0" applyNumberFormat="1" applyFont="1" applyFill="1" applyAlignment="1">
      <alignment horizontal="center" vertical="center" wrapText="1" shrinkToFit="1"/>
    </xf>
    <xf numFmtId="0" fontId="8" fillId="14" borderId="22" xfId="0" applyFont="1" applyFill="1" applyBorder="1" applyAlignment="1">
      <alignment horizontal="centerContinuous" vertical="center"/>
    </xf>
    <xf numFmtId="168" fontId="8" fillId="14" borderId="0" xfId="0" applyNumberFormat="1" applyFont="1" applyFill="1" applyAlignment="1">
      <alignment horizontal="centerContinuous" vertical="center"/>
    </xf>
    <xf numFmtId="0" fontId="13" fillId="14" borderId="22" xfId="0" applyFont="1" applyFill="1" applyBorder="1" applyAlignment="1">
      <alignment horizontal="centerContinuous" vertical="center"/>
    </xf>
    <xf numFmtId="168" fontId="8" fillId="14" borderId="22" xfId="0" applyNumberFormat="1" applyFont="1" applyFill="1" applyBorder="1" applyAlignment="1">
      <alignment horizontal="left" vertical="center"/>
    </xf>
    <xf numFmtId="0" fontId="16" fillId="15" borderId="1" xfId="0" applyFont="1" applyFill="1" applyBorder="1" applyAlignment="1">
      <alignment horizontal="left" vertical="center"/>
    </xf>
    <xf numFmtId="0" fontId="30" fillId="9" borderId="3" xfId="0" applyFont="1" applyFill="1" applyBorder="1" applyAlignment="1">
      <alignment horizontal="centerContinuous" vertical="center" wrapText="1"/>
    </xf>
    <xf numFmtId="0" fontId="30" fillId="9" borderId="1" xfId="0" applyFont="1" applyFill="1" applyBorder="1" applyAlignment="1">
      <alignment horizontal="centerContinuous" vertical="center"/>
    </xf>
    <xf numFmtId="14" fontId="30" fillId="9" borderId="1" xfId="0" applyNumberFormat="1" applyFont="1" applyFill="1" applyBorder="1" applyAlignment="1">
      <alignment horizontal="centerContinuous" vertical="center"/>
    </xf>
    <xf numFmtId="0" fontId="30" fillId="9" borderId="9" xfId="0" applyFont="1" applyFill="1" applyBorder="1" applyAlignment="1">
      <alignment horizontal="centerContinuous" vertical="center"/>
    </xf>
    <xf numFmtId="0" fontId="31" fillId="9" borderId="3" xfId="0" applyFont="1" applyFill="1" applyBorder="1" applyAlignment="1">
      <alignment horizontal="left" vertical="center"/>
    </xf>
    <xf numFmtId="0" fontId="13" fillId="14" borderId="22" xfId="0" applyFont="1" applyFill="1" applyBorder="1" applyAlignment="1">
      <alignment horizontal="left" vertical="center"/>
    </xf>
    <xf numFmtId="166" fontId="30" fillId="9" borderId="1" xfId="0" applyNumberFormat="1" applyFont="1" applyFill="1" applyBorder="1" applyAlignment="1">
      <alignment horizontal="centerContinuous" vertical="center"/>
    </xf>
    <xf numFmtId="0" fontId="32" fillId="13" borderId="4" xfId="0" applyFont="1" applyFill="1" applyBorder="1" applyAlignment="1">
      <alignment horizontal="centerContinuous" vertical="center"/>
    </xf>
    <xf numFmtId="0" fontId="32" fillId="13" borderId="0" xfId="0" applyFont="1" applyFill="1" applyAlignment="1">
      <alignment horizontal="centerContinuous" vertical="center"/>
    </xf>
    <xf numFmtId="166" fontId="32" fillId="13" borderId="0" xfId="0" applyNumberFormat="1" applyFont="1" applyFill="1" applyAlignment="1">
      <alignment horizontal="centerContinuous" vertical="center"/>
    </xf>
    <xf numFmtId="0" fontId="32" fillId="13" borderId="5" xfId="0" applyFont="1" applyFill="1" applyBorder="1" applyAlignment="1">
      <alignment horizontal="centerContinuous" vertical="center"/>
    </xf>
    <xf numFmtId="0" fontId="12" fillId="0" borderId="0" xfId="0" applyFont="1" applyAlignment="1">
      <alignment horizontal="right" vertical="center" wrapText="1"/>
    </xf>
    <xf numFmtId="0" fontId="23" fillId="0" borderId="5" xfId="0" applyFont="1" applyBorder="1"/>
    <xf numFmtId="0" fontId="24" fillId="0" borderId="29" xfId="0" applyFont="1" applyBorder="1"/>
    <xf numFmtId="174" fontId="0" fillId="16" borderId="0" xfId="0" applyNumberFormat="1" applyFill="1" applyAlignment="1">
      <alignment horizontal="center" vertical="center"/>
    </xf>
    <xf numFmtId="174" fontId="5" fillId="0" borderId="0" xfId="0" applyNumberFormat="1" applyFont="1" applyAlignment="1" applyProtection="1">
      <alignment horizontal="center" vertical="center" wrapText="1" shrinkToFit="1"/>
      <protection locked="0"/>
    </xf>
    <xf numFmtId="168" fontId="5" fillId="10" borderId="17" xfId="0" quotePrefix="1" applyNumberFormat="1" applyFont="1" applyFill="1" applyBorder="1" applyAlignment="1" applyProtection="1">
      <alignment vertical="center" wrapText="1" shrinkToFit="1"/>
      <protection locked="0"/>
    </xf>
    <xf numFmtId="0" fontId="30" fillId="0" borderId="1" xfId="0" applyFont="1" applyBorder="1" applyAlignment="1">
      <alignment horizontal="centerContinuous" vertical="center"/>
    </xf>
    <xf numFmtId="0" fontId="28" fillId="16" borderId="0" xfId="0" applyFont="1" applyFill="1" applyAlignment="1">
      <alignment vertical="center"/>
    </xf>
    <xf numFmtId="0" fontId="0" fillId="16" borderId="0" xfId="0" applyFill="1"/>
    <xf numFmtId="166" fontId="0" fillId="16" borderId="0" xfId="0" applyNumberFormat="1" applyFill="1"/>
    <xf numFmtId="1" fontId="36" fillId="18" borderId="1" xfId="0" applyNumberFormat="1" applyFont="1" applyFill="1" applyBorder="1" applyAlignment="1">
      <alignment horizontal="left" vertical="center"/>
    </xf>
    <xf numFmtId="0" fontId="38" fillId="18" borderId="2" xfId="0" applyFont="1" applyFill="1" applyBorder="1" applyAlignment="1">
      <alignment vertical="center"/>
    </xf>
    <xf numFmtId="0" fontId="37" fillId="0" borderId="0" xfId="0" applyFont="1" applyAlignment="1">
      <alignment vertical="center"/>
    </xf>
    <xf numFmtId="165" fontId="20" fillId="0" borderId="0" xfId="0" applyNumberFormat="1" applyFont="1" applyAlignment="1">
      <alignment horizontal="center" vertical="center" wrapText="1"/>
    </xf>
    <xf numFmtId="165" fontId="20" fillId="0" borderId="2" xfId="0" applyNumberFormat="1" applyFont="1" applyBorder="1" applyAlignment="1" applyProtection="1">
      <alignment horizontal="center" vertical="center" wrapText="1"/>
      <protection locked="0"/>
    </xf>
    <xf numFmtId="165" fontId="20" fillId="19" borderId="6" xfId="0" applyNumberFormat="1" applyFont="1" applyFill="1" applyBorder="1" applyAlignment="1">
      <alignment horizontal="center" vertical="center" wrapText="1"/>
    </xf>
    <xf numFmtId="166" fontId="20" fillId="19" borderId="6" xfId="0" applyNumberFormat="1" applyFont="1" applyFill="1" applyBorder="1" applyAlignment="1" applyProtection="1">
      <alignment horizontal="center" vertical="center" wrapText="1" shrinkToFit="1"/>
      <protection locked="0"/>
    </xf>
    <xf numFmtId="166" fontId="20" fillId="19" borderId="6" xfId="0" applyNumberFormat="1" applyFont="1" applyFill="1" applyBorder="1" applyAlignment="1" applyProtection="1">
      <alignment horizontal="center" vertical="center" wrapText="1"/>
      <protection locked="0"/>
    </xf>
    <xf numFmtId="165" fontId="20" fillId="19" borderId="6" xfId="0" applyNumberFormat="1" applyFont="1" applyFill="1" applyBorder="1" applyAlignment="1" applyProtection="1">
      <alignment horizontal="center" vertical="center" wrapText="1" shrinkToFit="1"/>
      <protection locked="0"/>
    </xf>
    <xf numFmtId="172" fontId="20" fillId="19" borderId="9" xfId="0" applyNumberFormat="1" applyFont="1" applyFill="1" applyBorder="1" applyAlignment="1" applyProtection="1">
      <alignment horizontal="center" vertical="center" wrapText="1" shrinkToFit="1"/>
      <protection locked="0"/>
    </xf>
    <xf numFmtId="172" fontId="20" fillId="19" borderId="9" xfId="0" applyNumberFormat="1" applyFont="1" applyFill="1" applyBorder="1" applyAlignment="1" applyProtection="1">
      <alignment horizontal="center" vertical="center" wrapText="1"/>
      <protection locked="0"/>
    </xf>
    <xf numFmtId="0" fontId="5" fillId="21" borderId="2" xfId="0" applyFont="1" applyFill="1" applyBorder="1" applyAlignment="1">
      <alignment horizontal="left" vertical="center" indent="1"/>
    </xf>
    <xf numFmtId="0" fontId="0" fillId="21" borderId="27" xfId="0" applyFill="1" applyBorder="1" applyAlignment="1">
      <alignment horizontal="center" vertical="center"/>
    </xf>
    <xf numFmtId="0" fontId="15" fillId="21" borderId="3" xfId="0" applyFont="1" applyFill="1" applyBorder="1" applyAlignment="1">
      <alignment horizontal="left" vertical="center" indent="1"/>
    </xf>
    <xf numFmtId="0" fontId="13" fillId="21" borderId="3" xfId="0" applyFont="1" applyFill="1" applyBorder="1" applyAlignment="1">
      <alignment vertical="center"/>
    </xf>
    <xf numFmtId="0" fontId="5" fillId="21" borderId="1" xfId="0" applyFont="1" applyFill="1" applyBorder="1" applyAlignment="1">
      <alignment horizontal="left" vertical="center" indent="1"/>
    </xf>
    <xf numFmtId="0" fontId="0" fillId="21" borderId="3" xfId="0" applyFill="1" applyBorder="1" applyAlignment="1">
      <alignment vertical="center"/>
    </xf>
    <xf numFmtId="0" fontId="0" fillId="21" borderId="0" xfId="0" applyFill="1" applyAlignment="1">
      <alignment vertical="center"/>
    </xf>
    <xf numFmtId="0" fontId="0" fillId="21" borderId="28" xfId="0" applyFill="1" applyBorder="1" applyAlignment="1">
      <alignment horizontal="center" vertical="center"/>
    </xf>
    <xf numFmtId="0" fontId="13" fillId="21" borderId="1" xfId="0" applyFont="1" applyFill="1" applyBorder="1" applyAlignment="1">
      <alignment vertical="center"/>
    </xf>
    <xf numFmtId="0" fontId="0" fillId="21" borderId="0" xfId="0" applyFill="1" applyAlignment="1">
      <alignment horizontal="center" vertical="center"/>
    </xf>
    <xf numFmtId="0" fontId="0" fillId="21" borderId="2" xfId="0" applyFill="1" applyBorder="1" applyAlignment="1">
      <alignment horizontal="center" vertical="center"/>
    </xf>
    <xf numFmtId="0" fontId="0" fillId="21" borderId="1" xfId="0" applyFill="1" applyBorder="1" applyAlignment="1">
      <alignment vertical="center"/>
    </xf>
    <xf numFmtId="0" fontId="0" fillId="21" borderId="2" xfId="0" applyFill="1" applyBorder="1" applyAlignment="1">
      <alignment vertical="center"/>
    </xf>
    <xf numFmtId="166" fontId="20" fillId="22" borderId="6" xfId="0" applyNumberFormat="1" applyFont="1" applyFill="1" applyBorder="1" applyAlignment="1" applyProtection="1">
      <alignment horizontal="center" vertical="center" wrapText="1"/>
      <protection locked="0"/>
    </xf>
    <xf numFmtId="168" fontId="5" fillId="22" borderId="17" xfId="0" applyNumberFormat="1" applyFont="1" applyFill="1" applyBorder="1" applyAlignment="1" applyProtection="1">
      <alignment horizontal="center" vertical="center" wrapText="1" shrinkToFit="1"/>
      <protection locked="0"/>
    </xf>
    <xf numFmtId="0" fontId="5" fillId="21" borderId="26" xfId="0" applyFont="1" applyFill="1" applyBorder="1" applyAlignment="1">
      <alignment horizontal="left" vertical="center" indent="1"/>
    </xf>
    <xf numFmtId="0" fontId="15" fillId="21" borderId="10" xfId="0" applyFont="1" applyFill="1" applyBorder="1" applyAlignment="1">
      <alignment horizontal="left" vertical="center" indent="1"/>
    </xf>
    <xf numFmtId="0" fontId="5" fillId="21" borderId="8" xfId="0" applyFont="1" applyFill="1" applyBorder="1" applyAlignment="1">
      <alignment horizontal="left" vertical="center" indent="1"/>
    </xf>
    <xf numFmtId="0" fontId="5" fillId="21" borderId="10" xfId="0" applyFont="1" applyFill="1" applyBorder="1" applyAlignment="1">
      <alignment horizontal="left" vertical="center" indent="1"/>
    </xf>
    <xf numFmtId="168" fontId="29" fillId="21" borderId="1" xfId="0" applyNumberFormat="1" applyFont="1" applyFill="1" applyBorder="1" applyAlignment="1" applyProtection="1">
      <alignment vertical="center" wrapText="1"/>
      <protection locked="0"/>
    </xf>
    <xf numFmtId="0" fontId="0" fillId="21" borderId="3" xfId="0" applyFill="1" applyBorder="1" applyAlignment="1">
      <alignment vertical="center" wrapText="1"/>
    </xf>
    <xf numFmtId="0" fontId="8" fillId="21" borderId="0" xfId="0" applyFont="1" applyFill="1" applyAlignment="1">
      <alignment vertical="center"/>
    </xf>
    <xf numFmtId="0" fontId="0" fillId="21" borderId="5" xfId="0" applyFill="1" applyBorder="1" applyAlignment="1">
      <alignment vertical="center"/>
    </xf>
    <xf numFmtId="0" fontId="5" fillId="21" borderId="0" xfId="0" applyFont="1" applyFill="1" applyAlignment="1">
      <alignment vertical="center"/>
    </xf>
    <xf numFmtId="0" fontId="20" fillId="0" borderId="0" xfId="5" applyNumberFormat="1" applyFont="1" applyAlignment="1">
      <alignment horizontal="center" vertical="center" wrapText="1"/>
    </xf>
    <xf numFmtId="0" fontId="42" fillId="3" borderId="0" xfId="5" applyNumberFormat="1" applyFont="1" applyFill="1" applyAlignment="1">
      <alignment horizontal="center" vertical="center" wrapText="1"/>
    </xf>
    <xf numFmtId="0" fontId="42" fillId="3" borderId="0" xfId="0" applyFont="1" applyFill="1" applyAlignment="1">
      <alignment horizontal="center" vertical="center" wrapText="1"/>
    </xf>
    <xf numFmtId="0" fontId="42" fillId="20" borderId="0" xfId="5" applyNumberFormat="1" applyFont="1" applyFill="1" applyAlignment="1">
      <alignment horizontal="center" vertical="center" wrapText="1"/>
    </xf>
    <xf numFmtId="0" fontId="42" fillId="20" borderId="0" xfId="0" applyFont="1" applyFill="1" applyAlignment="1">
      <alignment horizontal="center" vertical="center" wrapText="1"/>
    </xf>
    <xf numFmtId="2" fontId="17" fillId="14" borderId="13" xfId="5" applyNumberFormat="1" applyFont="1" applyFill="1" applyBorder="1" applyAlignment="1" applyProtection="1">
      <alignment horizontal="center" vertical="center" wrapText="1"/>
      <protection locked="0"/>
    </xf>
    <xf numFmtId="0" fontId="43" fillId="0" borderId="0" xfId="0" applyFont="1" applyAlignment="1">
      <alignment horizontal="center" vertical="center" wrapText="1"/>
    </xf>
    <xf numFmtId="0" fontId="44" fillId="14" borderId="11" xfId="4" applyFont="1" applyFill="1" applyBorder="1" applyAlignment="1">
      <alignment horizontal="center" vertical="center" wrapText="1"/>
    </xf>
    <xf numFmtId="165" fontId="44" fillId="14" borderId="13" xfId="0" applyNumberFormat="1" applyFont="1" applyFill="1" applyBorder="1" applyAlignment="1" applyProtection="1">
      <alignment horizontal="center" vertical="center" wrapText="1"/>
      <protection locked="0"/>
    </xf>
    <xf numFmtId="0" fontId="44" fillId="14" borderId="12" xfId="4" applyFont="1" applyFill="1" applyBorder="1" applyAlignment="1">
      <alignment horizontal="center" vertical="center" wrapText="1"/>
    </xf>
    <xf numFmtId="166" fontId="20" fillId="11" borderId="9" xfId="0" quotePrefix="1" applyNumberFormat="1" applyFont="1" applyFill="1" applyBorder="1" applyAlignment="1" applyProtection="1">
      <alignment horizontal="center" vertical="center" wrapText="1"/>
      <protection locked="0"/>
    </xf>
    <xf numFmtId="1" fontId="5" fillId="16" borderId="0" xfId="0" applyNumberFormat="1" applyFont="1" applyFill="1" applyAlignment="1">
      <alignment horizontal="center" vertical="center"/>
    </xf>
    <xf numFmtId="1" fontId="0" fillId="16" borderId="0" xfId="0" applyNumberFormat="1" applyFill="1" applyAlignment="1">
      <alignment horizontal="center" vertical="center"/>
    </xf>
    <xf numFmtId="3" fontId="0" fillId="16" borderId="0" xfId="0" applyNumberFormat="1" applyFill="1" applyAlignment="1">
      <alignment horizontal="center" vertical="center"/>
    </xf>
    <xf numFmtId="3" fontId="5" fillId="0" borderId="0" xfId="0" applyNumberFormat="1" applyFont="1" applyAlignment="1" applyProtection="1">
      <alignment horizontal="center" vertical="center" wrapText="1" shrinkToFit="1"/>
      <protection locked="0"/>
    </xf>
    <xf numFmtId="0" fontId="20" fillId="3" borderId="0" xfId="0" applyFont="1" applyFill="1" applyAlignment="1">
      <alignment horizontal="center" vertical="center" wrapText="1"/>
    </xf>
    <xf numFmtId="0" fontId="45" fillId="3" borderId="0" xfId="0" applyFont="1" applyFill="1" applyAlignment="1">
      <alignment horizontal="left" vertical="center"/>
    </xf>
    <xf numFmtId="0" fontId="20" fillId="23" borderId="0" xfId="0" applyFont="1" applyFill="1" applyAlignment="1">
      <alignment horizontal="center" vertical="center" wrapText="1"/>
    </xf>
    <xf numFmtId="0" fontId="45" fillId="23" borderId="0" xfId="0" applyFont="1" applyFill="1" applyAlignment="1">
      <alignment horizontal="left" vertical="center"/>
    </xf>
    <xf numFmtId="0" fontId="19" fillId="0" borderId="0" xfId="0" applyFont="1" applyAlignment="1">
      <alignment vertical="center"/>
    </xf>
    <xf numFmtId="0" fontId="5" fillId="17" borderId="0" xfId="0" applyFont="1" applyFill="1" applyAlignment="1">
      <alignment vertical="center"/>
    </xf>
    <xf numFmtId="0" fontId="0" fillId="17" borderId="0" xfId="0" applyFill="1" applyAlignment="1">
      <alignment vertical="center"/>
    </xf>
    <xf numFmtId="0" fontId="5" fillId="16" borderId="0" xfId="0" applyFont="1" applyFill="1" applyAlignment="1">
      <alignment vertical="center"/>
    </xf>
    <xf numFmtId="0" fontId="0" fillId="16" borderId="0" xfId="0" applyFill="1" applyAlignment="1">
      <alignment vertical="center"/>
    </xf>
    <xf numFmtId="1" fontId="5" fillId="16" borderId="0" xfId="0" applyNumberFormat="1" applyFont="1" applyFill="1" applyAlignment="1">
      <alignment vertical="center"/>
    </xf>
    <xf numFmtId="1" fontId="0" fillId="16" borderId="0" xfId="0" applyNumberFormat="1" applyFill="1" applyAlignment="1">
      <alignment vertical="center"/>
    </xf>
    <xf numFmtId="174" fontId="0" fillId="16" borderId="0" xfId="0" applyNumberFormat="1" applyFill="1" applyAlignment="1">
      <alignment vertical="center"/>
    </xf>
    <xf numFmtId="3" fontId="0" fillId="16" borderId="0" xfId="0" applyNumberFormat="1" applyFill="1" applyAlignment="1">
      <alignment vertical="center"/>
    </xf>
    <xf numFmtId="0" fontId="19" fillId="0" borderId="0" xfId="0" applyFont="1" applyAlignment="1">
      <alignment horizontal="right" vertical="center"/>
    </xf>
    <xf numFmtId="173" fontId="17" fillId="4" borderId="9" xfId="0" applyNumberFormat="1" applyFont="1" applyFill="1" applyBorder="1" applyAlignment="1" applyProtection="1">
      <alignment horizontal="center" vertical="center" wrapText="1"/>
      <protection locked="0"/>
    </xf>
    <xf numFmtId="0" fontId="20" fillId="10" borderId="0" xfId="0" applyFont="1" applyFill="1" applyAlignment="1">
      <alignment horizontal="center" vertical="center" wrapText="1"/>
    </xf>
    <xf numFmtId="165" fontId="17" fillId="10" borderId="6" xfId="0" applyNumberFormat="1" applyFont="1" applyFill="1" applyBorder="1" applyAlignment="1" applyProtection="1">
      <alignment horizontal="center" vertical="center" wrapText="1" shrinkToFit="1"/>
      <protection locked="0"/>
    </xf>
    <xf numFmtId="173" fontId="17" fillId="10" borderId="9" xfId="0" applyNumberFormat="1" applyFont="1" applyFill="1" applyBorder="1" applyAlignment="1" applyProtection="1">
      <alignment horizontal="center" vertical="center" wrapText="1"/>
      <protection locked="0"/>
    </xf>
    <xf numFmtId="166" fontId="20" fillId="10" borderId="6" xfId="0" quotePrefix="1" applyNumberFormat="1" applyFont="1" applyFill="1" applyBorder="1" applyAlignment="1" applyProtection="1">
      <alignment horizontal="center" vertical="center" wrapText="1" shrinkToFit="1"/>
      <protection locked="0"/>
    </xf>
    <xf numFmtId="0" fontId="45" fillId="24" borderId="0" xfId="0" applyFont="1" applyFill="1" applyAlignment="1">
      <alignment horizontal="left" vertical="center"/>
    </xf>
    <xf numFmtId="0" fontId="17" fillId="24" borderId="0" xfId="0" applyFont="1" applyFill="1" applyAlignment="1">
      <alignment horizontal="center" vertical="center" wrapText="1"/>
    </xf>
    <xf numFmtId="14" fontId="5" fillId="0" borderId="0" xfId="0" applyNumberFormat="1" applyFont="1"/>
    <xf numFmtId="0" fontId="38" fillId="18" borderId="2" xfId="0" applyFont="1" applyFill="1" applyBorder="1" applyAlignment="1">
      <alignment horizontal="left" vertical="center"/>
    </xf>
    <xf numFmtId="0" fontId="41" fillId="18" borderId="2" xfId="0" applyFont="1" applyFill="1" applyBorder="1" applyAlignment="1">
      <alignment horizontal="left" vertical="center"/>
    </xf>
    <xf numFmtId="0" fontId="46" fillId="18" borderId="2" xfId="0" applyFont="1" applyFill="1" applyBorder="1" applyAlignment="1">
      <alignment horizontal="right" vertical="center"/>
    </xf>
    <xf numFmtId="0" fontId="47" fillId="0" borderId="0" xfId="0" applyFont="1" applyAlignment="1">
      <alignment horizontal="right" vertical="center" wrapText="1"/>
    </xf>
    <xf numFmtId="168" fontId="13" fillId="26" borderId="17" xfId="0" applyNumberFormat="1" applyFont="1" applyFill="1" applyBorder="1" applyAlignment="1" applyProtection="1">
      <alignment horizontal="center" vertical="center" wrapText="1" shrinkToFit="1"/>
      <protection locked="0"/>
    </xf>
    <xf numFmtId="168" fontId="54" fillId="21" borderId="1" xfId="0" applyNumberFormat="1" applyFont="1" applyFill="1" applyBorder="1" applyAlignment="1" applyProtection="1">
      <alignment vertical="center" wrapText="1"/>
      <protection locked="0"/>
    </xf>
    <xf numFmtId="0" fontId="39" fillId="18" borderId="2" xfId="0" applyFont="1" applyFill="1" applyBorder="1" applyAlignment="1" applyProtection="1">
      <alignment horizontal="left" vertical="center"/>
      <protection locked="0"/>
    </xf>
    <xf numFmtId="0" fontId="40" fillId="18" borderId="2" xfId="0" applyFont="1" applyFill="1" applyBorder="1" applyAlignment="1">
      <alignment horizontal="left" vertical="center"/>
    </xf>
    <xf numFmtId="0" fontId="0" fillId="21" borderId="24" xfId="0" applyFill="1" applyBorder="1" applyAlignment="1" applyProtection="1">
      <alignment vertical="center"/>
      <protection locked="0"/>
    </xf>
    <xf numFmtId="168" fontId="5" fillId="21" borderId="0" xfId="0" applyNumberFormat="1" applyFont="1" applyFill="1" applyAlignment="1" applyProtection="1">
      <alignment vertical="center" wrapText="1" shrinkToFit="1"/>
      <protection locked="0"/>
    </xf>
    <xf numFmtId="16" fontId="0" fillId="21" borderId="0" xfId="0" applyNumberFormat="1" applyFill="1" applyAlignment="1" applyProtection="1">
      <alignment horizontal="center" vertical="center"/>
      <protection locked="0"/>
    </xf>
    <xf numFmtId="168" fontId="5" fillId="21" borderId="0" xfId="0" applyNumberFormat="1" applyFont="1" applyFill="1" applyAlignment="1" applyProtection="1">
      <alignment horizontal="center" vertical="center" wrapText="1" shrinkToFit="1"/>
      <protection locked="0"/>
    </xf>
    <xf numFmtId="0" fontId="0" fillId="21" borderId="3" xfId="0" applyFill="1" applyBorder="1" applyAlignment="1" applyProtection="1">
      <alignment horizontal="center" vertical="center"/>
      <protection locked="0"/>
    </xf>
    <xf numFmtId="168" fontId="8" fillId="14" borderId="21" xfId="0" applyNumberFormat="1" applyFont="1" applyFill="1" applyBorder="1" applyAlignment="1" applyProtection="1">
      <alignment horizontal="centerContinuous" vertical="center"/>
      <protection locked="0"/>
    </xf>
    <xf numFmtId="0" fontId="8" fillId="14" borderId="15" xfId="0" applyFont="1" applyFill="1" applyBorder="1" applyAlignment="1" applyProtection="1">
      <alignment horizontal="centerContinuous" vertical="center"/>
      <protection locked="0"/>
    </xf>
    <xf numFmtId="168" fontId="8" fillId="14" borderId="22" xfId="0" applyNumberFormat="1" applyFont="1" applyFill="1" applyBorder="1" applyAlignment="1" applyProtection="1">
      <alignment horizontal="left" vertical="center"/>
      <protection locked="0"/>
    </xf>
    <xf numFmtId="0" fontId="0" fillId="21" borderId="0" xfId="0" applyFill="1" applyAlignment="1" applyProtection="1">
      <alignment vertical="center"/>
      <protection locked="0"/>
    </xf>
    <xf numFmtId="168" fontId="8" fillId="15" borderId="3" xfId="0" applyNumberFormat="1" applyFont="1" applyFill="1" applyBorder="1" applyAlignment="1" applyProtection="1">
      <alignment horizontal="centerContinuous" vertical="center"/>
      <protection locked="0"/>
    </xf>
    <xf numFmtId="0" fontId="8" fillId="15" borderId="1" xfId="0" applyFont="1" applyFill="1" applyBorder="1" applyAlignment="1" applyProtection="1">
      <alignment horizontal="centerContinuous" vertical="center"/>
      <protection locked="0"/>
    </xf>
    <xf numFmtId="168" fontId="8" fillId="15" borderId="2" xfId="0" applyNumberFormat="1" applyFont="1" applyFill="1" applyBorder="1" applyAlignment="1" applyProtection="1">
      <alignment horizontal="centerContinuous" vertical="center"/>
      <protection locked="0"/>
    </xf>
    <xf numFmtId="168" fontId="5" fillId="21" borderId="31" xfId="0" applyNumberFormat="1" applyFont="1" applyFill="1" applyBorder="1" applyAlignment="1" applyProtection="1">
      <alignment horizontal="center" vertical="center" wrapText="1" shrinkToFit="1"/>
      <protection locked="0"/>
    </xf>
    <xf numFmtId="0" fontId="0" fillId="21" borderId="1" xfId="0" applyFill="1" applyBorder="1" applyAlignment="1" applyProtection="1">
      <alignment horizontal="center" vertical="center"/>
      <protection locked="0"/>
    </xf>
    <xf numFmtId="168" fontId="5" fillId="21" borderId="30" xfId="0" applyNumberFormat="1" applyFont="1" applyFill="1" applyBorder="1" applyAlignment="1" applyProtection="1">
      <alignment vertical="center" wrapText="1" shrinkToFit="1"/>
      <protection locked="0"/>
    </xf>
    <xf numFmtId="16" fontId="5" fillId="21" borderId="1" xfId="0" applyNumberFormat="1" applyFont="1" applyFill="1" applyBorder="1" applyAlignment="1" applyProtection="1">
      <alignment horizontal="center" vertical="center"/>
      <protection locked="0"/>
    </xf>
    <xf numFmtId="0" fontId="5" fillId="21" borderId="25" xfId="0" applyFont="1" applyFill="1" applyBorder="1" applyAlignment="1" applyProtection="1">
      <alignment horizontal="center" vertical="center"/>
      <protection locked="0"/>
    </xf>
    <xf numFmtId="0" fontId="0" fillId="21" borderId="3" xfId="0" applyFill="1" applyBorder="1" applyAlignment="1" applyProtection="1">
      <alignment vertical="center" wrapText="1"/>
      <protection locked="0"/>
    </xf>
    <xf numFmtId="168" fontId="5" fillId="21" borderId="32" xfId="0" applyNumberFormat="1" applyFont="1" applyFill="1" applyBorder="1" applyAlignment="1" applyProtection="1">
      <alignment vertical="center" wrapText="1" shrinkToFit="1"/>
      <protection locked="0"/>
    </xf>
    <xf numFmtId="168" fontId="8" fillId="14" borderId="23" xfId="0" applyNumberFormat="1" applyFont="1" applyFill="1" applyBorder="1" applyAlignment="1" applyProtection="1">
      <alignment horizontal="centerContinuous" vertical="center"/>
      <protection locked="0"/>
    </xf>
    <xf numFmtId="168" fontId="8" fillId="15" borderId="14" xfId="0" applyNumberFormat="1" applyFont="1" applyFill="1" applyBorder="1" applyAlignment="1" applyProtection="1">
      <alignment horizontal="centerContinuous" vertical="center"/>
      <protection locked="0"/>
    </xf>
    <xf numFmtId="0" fontId="0" fillId="21" borderId="0" xfId="0" applyFill="1" applyProtection="1">
      <protection locked="0"/>
    </xf>
    <xf numFmtId="165" fontId="20" fillId="0" borderId="0" xfId="0" applyNumberFormat="1" applyFont="1" applyAlignment="1" applyProtection="1">
      <alignment horizontal="center" vertical="center" wrapText="1"/>
      <protection locked="0"/>
    </xf>
    <xf numFmtId="165" fontId="20" fillId="0" borderId="3" xfId="0" applyNumberFormat="1" applyFont="1" applyBorder="1" applyAlignment="1" applyProtection="1">
      <alignment horizontal="center" vertical="center" wrapText="1" shrinkToFit="1"/>
      <protection locked="0"/>
    </xf>
    <xf numFmtId="2" fontId="17" fillId="14" borderId="33" xfId="5" applyNumberFormat="1" applyFont="1" applyFill="1" applyBorder="1" applyAlignment="1" applyProtection="1">
      <alignment horizontal="center" vertical="center" wrapText="1"/>
      <protection locked="0"/>
    </xf>
    <xf numFmtId="166" fontId="20" fillId="11" borderId="11" xfId="0" applyNumberFormat="1" applyFont="1" applyFill="1" applyBorder="1" applyAlignment="1" applyProtection="1">
      <alignment horizontal="center" vertical="center" wrapText="1"/>
      <protection locked="0"/>
    </xf>
    <xf numFmtId="173" fontId="17" fillId="6" borderId="12" xfId="0" applyNumberFormat="1" applyFont="1" applyFill="1" applyBorder="1" applyAlignment="1" applyProtection="1">
      <alignment horizontal="center" vertical="center" wrapText="1"/>
      <protection locked="0"/>
    </xf>
    <xf numFmtId="166" fontId="20" fillId="10" borderId="12" xfId="0" applyNumberFormat="1" applyFont="1" applyFill="1" applyBorder="1" applyAlignment="1" applyProtection="1">
      <alignment horizontal="center" vertical="center" wrapText="1" shrinkToFit="1"/>
      <protection locked="0"/>
    </xf>
    <xf numFmtId="166" fontId="20" fillId="19" borderId="12" xfId="0" applyNumberFormat="1" applyFont="1" applyFill="1" applyBorder="1" applyAlignment="1" applyProtection="1">
      <alignment horizontal="center" vertical="center" wrapText="1"/>
      <protection locked="0"/>
    </xf>
    <xf numFmtId="0" fontId="17" fillId="14" borderId="33" xfId="5" applyNumberFormat="1" applyFont="1" applyFill="1" applyBorder="1" applyAlignment="1" applyProtection="1">
      <alignment horizontal="center" vertical="center" wrapText="1"/>
      <protection locked="0"/>
    </xf>
    <xf numFmtId="166" fontId="20" fillId="11" borderId="11" xfId="0" quotePrefix="1" applyNumberFormat="1" applyFont="1" applyFill="1" applyBorder="1" applyAlignment="1" applyProtection="1">
      <alignment horizontal="center" vertical="center" wrapText="1"/>
      <protection locked="0"/>
    </xf>
    <xf numFmtId="165" fontId="44" fillId="14" borderId="33" xfId="0" applyNumberFormat="1" applyFont="1" applyFill="1" applyBorder="1" applyAlignment="1" applyProtection="1">
      <alignment horizontal="center" vertical="center" wrapText="1"/>
      <protection locked="0"/>
    </xf>
    <xf numFmtId="172" fontId="20" fillId="11" borderId="11" xfId="0" applyNumberFormat="1" applyFont="1" applyFill="1" applyBorder="1" applyAlignment="1" applyProtection="1">
      <alignment horizontal="center" vertical="center" wrapText="1" shrinkToFit="1"/>
      <protection locked="0"/>
    </xf>
    <xf numFmtId="173" fontId="17" fillId="4" borderId="12" xfId="0" applyNumberFormat="1" applyFont="1" applyFill="1" applyBorder="1" applyAlignment="1" applyProtection="1">
      <alignment horizontal="center" vertical="center" wrapText="1"/>
      <protection locked="0"/>
    </xf>
    <xf numFmtId="173" fontId="17" fillId="4" borderId="11" xfId="0" applyNumberFormat="1" applyFont="1" applyFill="1" applyBorder="1" applyAlignment="1" applyProtection="1">
      <alignment horizontal="center" vertical="center" wrapText="1"/>
      <protection locked="0"/>
    </xf>
    <xf numFmtId="173" fontId="17" fillId="10" borderId="11" xfId="0" applyNumberFormat="1" applyFont="1" applyFill="1" applyBorder="1" applyAlignment="1" applyProtection="1">
      <alignment horizontal="center" vertical="center" wrapText="1"/>
      <protection locked="0"/>
    </xf>
    <xf numFmtId="172" fontId="20" fillId="19" borderId="11" xfId="0" applyNumberFormat="1" applyFont="1" applyFill="1" applyBorder="1" applyAlignment="1" applyProtection="1">
      <alignment horizontal="center" vertical="center" wrapText="1" shrinkToFit="1"/>
      <protection locked="0"/>
    </xf>
    <xf numFmtId="0" fontId="20" fillId="0" borderId="0" xfId="5" applyNumberFormat="1" applyFont="1" applyFill="1" applyBorder="1" applyAlignment="1">
      <alignment horizontal="center" vertical="center" wrapText="1"/>
    </xf>
    <xf numFmtId="166" fontId="20" fillId="19" borderId="8" xfId="0" applyNumberFormat="1" applyFont="1" applyFill="1" applyBorder="1" applyAlignment="1" applyProtection="1">
      <alignment horizontal="center" vertical="center" wrapText="1"/>
      <protection locked="0"/>
    </xf>
    <xf numFmtId="172" fontId="20" fillId="19" borderId="1" xfId="0" applyNumberFormat="1" applyFont="1" applyFill="1" applyBorder="1" applyAlignment="1" applyProtection="1">
      <alignment horizontal="center" vertical="center" wrapText="1" shrinkToFit="1"/>
      <protection locked="0"/>
    </xf>
    <xf numFmtId="166" fontId="20" fillId="19" borderId="8" xfId="0" applyNumberFormat="1" applyFont="1" applyFill="1" applyBorder="1" applyAlignment="1" applyProtection="1">
      <alignment horizontal="center" vertical="center" wrapText="1" shrinkToFit="1"/>
      <protection locked="0"/>
    </xf>
    <xf numFmtId="172" fontId="20" fillId="19" borderId="3" xfId="0" applyNumberFormat="1" applyFont="1" applyFill="1" applyBorder="1" applyAlignment="1" applyProtection="1">
      <alignment horizontal="center" vertical="center" wrapText="1" shrinkToFit="1"/>
      <protection locked="0"/>
    </xf>
    <xf numFmtId="14" fontId="20" fillId="0" borderId="0" xfId="0" applyNumberFormat="1" applyFont="1"/>
    <xf numFmtId="168" fontId="26" fillId="0" borderId="0" xfId="6" applyNumberFormat="1" applyFont="1"/>
    <xf numFmtId="0" fontId="26" fillId="0" borderId="0" xfId="0" applyFont="1" applyAlignment="1">
      <alignmen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56" fillId="0" borderId="0" xfId="0" applyFont="1" applyAlignment="1">
      <alignment horizontal="left" vertical="top" wrapText="1"/>
    </xf>
    <xf numFmtId="0" fontId="26" fillId="0" borderId="0" xfId="0" applyFont="1" applyAlignment="1">
      <alignment horizontal="left" vertical="top" wrapText="1"/>
    </xf>
    <xf numFmtId="0" fontId="0" fillId="0" borderId="0" xfId="0" applyAlignment="1">
      <alignment horizontal="left" vertical="top"/>
    </xf>
    <xf numFmtId="0" fontId="35" fillId="8" borderId="34" xfId="0" applyFont="1" applyFill="1" applyBorder="1" applyAlignment="1">
      <alignment horizontal="center" vertical="center" wrapText="1"/>
    </xf>
    <xf numFmtId="0" fontId="55" fillId="0" borderId="8" xfId="13" applyFont="1" applyBorder="1" applyAlignment="1">
      <alignment horizontal="left" vertical="top" wrapText="1"/>
    </xf>
    <xf numFmtId="0" fontId="7" fillId="0" borderId="6" xfId="0" applyFont="1" applyBorder="1" applyAlignment="1">
      <alignment horizontal="left" vertical="top"/>
    </xf>
    <xf numFmtId="0" fontId="7" fillId="0" borderId="6" xfId="0" applyFont="1" applyBorder="1" applyAlignment="1">
      <alignment horizontal="left" vertical="top" wrapText="1"/>
    </xf>
    <xf numFmtId="0" fontId="58" fillId="0" borderId="8" xfId="13" applyFont="1" applyBorder="1" applyAlignment="1">
      <alignment horizontal="left" vertical="top" wrapText="1"/>
    </xf>
    <xf numFmtId="0" fontId="7" fillId="0" borderId="8" xfId="0" applyFont="1" applyBorder="1" applyAlignment="1">
      <alignment horizontal="left" vertical="top" wrapText="1"/>
    </xf>
    <xf numFmtId="0" fontId="59" fillId="0" borderId="0" xfId="0" applyFont="1" applyAlignment="1">
      <alignment horizontal="right"/>
    </xf>
    <xf numFmtId="14" fontId="59" fillId="0" borderId="0" xfId="0" applyNumberFormat="1" applyFont="1" applyAlignment="1">
      <alignment horizontal="left"/>
    </xf>
    <xf numFmtId="0" fontId="59" fillId="0" borderId="0" xfId="0" applyFont="1" applyAlignment="1">
      <alignment horizontal="left" vertical="top"/>
    </xf>
    <xf numFmtId="14" fontId="59" fillId="0" borderId="0" xfId="0" applyNumberFormat="1" applyFont="1" applyAlignment="1">
      <alignment horizontal="left" vertical="top"/>
    </xf>
    <xf numFmtId="0" fontId="59" fillId="0" borderId="0" xfId="0" applyFont="1" applyAlignment="1">
      <alignment horizontal="right" vertical="top"/>
    </xf>
    <xf numFmtId="0" fontId="61" fillId="0" borderId="0" xfId="21" applyFont="1" applyAlignment="1">
      <alignment horizontal="left" vertical="top"/>
    </xf>
    <xf numFmtId="0" fontId="62" fillId="0" borderId="0" xfId="0" applyFont="1" applyAlignment="1">
      <alignment horizontal="right" vertical="top"/>
    </xf>
    <xf numFmtId="0" fontId="63" fillId="0" borderId="0" xfId="0" applyFont="1" applyAlignment="1">
      <alignment horizontal="left" vertical="top"/>
    </xf>
    <xf numFmtId="0" fontId="64" fillId="0" borderId="0" xfId="0" applyFont="1"/>
    <xf numFmtId="0" fontId="57" fillId="0" borderId="8" xfId="0" applyFont="1" applyBorder="1" applyAlignment="1">
      <alignment horizontal="left" vertical="top"/>
    </xf>
    <xf numFmtId="0" fontId="55" fillId="0" borderId="0" xfId="13" applyFont="1" applyAlignment="1">
      <alignment horizontal="left" vertical="top" wrapText="1"/>
    </xf>
    <xf numFmtId="14" fontId="14" fillId="12" borderId="18" xfId="0" applyNumberFormat="1" applyFont="1" applyFill="1" applyBorder="1" applyAlignment="1" applyProtection="1">
      <alignment horizontal="center" vertical="center"/>
      <protection locked="0"/>
    </xf>
    <xf numFmtId="0" fontId="0" fillId="0" borderId="19" xfId="0" applyBorder="1" applyAlignment="1" applyProtection="1">
      <alignment horizontal="center"/>
      <protection locked="0"/>
    </xf>
    <xf numFmtId="0" fontId="0" fillId="0" borderId="20" xfId="0" applyBorder="1" applyAlignment="1" applyProtection="1">
      <alignment horizontal="center"/>
      <protection locked="0"/>
    </xf>
    <xf numFmtId="14" fontId="14" fillId="13" borderId="8" xfId="0" applyNumberFormat="1" applyFont="1" applyFill="1" applyBorder="1" applyAlignment="1">
      <alignment horizontal="center" vertical="center"/>
    </xf>
    <xf numFmtId="0" fontId="8" fillId="13" borderId="1" xfId="0" applyFont="1" applyFill="1" applyBorder="1" applyAlignment="1">
      <alignment horizontal="center" vertical="center"/>
    </xf>
    <xf numFmtId="0" fontId="8" fillId="13" borderId="9" xfId="0" applyFont="1" applyFill="1" applyBorder="1" applyAlignment="1">
      <alignment horizontal="center" vertical="center"/>
    </xf>
    <xf numFmtId="14" fontId="14" fillId="12" borderId="8" xfId="0" applyNumberFormat="1"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9" xfId="0" applyBorder="1" applyAlignment="1" applyProtection="1">
      <alignment horizontal="center" vertical="center"/>
      <protection locked="0"/>
    </xf>
  </cellXfs>
  <cellStyles count="22">
    <cellStyle name="_A7_Entries" xfId="18" xr:uid="{5EE10B8F-D9EB-4931-8E72-C0917BDE7EBA}"/>
    <cellStyle name="_A7_Entries 3" xfId="15" xr:uid="{5DECC137-290F-49B6-98B1-2439446DA020}"/>
    <cellStyle name="_a7_glossary" xfId="3" xr:uid="{00000000-0005-0000-0000-000000000000}"/>
    <cellStyle name="_A7_Heading_1" xfId="11" xr:uid="{CEE396D1-C230-454E-94E0-597E07673737}"/>
    <cellStyle name="_A7_Heading_2" xfId="8" xr:uid="{00000000-0005-0000-0000-000001000000}"/>
    <cellStyle name="_A7_Heading_2 2" xfId="17" xr:uid="{7E91DEDB-C1F9-4D89-8C86-10C4388727F3}"/>
    <cellStyle name="_a7_Large_Text" xfId="20" xr:uid="{1A27DE6C-D48F-4B5D-90E9-C276E43AC82A}"/>
    <cellStyle name="_a7_Values" xfId="19" xr:uid="{DE558844-7D10-4E24-B94B-5DA9106A8416}"/>
    <cellStyle name="_old_A7_Heading_1" xfId="9" xr:uid="{00000000-0005-0000-0000-000002000000}"/>
    <cellStyle name="_old_A7_Heading_1 2" xfId="12" xr:uid="{B3C179D4-3C96-482A-A4B7-D57D666DDF2F}"/>
    <cellStyle name="Heading 1" xfId="7" builtinId="16" customBuiltin="1"/>
    <cellStyle name="Heading 3" xfId="2" builtinId="18" customBuiltin="1"/>
    <cellStyle name="Hyperlink" xfId="21" builtinId="8"/>
    <cellStyle name="Normal" xfId="0" builtinId="0"/>
    <cellStyle name="Normal 2" xfId="1" xr:uid="{00000000-0005-0000-0000-000007000000}"/>
    <cellStyle name="Normal 2 2" xfId="4" xr:uid="{00000000-0005-0000-0000-000008000000}"/>
    <cellStyle name="Normal 3" xfId="6" xr:uid="{00000000-0005-0000-0000-000009000000}"/>
    <cellStyle name="Normal 3 2" xfId="13" xr:uid="{0A4AA0EE-0FCB-4761-A6B1-34EF0C973FB7}"/>
    <cellStyle name="Normal 3 3" xfId="14" xr:uid="{9A9AA637-79E5-4D55-87A5-596DAE5EDC59}"/>
    <cellStyle name="Normal 4" xfId="10" xr:uid="{00000000-0005-0000-0000-00000A000000}"/>
    <cellStyle name="Normal 5" xfId="16" xr:uid="{0BA40E5D-0B6B-494B-8E38-91AC79D4CC9F}"/>
    <cellStyle name="Percent" xfId="5" builtinId="5"/>
  </cellStyles>
  <dxfs count="98">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color rgb="FF9C0006"/>
      </font>
      <fill>
        <patternFill>
          <bgColor rgb="FFFFC7CE"/>
        </patternFill>
      </fill>
    </dxf>
    <dxf>
      <font>
        <color rgb="FF9C0006"/>
      </font>
      <fill>
        <patternFill>
          <bgColor rgb="FFFFC7CE"/>
        </patternFill>
      </fill>
    </dxf>
    <dxf>
      <font>
        <b/>
        <i/>
        <condense val="0"/>
        <extend val="0"/>
        <color indexed="11"/>
      </font>
    </dxf>
    <dxf>
      <font>
        <b/>
        <i/>
        <condense val="0"/>
        <extend val="0"/>
        <color indexed="11"/>
      </font>
    </dxf>
    <dxf>
      <font>
        <b/>
        <i/>
        <condense val="0"/>
        <extend val="0"/>
        <color indexed="11"/>
      </font>
    </dxf>
    <dxf>
      <font>
        <color rgb="FF9C0006"/>
      </font>
      <fill>
        <patternFill>
          <bgColor rgb="FFFFC7CE"/>
        </patternFill>
      </fill>
    </dxf>
    <dxf>
      <font>
        <color rgb="FF9C0006"/>
      </font>
      <fill>
        <patternFill>
          <bgColor rgb="FFFFC7CE"/>
        </patternFill>
      </fill>
    </dxf>
    <dxf>
      <font>
        <b/>
        <i/>
        <condense val="0"/>
        <extend val="0"/>
        <color indexed="11"/>
      </font>
    </dxf>
    <dxf>
      <font>
        <b/>
        <i/>
        <condense val="0"/>
        <extend val="0"/>
        <color indexed="11"/>
      </font>
    </dxf>
    <dxf>
      <font>
        <color rgb="FF9C0006"/>
      </font>
      <fill>
        <patternFill>
          <bgColor rgb="FFFFC7CE"/>
        </patternFill>
      </fill>
    </dxf>
    <dxf>
      <font>
        <b/>
        <i/>
        <condense val="0"/>
        <extend val="0"/>
        <color indexed="11"/>
      </font>
    </dxf>
    <dxf>
      <font>
        <b/>
        <i/>
        <condense val="0"/>
        <extend val="0"/>
        <color indexed="11"/>
      </font>
    </dxf>
    <dxf>
      <font>
        <color rgb="FF9C0006"/>
      </font>
      <fill>
        <patternFill>
          <bgColor rgb="FFFFC7CE"/>
        </patternFill>
      </fill>
    </dxf>
    <dxf>
      <font>
        <color rgb="FF9C0006"/>
      </font>
      <fill>
        <patternFill>
          <bgColor rgb="FFFFC7CE"/>
        </patternFill>
      </fill>
    </dxf>
    <dxf>
      <font>
        <b/>
        <i/>
        <condense val="0"/>
        <extend val="0"/>
        <color indexed="11"/>
      </font>
    </dxf>
    <dxf>
      <font>
        <b/>
        <i/>
        <condense val="0"/>
        <extend val="0"/>
        <color indexed="11"/>
      </font>
    </dxf>
    <dxf>
      <font>
        <b/>
        <i/>
        <condense val="0"/>
        <extend val="0"/>
        <color indexed="11"/>
      </font>
    </dxf>
    <dxf>
      <font>
        <color rgb="FF9C0006"/>
      </font>
      <fill>
        <patternFill>
          <bgColor rgb="FFFFC7CE"/>
        </patternFill>
      </fill>
    </dxf>
    <dxf>
      <font>
        <b/>
        <i/>
        <condense val="0"/>
        <extend val="0"/>
        <color indexed="11"/>
      </font>
    </dxf>
    <dxf>
      <font>
        <b/>
        <i/>
        <condense val="0"/>
        <extend val="0"/>
        <color indexed="11"/>
      </font>
    </dxf>
    <dxf>
      <font>
        <color rgb="FF9C0006"/>
      </font>
      <fill>
        <patternFill>
          <bgColor rgb="FFFFC7CE"/>
        </patternFill>
      </fill>
    </dxf>
    <dxf>
      <font>
        <color rgb="FF9C0006"/>
      </font>
      <fill>
        <patternFill>
          <bgColor rgb="FFFFC7CE"/>
        </patternFill>
      </fill>
    </dxf>
    <dxf>
      <font>
        <b/>
        <i/>
        <condense val="0"/>
        <extend val="0"/>
        <color indexed="11"/>
      </font>
    </dxf>
    <dxf>
      <font>
        <b/>
        <i/>
        <condense val="0"/>
        <extend val="0"/>
        <color indexed="11"/>
      </font>
    </dxf>
    <dxf>
      <font>
        <color rgb="FF9C0006"/>
      </font>
      <fill>
        <patternFill>
          <bgColor rgb="FFFFC7CE"/>
        </patternFill>
      </fill>
    </dxf>
    <dxf>
      <font>
        <b/>
        <i/>
        <condense val="0"/>
        <extend val="0"/>
        <color indexed="11"/>
      </font>
    </dxf>
    <dxf>
      <font>
        <color rgb="FF9C0006"/>
      </font>
      <fill>
        <patternFill>
          <bgColor rgb="FFFFC7CE"/>
        </patternFill>
      </fill>
    </dxf>
    <dxf>
      <font>
        <color rgb="FF9C0006"/>
      </font>
      <fill>
        <patternFill>
          <bgColor rgb="FFFFC7CE"/>
        </patternFill>
      </fill>
    </dxf>
    <dxf>
      <font>
        <b/>
        <i/>
        <condense val="0"/>
        <extend val="0"/>
        <color indexed="11"/>
      </font>
    </dxf>
    <dxf>
      <font>
        <color rgb="FF9C0006"/>
      </font>
      <fill>
        <patternFill>
          <bgColor rgb="FFFFC7CE"/>
        </patternFill>
      </fill>
    </dxf>
    <dxf>
      <font>
        <b/>
        <i/>
        <condense val="0"/>
        <extend val="0"/>
        <color indexed="11"/>
      </font>
    </dxf>
    <dxf>
      <font>
        <b/>
        <i/>
        <condense val="0"/>
        <extend val="0"/>
        <color indexed="11"/>
      </font>
    </dxf>
    <dxf>
      <font>
        <color rgb="FF9C0006"/>
      </font>
      <fill>
        <patternFill>
          <bgColor rgb="FFFFC7CE"/>
        </patternFill>
      </fill>
    </dxf>
    <dxf>
      <font>
        <color rgb="FF9C0006"/>
      </font>
      <fill>
        <patternFill>
          <bgColor rgb="FFFFC7CE"/>
        </patternFill>
      </fill>
    </dxf>
    <dxf>
      <font>
        <b/>
        <i/>
        <condense val="0"/>
        <extend val="0"/>
        <color indexed="11"/>
      </font>
    </dxf>
    <dxf>
      <font>
        <b/>
        <i/>
        <condense val="0"/>
        <extend val="0"/>
        <color indexed="11"/>
      </font>
    </dxf>
    <dxf>
      <font>
        <color rgb="FF9C0006"/>
      </font>
      <fill>
        <patternFill>
          <bgColor rgb="FFFFC7CE"/>
        </patternFill>
      </fill>
    </dxf>
    <dxf>
      <font>
        <b/>
        <i/>
        <condense val="0"/>
        <extend val="0"/>
        <color indexed="1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condense val="0"/>
        <extend val="0"/>
        <color indexed="11"/>
      </font>
    </dxf>
    <dxf>
      <font>
        <b/>
        <i/>
        <condense val="0"/>
        <extend val="0"/>
        <color indexed="11"/>
      </font>
    </dxf>
    <dxf>
      <font>
        <color rgb="FF9C0006"/>
      </font>
      <fill>
        <patternFill>
          <bgColor rgb="FFFFC7CE"/>
        </patternFill>
      </fill>
    </dxf>
    <dxf>
      <font>
        <color rgb="FF9C0006"/>
      </font>
      <fill>
        <patternFill>
          <bgColor rgb="FFFFC7CE"/>
        </patternFill>
      </fill>
    </dxf>
    <dxf>
      <font>
        <b/>
        <i/>
        <condense val="0"/>
        <extend val="0"/>
        <color indexed="11"/>
      </font>
    </dxf>
    <dxf>
      <font>
        <b/>
        <i/>
        <condense val="0"/>
        <extend val="0"/>
        <color indexed="11"/>
      </font>
    </dxf>
    <dxf>
      <font>
        <color rgb="FF9C0006"/>
      </font>
      <fill>
        <patternFill>
          <bgColor rgb="FFFFC7CE"/>
        </patternFill>
      </fill>
    </dxf>
    <dxf>
      <font>
        <b/>
        <i/>
        <condense val="0"/>
        <extend val="0"/>
        <color indexed="11"/>
      </font>
    </dxf>
    <dxf>
      <font>
        <color rgb="FF9C0006"/>
      </font>
      <fill>
        <patternFill>
          <bgColor rgb="FFFFC7CE"/>
        </patternFill>
      </fill>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b/>
        <i/>
        <condense val="0"/>
        <extend val="0"/>
        <color indexed="11"/>
      </font>
    </dxf>
    <dxf>
      <font>
        <color rgb="FF9C0006"/>
      </font>
      <fill>
        <patternFill>
          <bgColor rgb="FFFFC7CE"/>
        </patternFill>
      </fill>
    </dxf>
    <dxf>
      <font>
        <b/>
        <i/>
        <condense val="0"/>
        <extend val="0"/>
        <color indexed="11"/>
      </font>
    </dxf>
    <dxf>
      <font>
        <color rgb="FF9C0006"/>
      </font>
      <fill>
        <patternFill>
          <bgColor rgb="FFFFC7CE"/>
        </patternFill>
      </fill>
    </dxf>
    <dxf>
      <font>
        <b/>
        <i/>
        <condense val="0"/>
        <extend val="0"/>
        <color indexed="11"/>
      </font>
    </dxf>
    <dxf>
      <font>
        <color rgb="FF9C0006"/>
      </font>
      <fill>
        <patternFill>
          <bgColor rgb="FFFFC7CE"/>
        </patternFill>
      </fill>
    </dxf>
    <dxf>
      <font>
        <b/>
        <i/>
        <condense val="0"/>
        <extend val="0"/>
        <color indexed="11"/>
      </font>
    </dxf>
    <dxf>
      <font>
        <color rgb="FF9C0006"/>
      </font>
      <fill>
        <patternFill>
          <bgColor rgb="FFFFC7CE"/>
        </patternFill>
      </fill>
    </dxf>
    <dxf>
      <font>
        <b/>
        <i/>
        <condense val="0"/>
        <extend val="0"/>
        <color indexed="11"/>
      </font>
    </dxf>
    <dxf>
      <font>
        <color rgb="FF9C0006"/>
      </font>
      <fill>
        <patternFill>
          <bgColor rgb="FFFFC7CE"/>
        </patternFill>
      </fill>
    </dxf>
    <dxf>
      <font>
        <b/>
        <i/>
        <condense val="0"/>
        <extend val="0"/>
        <color indexed="11"/>
      </font>
    </dxf>
    <dxf>
      <font>
        <color rgb="FF9C0006"/>
      </font>
      <fill>
        <patternFill>
          <bgColor rgb="FFFFC7CE"/>
        </patternFill>
      </fill>
    </dxf>
    <dxf>
      <font>
        <b/>
        <i/>
        <condense val="0"/>
        <extend val="0"/>
        <color indexed="11"/>
      </font>
    </dxf>
    <dxf>
      <font>
        <b/>
        <i/>
        <condense val="0"/>
        <extend val="0"/>
        <color indexed="11"/>
      </font>
    </dxf>
    <dxf>
      <font>
        <color rgb="FF9C0006"/>
      </font>
      <fill>
        <patternFill>
          <bgColor rgb="FFFFC7CE"/>
        </patternFill>
      </fill>
    </dxf>
    <dxf>
      <font>
        <b/>
        <i/>
        <condense val="0"/>
        <extend val="0"/>
        <color indexed="11"/>
      </font>
    </dxf>
    <dxf>
      <font>
        <b/>
        <i/>
        <condense val="0"/>
        <extend val="0"/>
        <color indexed="11"/>
      </font>
    </dxf>
    <dxf>
      <font>
        <b val="0"/>
        <i val="0"/>
        <strike val="0"/>
        <condense val="0"/>
        <extend val="0"/>
        <outline val="0"/>
        <shadow val="0"/>
        <u val="none"/>
        <vertAlign val="baseline"/>
        <sz val="9"/>
        <color auto="1"/>
        <name val="Arial Narrow"/>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Narrow"/>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Narrow"/>
        <family val="2"/>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Narrow"/>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top style="thin">
          <color indexed="64"/>
        </top>
        <bottom style="thin">
          <color indexed="64"/>
        </bottom>
      </border>
    </dxf>
    <dxf>
      <font>
        <b val="0"/>
        <i val="0"/>
        <strike val="0"/>
        <condense val="0"/>
        <extend val="0"/>
        <outline val="0"/>
        <shadow val="0"/>
        <u val="none"/>
        <vertAlign val="baseline"/>
        <sz val="9"/>
        <color auto="1"/>
        <name val="Arial Narrow"/>
        <family val="2"/>
        <scheme val="none"/>
      </font>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1"/>
        <name val="Arial Narrow"/>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B050"/>
      <color rgb="FFFAC090"/>
      <color rgb="FFFF33CC"/>
      <color rgb="FF000000"/>
      <color rgb="FF215967"/>
      <color rgb="FFFFFF99"/>
      <color rgb="FFCCECFF"/>
      <color rgb="FFD8E4BC"/>
      <color rgb="FF963634"/>
      <color rgb="FFABC7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87293744229283E-2"/>
          <c:y val="5.9560066412245273E-3"/>
          <c:w val="0.95326616146263721"/>
          <c:h val="0.97445047951395913"/>
        </c:manualLayout>
      </c:layout>
      <c:lineChart>
        <c:grouping val="standard"/>
        <c:varyColors val="0"/>
        <c:ser>
          <c:idx val="0"/>
          <c:order val="0"/>
          <c:spPr>
            <a:ln w="28575" cap="rnd">
              <a:solidFill>
                <a:schemeClr val="accent1"/>
              </a:solidFill>
              <a:round/>
            </a:ln>
            <a:effectLst/>
          </c:spPr>
          <c:marker>
            <c:symbol val="none"/>
          </c:marker>
          <c:val>
            <c:numRef>
              <c:f>Test_Month!#REF!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Test_Month!#REF!</c15:sqref>
                        </c15:formulaRef>
                      </c:ext>
                    </c:extLst>
                    <c:strCache>
                      <c:ptCount val="1"/>
                      <c:pt idx="0">
                        <c:v>#REF!</c:v>
                      </c:pt>
                    </c:strCache>
                  </c:strRef>
                </c15:cat>
              </c15:filteredCategoryTitle>
            </c:ext>
            <c:ext xmlns:c16="http://schemas.microsoft.com/office/drawing/2014/chart" uri="{C3380CC4-5D6E-409C-BE32-E72D297353CC}">
              <c16:uniqueId val="{00000000-3637-4193-AE53-5F238D5E6DB2}"/>
            </c:ext>
          </c:extLst>
        </c:ser>
        <c:dLbls>
          <c:showLegendKey val="0"/>
          <c:showVal val="0"/>
          <c:showCatName val="0"/>
          <c:showSerName val="0"/>
          <c:showPercent val="0"/>
          <c:showBubbleSize val="0"/>
        </c:dLbls>
        <c:smooth val="0"/>
        <c:axId val="873260016"/>
        <c:axId val="873272480"/>
      </c:lineChart>
      <c:dateAx>
        <c:axId val="873260016"/>
        <c:scaling>
          <c:orientation val="minMax"/>
          <c:max val="44470"/>
        </c:scaling>
        <c:delete val="0"/>
        <c:axPos val="b"/>
        <c:majorGridlines>
          <c:spPr>
            <a:ln w="34925" cap="flat" cmpd="sng" algn="ctr">
              <a:solidFill>
                <a:schemeClr val="tx1">
                  <a:lumMod val="15000"/>
                  <a:lumOff val="85000"/>
                </a:schemeClr>
              </a:solidFill>
              <a:round/>
            </a:ln>
            <a:effectLst/>
          </c:spPr>
        </c:majorGridlines>
        <c:numFmt formatCode="[$-809]d\ mmm/yy;@" sourceLinked="0"/>
        <c:majorTickMark val="in"/>
        <c:minorTickMark val="none"/>
        <c:tickLblPos val="high"/>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600" b="0" i="0" u="none" strike="noStrike" kern="1200" baseline="0">
                <a:solidFill>
                  <a:schemeClr val="tx1">
                    <a:lumMod val="65000"/>
                    <a:lumOff val="35000"/>
                  </a:schemeClr>
                </a:solidFill>
                <a:latin typeface="+mn-lt"/>
                <a:ea typeface="+mn-ea"/>
                <a:cs typeface="+mn-cs"/>
              </a:defRPr>
            </a:pPr>
            <a:endParaRPr lang="en-US"/>
          </a:p>
        </c:txPr>
        <c:crossAx val="873272480"/>
        <c:crosses val="autoZero"/>
        <c:auto val="0"/>
        <c:lblOffset val="100"/>
        <c:baseTimeUnit val="months"/>
        <c:majorUnit val="1"/>
        <c:majorTimeUnit val="months"/>
      </c:dateAx>
      <c:valAx>
        <c:axId val="873272480"/>
        <c:scaling>
          <c:orientation val="minMax"/>
          <c:max val="52"/>
        </c:scaling>
        <c:delete val="1"/>
        <c:axPos val="l"/>
        <c:majorGridlines>
          <c:spPr>
            <a:ln w="25400" cap="flat" cmpd="sng" algn="ctr">
              <a:noFill/>
              <a:round/>
            </a:ln>
            <a:effectLst/>
          </c:spPr>
        </c:majorGridlines>
        <c:numFmt formatCode="General" sourceLinked="1"/>
        <c:majorTickMark val="out"/>
        <c:minorTickMark val="none"/>
        <c:tickLblPos val="nextTo"/>
        <c:crossAx val="873260016"/>
        <c:crossesAt val="44044"/>
        <c:crossBetween val="midCat"/>
        <c:majorUnit val="1"/>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4803149606299213" l="0.70866141732283472" r="0.70866141732283472" t="0.74803149606299213" header="0.31496062992125984" footer="0.31496062992125984"/>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87293744229283E-2"/>
          <c:y val="5.9560066412245273E-3"/>
          <c:w val="0.95326616146263721"/>
          <c:h val="0.97445047951395913"/>
        </c:manualLayout>
      </c:layout>
      <c:lineChart>
        <c:grouping val="standard"/>
        <c:varyColors val="0"/>
        <c:ser>
          <c:idx val="0"/>
          <c:order val="0"/>
          <c:spPr>
            <a:ln w="28575" cap="rnd">
              <a:solidFill>
                <a:schemeClr val="accent1"/>
              </a:solidFill>
              <a:round/>
            </a:ln>
            <a:effectLst/>
          </c:spPr>
          <c:marker>
            <c:symbol val="none"/>
          </c:marker>
          <c:val>
            <c:numRef>
              <c:f>Test_WE!#REF!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Test_WE!#REF!</c15:sqref>
                        </c15:formulaRef>
                      </c:ext>
                    </c:extLst>
                    <c:strCache>
                      <c:ptCount val="1"/>
                      <c:pt idx="0">
                        <c:v>#REF!</c:v>
                      </c:pt>
                    </c:strCache>
                  </c:strRef>
                </c15:cat>
              </c15:filteredCategoryTitle>
            </c:ext>
            <c:ext xmlns:c16="http://schemas.microsoft.com/office/drawing/2014/chart" uri="{C3380CC4-5D6E-409C-BE32-E72D297353CC}">
              <c16:uniqueId val="{00000000-6C5C-4435-A079-00E4272AF516}"/>
            </c:ext>
          </c:extLst>
        </c:ser>
        <c:dLbls>
          <c:showLegendKey val="0"/>
          <c:showVal val="0"/>
          <c:showCatName val="0"/>
          <c:showSerName val="0"/>
          <c:showPercent val="0"/>
          <c:showBubbleSize val="0"/>
        </c:dLbls>
        <c:smooth val="0"/>
        <c:axId val="873260016"/>
        <c:axId val="873272480"/>
      </c:lineChart>
      <c:dateAx>
        <c:axId val="873260016"/>
        <c:scaling>
          <c:orientation val="minMax"/>
          <c:max val="44470"/>
        </c:scaling>
        <c:delete val="0"/>
        <c:axPos val="b"/>
        <c:majorGridlines>
          <c:spPr>
            <a:ln w="34925" cap="flat" cmpd="sng" algn="ctr">
              <a:solidFill>
                <a:schemeClr val="tx1">
                  <a:lumMod val="15000"/>
                  <a:lumOff val="85000"/>
                </a:schemeClr>
              </a:solidFill>
              <a:round/>
            </a:ln>
            <a:effectLst/>
          </c:spPr>
        </c:majorGridlines>
        <c:numFmt formatCode="[$-809]d\ mmm/yy;@" sourceLinked="0"/>
        <c:majorTickMark val="in"/>
        <c:minorTickMark val="none"/>
        <c:tickLblPos val="high"/>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600" b="0" i="0" u="none" strike="noStrike" kern="1200" baseline="0">
                <a:solidFill>
                  <a:schemeClr val="tx1">
                    <a:lumMod val="65000"/>
                    <a:lumOff val="35000"/>
                  </a:schemeClr>
                </a:solidFill>
                <a:latin typeface="+mn-lt"/>
                <a:ea typeface="+mn-ea"/>
                <a:cs typeface="+mn-cs"/>
              </a:defRPr>
            </a:pPr>
            <a:endParaRPr lang="en-US"/>
          </a:p>
        </c:txPr>
        <c:crossAx val="873272480"/>
        <c:crosses val="autoZero"/>
        <c:auto val="0"/>
        <c:lblOffset val="100"/>
        <c:baseTimeUnit val="months"/>
        <c:majorUnit val="1"/>
        <c:majorTimeUnit val="months"/>
      </c:dateAx>
      <c:valAx>
        <c:axId val="873272480"/>
        <c:scaling>
          <c:orientation val="minMax"/>
          <c:max val="52"/>
        </c:scaling>
        <c:delete val="1"/>
        <c:axPos val="l"/>
        <c:majorGridlines>
          <c:spPr>
            <a:ln w="25400" cap="flat" cmpd="sng" algn="ctr">
              <a:noFill/>
              <a:round/>
            </a:ln>
            <a:effectLst/>
          </c:spPr>
        </c:majorGridlines>
        <c:numFmt formatCode="General" sourceLinked="1"/>
        <c:majorTickMark val="out"/>
        <c:minorTickMark val="none"/>
        <c:tickLblPos val="nextTo"/>
        <c:crossAx val="873260016"/>
        <c:crossesAt val="44044"/>
        <c:crossBetween val="midCat"/>
        <c:majorUnit val="1"/>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4803149606299213" l="0.70866141732283472" r="0.70866141732283472" t="0.74803149606299213" header="0.31496062992125984" footer="0.31496062992125984"/>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1768739</xdr:colOff>
      <xdr:row>3</xdr:row>
      <xdr:rowOff>419100</xdr:rowOff>
    </xdr:from>
    <xdr:to>
      <xdr:col>19</xdr:col>
      <xdr:colOff>81496</xdr:colOff>
      <xdr:row>38</xdr:row>
      <xdr:rowOff>195495</xdr:rowOff>
    </xdr:to>
    <xdr:graphicFrame macro="">
      <xdr:nvGraphicFramePr>
        <xdr:cNvPr id="2" name="grid_and_dates" hidden="1">
          <a:extLst>
            <a:ext uri="{FF2B5EF4-FFF2-40B4-BE49-F238E27FC236}">
              <a16:creationId xmlns:a16="http://schemas.microsoft.com/office/drawing/2014/main" id="{226F951E-F2EE-495E-A656-54463EF89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1768739</xdr:colOff>
      <xdr:row>3</xdr:row>
      <xdr:rowOff>419100</xdr:rowOff>
    </xdr:from>
    <xdr:to>
      <xdr:col>19</xdr:col>
      <xdr:colOff>81496</xdr:colOff>
      <xdr:row>38</xdr:row>
      <xdr:rowOff>195495</xdr:rowOff>
    </xdr:to>
    <xdr:graphicFrame macro="">
      <xdr:nvGraphicFramePr>
        <xdr:cNvPr id="2" name="grid_and_dates" hidden="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164154-EB28-437F-9B07-B0E611892BDF}" name="Table1" displayName="Table1" ref="A7:D49" totalsRowShown="0" headerRowDxfId="97" dataDxfId="95" headerRowBorderDxfId="96" tableBorderDxfId="94">
  <autoFilter ref="A7:D49" xr:uid="{E9164154-EB28-437F-9B07-B0E611892BDF}"/>
  <sortState xmlns:xlrd2="http://schemas.microsoft.com/office/spreadsheetml/2017/richdata2" ref="A8:D49">
    <sortCondition ref="A8:A49"/>
  </sortState>
  <tableColumns count="4">
    <tableColumn id="2" xr3:uid="{36B4F5C5-1C1D-43FA-815C-9978F4CD7BFC}" name="Country" dataDxfId="93"/>
    <tableColumn id="3" xr3:uid="{BFD36AFF-0759-4DBA-9817-B990D35B55E2}" name="StartofYear_Period" dataDxfId="92"/>
    <tableColumn id="4" xr3:uid="{3777A883-EF73-49C0-A45A-703CA2ABA09E}" name="StartofYear_DecisionLevel" dataDxfId="91"/>
    <tableColumn id="7" xr3:uid="{14A67C60-0E28-4664-971A-D2D7997626DC}" name="StartofYear_Note" dataDxfId="9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eurydice.eacea.ec.europa.eu/data-and-visuals/european-academic-year"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6FAC-F39F-406F-A652-58F1C7C2B0E6}">
  <sheetPr codeName="Sheet2">
    <pageSetUpPr fitToPage="1"/>
  </sheetPr>
  <dimension ref="A1:P49"/>
  <sheetViews>
    <sheetView tabSelected="1" zoomScale="106" zoomScaleNormal="106" workbookViewId="0">
      <selection activeCell="A14" sqref="A14"/>
    </sheetView>
  </sheetViews>
  <sheetFormatPr defaultRowHeight="12.75" x14ac:dyDescent="0.2"/>
  <cols>
    <col min="1" max="1" width="9.5703125" customWidth="1"/>
    <col min="2" max="2" width="16.42578125" customWidth="1"/>
    <col min="3" max="3" width="19.28515625" bestFit="1" customWidth="1"/>
    <col min="4" max="4" width="64.85546875" customWidth="1"/>
    <col min="5" max="5" width="18.85546875" customWidth="1"/>
    <col min="6" max="6" width="16.42578125" customWidth="1"/>
    <col min="7" max="7" width="143.85546875" customWidth="1"/>
    <col min="10" max="10" width="29.140625" customWidth="1"/>
  </cols>
  <sheetData>
    <row r="1" spans="1:16" s="256" customFormat="1" ht="15.75" x14ac:dyDescent="0.2">
      <c r="A1" s="254" t="s">
        <v>0</v>
      </c>
      <c r="B1" s="255" t="s">
        <v>1</v>
      </c>
    </row>
    <row r="2" spans="1:16" x14ac:dyDescent="0.2">
      <c r="A2" s="252" t="s">
        <v>2</v>
      </c>
      <c r="B2" s="250" t="s">
        <v>3</v>
      </c>
    </row>
    <row r="3" spans="1:16" x14ac:dyDescent="0.2">
      <c r="A3" s="252" t="s">
        <v>4</v>
      </c>
      <c r="B3" s="253" t="s">
        <v>5</v>
      </c>
    </row>
    <row r="4" spans="1:16" x14ac:dyDescent="0.2">
      <c r="A4" s="252" t="s">
        <v>6</v>
      </c>
      <c r="B4" s="250" t="s">
        <v>7</v>
      </c>
    </row>
    <row r="5" spans="1:16" x14ac:dyDescent="0.2">
      <c r="A5" s="252" t="s">
        <v>8</v>
      </c>
      <c r="B5" s="251">
        <v>45909</v>
      </c>
    </row>
    <row r="6" spans="1:16" x14ac:dyDescent="0.2">
      <c r="A6" s="248"/>
      <c r="B6" s="249"/>
    </row>
    <row r="7" spans="1:16" ht="79.5" customHeight="1" x14ac:dyDescent="0.2">
      <c r="A7" s="242" t="s">
        <v>9</v>
      </c>
      <c r="B7" s="242" t="s">
        <v>10</v>
      </c>
      <c r="C7" s="242" t="s">
        <v>11</v>
      </c>
      <c r="D7" s="242" t="s">
        <v>12</v>
      </c>
      <c r="G7" s="236"/>
    </row>
    <row r="8" spans="1:16" s="241" customFormat="1" ht="13.5" x14ac:dyDescent="0.2">
      <c r="A8" s="244" t="s">
        <v>13</v>
      </c>
      <c r="B8" s="245" t="s">
        <v>14</v>
      </c>
      <c r="C8" s="245" t="s">
        <v>15</v>
      </c>
      <c r="D8" s="243"/>
      <c r="E8" s="237"/>
      <c r="F8" s="237"/>
      <c r="G8" s="240"/>
      <c r="H8" s="237"/>
      <c r="I8" s="237"/>
      <c r="J8" s="237"/>
      <c r="K8" s="237"/>
      <c r="L8" s="237"/>
      <c r="M8" s="237"/>
      <c r="N8" s="237"/>
      <c r="O8" s="237"/>
      <c r="P8" s="237"/>
    </row>
    <row r="9" spans="1:16" s="241" customFormat="1" ht="60" x14ac:dyDescent="0.2">
      <c r="A9" s="244" t="s">
        <v>16</v>
      </c>
      <c r="B9" s="245" t="s">
        <v>17</v>
      </c>
      <c r="C9" s="245" t="s">
        <v>15</v>
      </c>
      <c r="D9" s="243" t="s">
        <v>18</v>
      </c>
      <c r="E9" s="237"/>
      <c r="F9" s="237"/>
      <c r="G9" s="240"/>
      <c r="H9" s="237"/>
      <c r="I9" s="237"/>
      <c r="J9" s="237"/>
      <c r="K9" s="237"/>
      <c r="L9" s="237"/>
      <c r="M9" s="237"/>
      <c r="N9" s="237"/>
      <c r="O9" s="237"/>
      <c r="P9" s="237"/>
    </row>
    <row r="10" spans="1:16" s="241" customFormat="1" ht="36" x14ac:dyDescent="0.2">
      <c r="A10" s="244" t="s">
        <v>19</v>
      </c>
      <c r="B10" s="245" t="s">
        <v>20</v>
      </c>
      <c r="C10" s="245" t="s">
        <v>21</v>
      </c>
      <c r="D10" s="243" t="s">
        <v>22</v>
      </c>
      <c r="E10" s="237"/>
      <c r="F10" s="237"/>
      <c r="G10" s="240"/>
      <c r="H10" s="237"/>
      <c r="I10" s="237"/>
      <c r="J10" s="237"/>
      <c r="K10" s="237"/>
      <c r="L10" s="237"/>
      <c r="M10" s="237"/>
      <c r="N10" s="237"/>
      <c r="O10" s="237"/>
      <c r="P10" s="237"/>
    </row>
    <row r="11" spans="1:16" s="241" customFormat="1" ht="13.5" x14ac:dyDescent="0.2">
      <c r="A11" s="244" t="s">
        <v>23</v>
      </c>
      <c r="B11" s="245" t="s">
        <v>20</v>
      </c>
      <c r="C11" s="245" t="s">
        <v>15</v>
      </c>
      <c r="D11" s="243" t="s">
        <v>24</v>
      </c>
      <c r="E11" s="237"/>
      <c r="F11" s="237"/>
      <c r="G11" s="240"/>
      <c r="H11" s="237"/>
      <c r="I11" s="237"/>
      <c r="J11" s="237"/>
      <c r="K11" s="237"/>
      <c r="L11" s="237"/>
      <c r="M11" s="237"/>
      <c r="N11" s="237"/>
      <c r="O11" s="237"/>
      <c r="P11" s="237"/>
    </row>
    <row r="12" spans="1:16" s="241" customFormat="1" ht="13.5" x14ac:dyDescent="0.2">
      <c r="A12" s="244" t="s">
        <v>25</v>
      </c>
      <c r="B12" s="245" t="s">
        <v>20</v>
      </c>
      <c r="C12" s="245" t="s">
        <v>15</v>
      </c>
      <c r="D12" s="243"/>
      <c r="E12" s="237"/>
      <c r="F12" s="237"/>
      <c r="G12" s="240"/>
      <c r="H12" s="237"/>
      <c r="I12" s="237"/>
      <c r="J12" s="237"/>
      <c r="K12" s="237"/>
      <c r="L12" s="237"/>
      <c r="M12" s="237"/>
      <c r="N12" s="237"/>
      <c r="O12" s="237"/>
      <c r="P12" s="237"/>
    </row>
    <row r="13" spans="1:16" s="241" customFormat="1" ht="13.5" x14ac:dyDescent="0.2">
      <c r="A13" s="244" t="s">
        <v>26</v>
      </c>
      <c r="B13" s="245" t="s">
        <v>14</v>
      </c>
      <c r="C13" s="245" t="s">
        <v>15</v>
      </c>
      <c r="D13" s="243"/>
      <c r="E13" s="237"/>
      <c r="F13" s="237"/>
      <c r="G13" s="237"/>
      <c r="H13" s="237"/>
      <c r="I13" s="237"/>
      <c r="J13" s="237"/>
      <c r="K13" s="237"/>
      <c r="L13" s="237"/>
      <c r="M13" s="237"/>
      <c r="N13" s="237"/>
      <c r="O13" s="237"/>
      <c r="P13" s="237"/>
    </row>
    <row r="14" spans="1:16" s="241" customFormat="1" ht="13.5" x14ac:dyDescent="0.2">
      <c r="A14" s="244" t="s">
        <v>27</v>
      </c>
      <c r="B14" s="245" t="s">
        <v>14</v>
      </c>
      <c r="C14" s="245" t="s">
        <v>21</v>
      </c>
      <c r="D14" s="243" t="s">
        <v>28</v>
      </c>
      <c r="E14" s="237"/>
      <c r="F14" s="237"/>
      <c r="G14" s="237"/>
      <c r="H14" s="237"/>
      <c r="I14" s="237"/>
      <c r="J14" s="237"/>
      <c r="K14" s="237"/>
      <c r="L14" s="237"/>
      <c r="M14" s="237"/>
      <c r="N14" s="237"/>
      <c r="O14" s="237"/>
      <c r="P14" s="237"/>
    </row>
    <row r="15" spans="1:16" s="241" customFormat="1" ht="36" x14ac:dyDescent="0.2">
      <c r="A15" s="244" t="s">
        <v>29</v>
      </c>
      <c r="B15" s="245" t="s">
        <v>17</v>
      </c>
      <c r="C15" s="245" t="s">
        <v>21</v>
      </c>
      <c r="D15" s="243" t="s">
        <v>30</v>
      </c>
      <c r="E15" s="237"/>
      <c r="F15" s="237"/>
      <c r="G15" s="237"/>
      <c r="H15" s="237"/>
      <c r="I15" s="237"/>
      <c r="J15" s="237"/>
      <c r="K15" s="237"/>
      <c r="L15" s="237"/>
      <c r="M15" s="237"/>
      <c r="N15" s="237"/>
      <c r="O15" s="237"/>
      <c r="P15" s="237"/>
    </row>
    <row r="16" spans="1:16" s="241" customFormat="1" ht="13.5" x14ac:dyDescent="0.2">
      <c r="A16" s="244" t="s">
        <v>31</v>
      </c>
      <c r="B16" s="245" t="s">
        <v>20</v>
      </c>
      <c r="C16" s="245" t="s">
        <v>21</v>
      </c>
      <c r="D16" s="243" t="s">
        <v>32</v>
      </c>
      <c r="E16" s="237"/>
      <c r="F16" s="237"/>
      <c r="G16" s="237"/>
      <c r="H16" s="237"/>
      <c r="I16" s="237"/>
      <c r="J16" s="237"/>
      <c r="K16" s="237"/>
      <c r="L16" s="237"/>
      <c r="M16" s="237"/>
      <c r="N16" s="237"/>
      <c r="O16" s="237"/>
      <c r="P16" s="237"/>
    </row>
    <row r="17" spans="1:16" s="241" customFormat="1" ht="13.5" x14ac:dyDescent="0.2">
      <c r="A17" s="244" t="s">
        <v>33</v>
      </c>
      <c r="B17" s="245" t="s">
        <v>17</v>
      </c>
      <c r="C17" s="245" t="s">
        <v>21</v>
      </c>
      <c r="D17" s="243"/>
      <c r="E17" s="237"/>
      <c r="F17" s="237"/>
      <c r="G17" s="237"/>
      <c r="H17" s="237"/>
      <c r="I17" s="237"/>
      <c r="J17" s="237"/>
      <c r="K17" s="237"/>
      <c r="L17" s="237"/>
      <c r="M17" s="237"/>
      <c r="N17" s="237"/>
      <c r="O17" s="237"/>
      <c r="P17" s="237"/>
    </row>
    <row r="18" spans="1:16" s="241" customFormat="1" ht="13.5" x14ac:dyDescent="0.2">
      <c r="A18" s="244" t="s">
        <v>34</v>
      </c>
      <c r="B18" s="245" t="s">
        <v>20</v>
      </c>
      <c r="C18" s="245" t="s">
        <v>21</v>
      </c>
      <c r="D18" s="243"/>
      <c r="E18" s="238"/>
      <c r="F18" s="238"/>
      <c r="G18" s="238"/>
      <c r="H18" s="238"/>
      <c r="I18" s="238"/>
      <c r="J18" s="238"/>
      <c r="K18" s="238"/>
      <c r="L18" s="238"/>
      <c r="M18" s="238"/>
      <c r="N18" s="238"/>
      <c r="O18" s="238"/>
      <c r="P18" s="238"/>
    </row>
    <row r="19" spans="1:16" s="241" customFormat="1" ht="13.5" x14ac:dyDescent="0.2">
      <c r="A19" s="244" t="s">
        <v>35</v>
      </c>
      <c r="B19" s="245" t="s">
        <v>36</v>
      </c>
      <c r="C19" s="245" t="s">
        <v>21</v>
      </c>
      <c r="D19" s="243"/>
      <c r="E19" s="237"/>
      <c r="F19" s="237"/>
      <c r="G19" s="237"/>
      <c r="H19" s="237"/>
      <c r="I19" s="237"/>
      <c r="J19" s="237"/>
      <c r="K19" s="237"/>
      <c r="L19" s="237"/>
      <c r="M19" s="237"/>
      <c r="N19" s="237"/>
      <c r="O19" s="237"/>
      <c r="P19" s="237"/>
    </row>
    <row r="20" spans="1:16" s="241" customFormat="1" ht="13.5" x14ac:dyDescent="0.2">
      <c r="A20" s="244" t="s">
        <v>37</v>
      </c>
      <c r="B20" s="244" t="s">
        <v>36</v>
      </c>
      <c r="C20" s="245" t="s">
        <v>21</v>
      </c>
      <c r="D20" s="243" t="s">
        <v>38</v>
      </c>
      <c r="E20" s="237"/>
      <c r="F20" s="237"/>
      <c r="G20" s="237"/>
      <c r="H20" s="237"/>
      <c r="I20" s="237"/>
      <c r="J20" s="237"/>
      <c r="K20" s="237"/>
      <c r="L20" s="237"/>
      <c r="M20" s="237"/>
      <c r="N20" s="237"/>
      <c r="O20" s="237"/>
      <c r="P20" s="237"/>
    </row>
    <row r="21" spans="1:16" s="241" customFormat="1" ht="13.5" x14ac:dyDescent="0.2">
      <c r="A21" s="244" t="s">
        <v>39</v>
      </c>
      <c r="B21" s="245" t="s">
        <v>17</v>
      </c>
      <c r="C21" s="245" t="s">
        <v>21</v>
      </c>
      <c r="D21" s="243"/>
      <c r="E21" s="237"/>
      <c r="F21" s="237"/>
      <c r="G21" s="237"/>
      <c r="H21" s="237"/>
      <c r="I21" s="237"/>
      <c r="J21" s="237"/>
      <c r="K21" s="237"/>
      <c r="L21" s="237"/>
      <c r="M21" s="237"/>
      <c r="N21" s="237"/>
      <c r="O21" s="237"/>
      <c r="P21" s="237"/>
    </row>
    <row r="22" spans="1:16" s="241" customFormat="1" ht="13.5" x14ac:dyDescent="0.2">
      <c r="A22" s="244" t="s">
        <v>40</v>
      </c>
      <c r="B22" s="245" t="s">
        <v>17</v>
      </c>
      <c r="C22" s="245" t="s">
        <v>21</v>
      </c>
      <c r="D22" s="247"/>
      <c r="E22" s="237"/>
      <c r="F22" s="237"/>
      <c r="G22" s="237"/>
      <c r="H22" s="237"/>
      <c r="I22" s="237"/>
      <c r="J22" s="237"/>
      <c r="K22" s="237"/>
      <c r="L22" s="237"/>
      <c r="M22" s="237"/>
      <c r="N22" s="237"/>
      <c r="O22" s="237"/>
      <c r="P22" s="237"/>
    </row>
    <row r="23" spans="1:16" s="241" customFormat="1" ht="36" x14ac:dyDescent="0.2">
      <c r="A23" s="244" t="s">
        <v>41</v>
      </c>
      <c r="B23" s="245" t="s">
        <v>14</v>
      </c>
      <c r="C23" s="245" t="s">
        <v>15</v>
      </c>
      <c r="D23" s="243" t="s">
        <v>42</v>
      </c>
      <c r="E23" s="238"/>
      <c r="F23" s="238"/>
      <c r="G23" s="238"/>
      <c r="H23" s="238"/>
      <c r="I23" s="238"/>
      <c r="J23" s="238"/>
      <c r="K23" s="238"/>
      <c r="L23" s="238"/>
      <c r="M23" s="238"/>
      <c r="N23" s="238"/>
      <c r="O23" s="238"/>
      <c r="P23" s="238"/>
    </row>
    <row r="24" spans="1:16" s="241" customFormat="1" ht="36" x14ac:dyDescent="0.2">
      <c r="A24" s="244" t="s">
        <v>43</v>
      </c>
      <c r="B24" s="245" t="s">
        <v>20</v>
      </c>
      <c r="C24" s="245" t="s">
        <v>21</v>
      </c>
      <c r="D24" s="243" t="s">
        <v>44</v>
      </c>
      <c r="E24" s="237"/>
      <c r="F24" s="237"/>
      <c r="G24" s="237"/>
      <c r="H24" s="237"/>
      <c r="I24" s="237"/>
      <c r="J24" s="237"/>
      <c r="K24" s="237"/>
      <c r="L24" s="237"/>
      <c r="M24" s="237"/>
      <c r="N24" s="237"/>
      <c r="O24" s="237"/>
      <c r="P24" s="237"/>
    </row>
    <row r="25" spans="1:16" s="241" customFormat="1" ht="13.5" x14ac:dyDescent="0.2">
      <c r="A25" s="244" t="s">
        <v>45</v>
      </c>
      <c r="B25" s="245" t="s">
        <v>20</v>
      </c>
      <c r="C25" s="245" t="s">
        <v>21</v>
      </c>
      <c r="D25" s="243"/>
      <c r="E25" s="237"/>
      <c r="F25" s="237"/>
      <c r="G25" s="237"/>
      <c r="H25" s="237"/>
      <c r="I25" s="237"/>
      <c r="J25" s="237"/>
      <c r="K25" s="237"/>
      <c r="L25" s="237"/>
      <c r="M25" s="237"/>
      <c r="N25" s="237"/>
      <c r="O25" s="237"/>
      <c r="P25" s="237"/>
    </row>
    <row r="26" spans="1:16" s="241" customFormat="1" ht="13.5" x14ac:dyDescent="0.2">
      <c r="A26" s="244" t="s">
        <v>46</v>
      </c>
      <c r="B26" s="245" t="s">
        <v>36</v>
      </c>
      <c r="C26" s="245" t="s">
        <v>21</v>
      </c>
      <c r="D26" s="243"/>
      <c r="E26" s="237"/>
      <c r="F26" s="237"/>
      <c r="G26" s="237"/>
      <c r="H26" s="237"/>
      <c r="I26" s="237"/>
      <c r="J26" s="237"/>
      <c r="K26" s="237"/>
      <c r="L26" s="237"/>
      <c r="M26" s="237"/>
      <c r="N26" s="237"/>
      <c r="O26" s="237"/>
      <c r="P26" s="237"/>
    </row>
    <row r="27" spans="1:16" s="241" customFormat="1" ht="13.5" x14ac:dyDescent="0.2">
      <c r="A27" s="244" t="s">
        <v>47</v>
      </c>
      <c r="B27" s="245" t="s">
        <v>20</v>
      </c>
      <c r="C27" s="245" t="s">
        <v>21</v>
      </c>
      <c r="D27" s="243"/>
      <c r="E27" s="237"/>
      <c r="F27" s="237"/>
      <c r="G27" s="237"/>
      <c r="H27" s="237"/>
      <c r="I27" s="237"/>
      <c r="J27" s="237"/>
      <c r="K27" s="237"/>
      <c r="L27" s="237"/>
      <c r="M27" s="237"/>
      <c r="N27" s="237"/>
      <c r="O27" s="237"/>
      <c r="P27" s="237"/>
    </row>
    <row r="28" spans="1:16" s="241" customFormat="1" ht="13.5" x14ac:dyDescent="0.2">
      <c r="A28" s="244" t="s">
        <v>48</v>
      </c>
      <c r="B28" s="245" t="s">
        <v>14</v>
      </c>
      <c r="C28" s="245" t="s">
        <v>21</v>
      </c>
      <c r="D28" s="243"/>
      <c r="E28" s="237"/>
      <c r="F28" s="237"/>
      <c r="G28" s="237"/>
      <c r="H28" s="237"/>
      <c r="I28" s="237"/>
      <c r="J28" s="237"/>
      <c r="K28" s="237"/>
      <c r="L28" s="237"/>
      <c r="M28" s="237"/>
      <c r="N28" s="237"/>
      <c r="O28" s="237"/>
      <c r="P28" s="237"/>
    </row>
    <row r="29" spans="1:16" s="241" customFormat="1" ht="13.5" x14ac:dyDescent="0.2">
      <c r="A29" s="244" t="s">
        <v>49</v>
      </c>
      <c r="B29" s="245" t="s">
        <v>36</v>
      </c>
      <c r="C29" s="245" t="s">
        <v>21</v>
      </c>
      <c r="D29" s="243"/>
      <c r="E29" s="237"/>
      <c r="F29" s="237"/>
      <c r="G29" s="237"/>
      <c r="H29" s="237"/>
      <c r="I29" s="237"/>
      <c r="J29" s="237"/>
      <c r="K29" s="237"/>
      <c r="L29" s="237"/>
      <c r="M29" s="237"/>
      <c r="N29" s="237"/>
      <c r="O29" s="237"/>
      <c r="P29" s="237"/>
    </row>
    <row r="30" spans="1:16" s="241" customFormat="1" ht="13.5" x14ac:dyDescent="0.2">
      <c r="A30" s="244" t="s">
        <v>50</v>
      </c>
      <c r="B30" s="245" t="s">
        <v>20</v>
      </c>
      <c r="C30" s="245" t="s">
        <v>21</v>
      </c>
      <c r="D30" s="243" t="s">
        <v>51</v>
      </c>
      <c r="E30" s="238"/>
      <c r="F30" s="238"/>
      <c r="G30" s="238"/>
      <c r="H30" s="238"/>
      <c r="I30" s="238"/>
      <c r="J30" s="238"/>
      <c r="K30" s="238"/>
      <c r="L30" s="238"/>
      <c r="M30" s="238"/>
      <c r="N30" s="238"/>
      <c r="O30" s="238"/>
      <c r="P30" s="238"/>
    </row>
    <row r="31" spans="1:16" s="241" customFormat="1" ht="13.5" x14ac:dyDescent="0.2">
      <c r="A31" s="244" t="s">
        <v>52</v>
      </c>
      <c r="B31" s="245" t="s">
        <v>20</v>
      </c>
      <c r="C31" s="245" t="s">
        <v>21</v>
      </c>
      <c r="D31" s="243" t="s">
        <v>24</v>
      </c>
      <c r="E31" s="238"/>
      <c r="F31" s="238"/>
      <c r="G31" s="238"/>
      <c r="H31" s="238"/>
      <c r="I31" s="238"/>
      <c r="J31" s="238"/>
      <c r="K31" s="238"/>
      <c r="L31" s="238"/>
      <c r="M31" s="238"/>
      <c r="N31" s="238"/>
      <c r="O31" s="238"/>
      <c r="P31" s="238"/>
    </row>
    <row r="32" spans="1:16" s="241" customFormat="1" ht="13.5" x14ac:dyDescent="0.2">
      <c r="A32" s="244" t="s">
        <v>53</v>
      </c>
      <c r="B32" s="245" t="s">
        <v>20</v>
      </c>
      <c r="C32" s="245" t="s">
        <v>15</v>
      </c>
      <c r="D32" s="243"/>
      <c r="E32" s="237"/>
      <c r="F32" s="237"/>
      <c r="G32" s="237"/>
      <c r="H32" s="237"/>
      <c r="I32" s="237"/>
      <c r="J32" s="237"/>
      <c r="K32" s="237"/>
      <c r="L32" s="237"/>
      <c r="M32" s="237"/>
      <c r="N32" s="237"/>
      <c r="O32" s="237"/>
      <c r="P32" s="237"/>
    </row>
    <row r="33" spans="1:16" s="241" customFormat="1" ht="24" x14ac:dyDescent="0.2">
      <c r="A33" s="244" t="s">
        <v>54</v>
      </c>
      <c r="B33" s="245" t="s">
        <v>17</v>
      </c>
      <c r="C33" s="245" t="s">
        <v>21</v>
      </c>
      <c r="D33" s="243" t="s">
        <v>55</v>
      </c>
      <c r="E33" s="238"/>
      <c r="F33" s="238"/>
      <c r="G33" s="238"/>
      <c r="H33" s="238"/>
      <c r="I33" s="238"/>
      <c r="J33" s="238"/>
      <c r="K33" s="238"/>
      <c r="L33" s="238"/>
      <c r="M33" s="238"/>
      <c r="N33" s="238"/>
      <c r="O33" s="238"/>
      <c r="P33" s="238"/>
    </row>
    <row r="34" spans="1:16" s="241" customFormat="1" ht="13.5" x14ac:dyDescent="0.2">
      <c r="A34" s="244" t="s">
        <v>56</v>
      </c>
      <c r="B34" s="245" t="s">
        <v>20</v>
      </c>
      <c r="C34" s="245" t="s">
        <v>21</v>
      </c>
      <c r="D34" s="247"/>
      <c r="E34" s="237"/>
      <c r="F34" s="237"/>
      <c r="G34" s="237"/>
      <c r="H34" s="237"/>
      <c r="I34" s="237"/>
      <c r="J34" s="237"/>
      <c r="K34" s="237"/>
      <c r="L34" s="237"/>
      <c r="M34" s="237"/>
      <c r="N34" s="237"/>
      <c r="O34" s="237"/>
      <c r="P34" s="237"/>
    </row>
    <row r="35" spans="1:16" s="241" customFormat="1" ht="13.5" x14ac:dyDescent="0.2">
      <c r="A35" s="244" t="s">
        <v>57</v>
      </c>
      <c r="B35" s="245" t="s">
        <v>20</v>
      </c>
      <c r="C35" s="245" t="s">
        <v>15</v>
      </c>
      <c r="D35" s="243"/>
      <c r="E35" s="237"/>
      <c r="F35" s="237"/>
      <c r="G35" s="237"/>
      <c r="H35" s="237"/>
      <c r="I35" s="237"/>
      <c r="J35" s="237"/>
      <c r="K35" s="237"/>
      <c r="L35" s="237"/>
      <c r="M35" s="237"/>
      <c r="N35" s="237"/>
      <c r="O35" s="237"/>
      <c r="P35" s="237"/>
    </row>
    <row r="36" spans="1:16" s="241" customFormat="1" ht="13.5" x14ac:dyDescent="0.2">
      <c r="A36" s="244" t="s">
        <v>58</v>
      </c>
      <c r="B36" s="245" t="s">
        <v>20</v>
      </c>
      <c r="C36" s="245" t="s">
        <v>21</v>
      </c>
      <c r="D36" s="258"/>
      <c r="E36" s="237"/>
      <c r="F36" s="237"/>
      <c r="G36" s="237"/>
      <c r="H36" s="237"/>
      <c r="I36" s="237"/>
      <c r="J36" s="237"/>
      <c r="K36" s="237"/>
      <c r="L36" s="237"/>
      <c r="M36" s="237"/>
      <c r="N36" s="237"/>
      <c r="O36" s="237"/>
      <c r="P36" s="237"/>
    </row>
    <row r="37" spans="1:16" s="241" customFormat="1" ht="13.5" x14ac:dyDescent="0.2">
      <c r="A37" s="244" t="s">
        <v>59</v>
      </c>
      <c r="B37" s="245" t="s">
        <v>17</v>
      </c>
      <c r="C37" s="245" t="s">
        <v>21</v>
      </c>
      <c r="D37" s="243"/>
      <c r="E37" s="237"/>
      <c r="F37" s="237"/>
      <c r="G37" s="237"/>
      <c r="H37" s="237"/>
      <c r="I37" s="237"/>
      <c r="J37" s="237"/>
      <c r="K37" s="237"/>
      <c r="L37" s="237"/>
      <c r="M37" s="237"/>
      <c r="N37" s="237"/>
      <c r="O37" s="237"/>
      <c r="P37" s="237"/>
    </row>
    <row r="38" spans="1:16" s="241" customFormat="1" ht="11.45" customHeight="1" x14ac:dyDescent="0.2">
      <c r="A38" s="244" t="s">
        <v>60</v>
      </c>
      <c r="B38" s="244" t="s">
        <v>61</v>
      </c>
      <c r="C38" s="245" t="s">
        <v>21</v>
      </c>
      <c r="D38" s="243"/>
      <c r="E38" s="237"/>
      <c r="F38" s="237"/>
      <c r="G38" s="237"/>
      <c r="H38" s="237"/>
      <c r="I38" s="237"/>
      <c r="J38" s="237"/>
      <c r="K38" s="237"/>
      <c r="L38" s="237"/>
      <c r="M38" s="237"/>
      <c r="N38" s="237"/>
      <c r="O38" s="237"/>
      <c r="P38" s="237"/>
    </row>
    <row r="39" spans="1:16" s="241" customFormat="1" ht="13.5" x14ac:dyDescent="0.2">
      <c r="A39" s="244" t="s">
        <v>62</v>
      </c>
      <c r="B39" s="245" t="s">
        <v>14</v>
      </c>
      <c r="C39" s="245" t="s">
        <v>15</v>
      </c>
      <c r="D39" s="246"/>
      <c r="E39" s="239"/>
      <c r="F39" s="239"/>
      <c r="G39" s="239"/>
      <c r="H39" s="239"/>
      <c r="I39" s="239"/>
      <c r="J39" s="239"/>
      <c r="K39" s="239"/>
      <c r="L39" s="239"/>
      <c r="M39" s="239"/>
      <c r="N39" s="239"/>
      <c r="O39" s="239"/>
      <c r="P39" s="239"/>
    </row>
    <row r="40" spans="1:16" s="241" customFormat="1" ht="13.5" x14ac:dyDescent="0.2">
      <c r="A40" s="244" t="s">
        <v>63</v>
      </c>
      <c r="B40" s="245" t="s">
        <v>20</v>
      </c>
      <c r="C40" s="245" t="s">
        <v>21</v>
      </c>
      <c r="D40" s="246"/>
      <c r="E40" s="237"/>
      <c r="F40" s="237"/>
      <c r="G40" s="237"/>
      <c r="H40" s="237"/>
      <c r="I40" s="237"/>
      <c r="J40" s="237"/>
      <c r="K40" s="237"/>
      <c r="L40" s="237"/>
      <c r="M40" s="237"/>
      <c r="N40" s="237"/>
      <c r="O40" s="237"/>
      <c r="P40" s="237"/>
    </row>
    <row r="41" spans="1:16" s="241" customFormat="1" ht="13.5" x14ac:dyDescent="0.2">
      <c r="A41" s="244" t="s">
        <v>64</v>
      </c>
      <c r="B41" s="245" t="s">
        <v>14</v>
      </c>
      <c r="C41" s="245" t="s">
        <v>21</v>
      </c>
      <c r="D41" s="243"/>
      <c r="E41" s="237"/>
      <c r="F41" s="237"/>
      <c r="G41" s="237"/>
      <c r="H41" s="237"/>
      <c r="I41" s="237"/>
      <c r="J41" s="237"/>
      <c r="K41" s="237"/>
      <c r="L41" s="237"/>
      <c r="M41" s="237"/>
      <c r="N41" s="237"/>
      <c r="O41" s="237"/>
      <c r="P41" s="237"/>
    </row>
    <row r="42" spans="1:16" s="241" customFormat="1" ht="36" x14ac:dyDescent="0.2">
      <c r="A42" s="244" t="s">
        <v>65</v>
      </c>
      <c r="B42" s="245" t="s">
        <v>14</v>
      </c>
      <c r="C42" s="245" t="s">
        <v>21</v>
      </c>
      <c r="D42" s="243" t="s">
        <v>66</v>
      </c>
      <c r="E42" s="237"/>
      <c r="F42" s="237"/>
      <c r="G42" s="237"/>
      <c r="H42" s="237"/>
      <c r="I42" s="237"/>
      <c r="J42" s="237"/>
      <c r="K42" s="237"/>
      <c r="L42" s="237"/>
      <c r="M42" s="237"/>
      <c r="N42" s="237"/>
      <c r="O42" s="237"/>
      <c r="P42" s="237"/>
    </row>
    <row r="43" spans="1:16" s="241" customFormat="1" ht="36" x14ac:dyDescent="0.2">
      <c r="A43" s="244" t="s">
        <v>67</v>
      </c>
      <c r="B43" s="245" t="s">
        <v>20</v>
      </c>
      <c r="C43" s="245" t="s">
        <v>15</v>
      </c>
      <c r="D43" s="243" t="s">
        <v>68</v>
      </c>
      <c r="E43" s="237"/>
      <c r="F43" s="237"/>
      <c r="G43" s="237"/>
      <c r="H43" s="237"/>
      <c r="I43" s="237"/>
      <c r="J43" s="237"/>
      <c r="K43" s="237"/>
      <c r="L43" s="237"/>
      <c r="M43" s="237"/>
      <c r="N43" s="237"/>
      <c r="O43" s="237"/>
      <c r="P43" s="237"/>
    </row>
    <row r="44" spans="1:16" s="241" customFormat="1" ht="13.5" x14ac:dyDescent="0.2">
      <c r="A44" s="244" t="s">
        <v>69</v>
      </c>
      <c r="B44" s="245" t="s">
        <v>14</v>
      </c>
      <c r="C44" s="245" t="s">
        <v>15</v>
      </c>
      <c r="D44" s="243"/>
      <c r="E44" s="237"/>
      <c r="F44" s="237"/>
      <c r="G44" s="237"/>
      <c r="H44" s="237"/>
      <c r="I44" s="237"/>
      <c r="J44" s="237"/>
      <c r="K44" s="237"/>
      <c r="L44" s="237"/>
      <c r="M44" s="237"/>
      <c r="N44" s="237"/>
      <c r="O44" s="237"/>
      <c r="P44" s="237"/>
    </row>
    <row r="45" spans="1:16" s="241" customFormat="1" ht="48" x14ac:dyDescent="0.2">
      <c r="A45" s="244" t="s">
        <v>70</v>
      </c>
      <c r="B45" s="245" t="s">
        <v>20</v>
      </c>
      <c r="C45" s="245" t="s">
        <v>21</v>
      </c>
      <c r="D45" s="243" t="s">
        <v>71</v>
      </c>
      <c r="E45" s="237"/>
      <c r="F45" s="237"/>
      <c r="G45" s="237"/>
      <c r="H45" s="237"/>
      <c r="I45" s="237"/>
      <c r="J45" s="237"/>
      <c r="K45" s="237"/>
      <c r="L45" s="237"/>
      <c r="M45" s="237"/>
      <c r="N45" s="237"/>
      <c r="O45" s="237"/>
      <c r="P45" s="237"/>
    </row>
    <row r="46" spans="1:16" s="241" customFormat="1" ht="13.5" x14ac:dyDescent="0.2">
      <c r="A46" s="244" t="s">
        <v>72</v>
      </c>
      <c r="B46" s="245" t="s">
        <v>36</v>
      </c>
      <c r="C46" s="245" t="s">
        <v>21</v>
      </c>
      <c r="D46" s="257"/>
      <c r="E46" s="237"/>
      <c r="F46" s="237"/>
      <c r="G46" s="237"/>
      <c r="H46" s="237"/>
      <c r="I46" s="237"/>
      <c r="J46" s="237"/>
      <c r="K46" s="237"/>
      <c r="L46" s="237"/>
      <c r="M46" s="237"/>
      <c r="N46" s="237"/>
      <c r="O46" s="237"/>
      <c r="P46" s="237"/>
    </row>
    <row r="47" spans="1:16" s="241" customFormat="1" ht="13.5" x14ac:dyDescent="0.2">
      <c r="A47" s="244" t="s">
        <v>73</v>
      </c>
      <c r="B47" s="245" t="s">
        <v>20</v>
      </c>
      <c r="C47" s="245" t="s">
        <v>21</v>
      </c>
      <c r="D47" s="243" t="s">
        <v>24</v>
      </c>
      <c r="E47" s="237"/>
      <c r="F47" s="237"/>
      <c r="G47" s="237"/>
      <c r="H47" s="237"/>
      <c r="I47" s="237"/>
      <c r="J47" s="237"/>
      <c r="K47" s="237"/>
      <c r="L47" s="237"/>
      <c r="M47" s="237"/>
      <c r="N47" s="237"/>
      <c r="O47" s="237"/>
      <c r="P47" s="237"/>
    </row>
    <row r="48" spans="1:16" ht="13.5" x14ac:dyDescent="0.2">
      <c r="A48" s="244" t="s">
        <v>74</v>
      </c>
      <c r="B48" s="245" t="s">
        <v>17</v>
      </c>
      <c r="C48" s="245" t="s">
        <v>21</v>
      </c>
      <c r="D48" s="243"/>
    </row>
    <row r="49" spans="1:4" ht="13.5" x14ac:dyDescent="0.2">
      <c r="A49" s="244" t="s">
        <v>75</v>
      </c>
      <c r="B49" s="245" t="s">
        <v>17</v>
      </c>
      <c r="C49" s="245" t="s">
        <v>21</v>
      </c>
      <c r="D49" s="247"/>
    </row>
  </sheetData>
  <phoneticPr fontId="4" type="noConversion"/>
  <hyperlinks>
    <hyperlink ref="B3" r:id="rId1" xr:uid="{DE0B5446-9DFB-4CDD-9D99-E7ED0A5B11A4}"/>
  </hyperlinks>
  <printOptions horizontalCentered="1"/>
  <pageMargins left="0.70866141732283472" right="0.70866141732283472" top="0.74803149606299213" bottom="0.74803149606299213" header="0.31496062992125984" footer="0.31496062992125984"/>
  <pageSetup paperSize="9" scale="78" orientation="portrait" verticalDpi="12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8C466-F862-4536-975A-E9B02EB8231D}">
  <sheetPr codeName="Sheet3">
    <tabColor rgb="FF00B050"/>
  </sheetPr>
  <dimension ref="A1:K127"/>
  <sheetViews>
    <sheetView workbookViewId="0">
      <selection activeCell="H5" sqref="H5:K5"/>
    </sheetView>
  </sheetViews>
  <sheetFormatPr defaultColWidth="9.140625" defaultRowHeight="13.5" x14ac:dyDescent="0.25"/>
  <cols>
    <col min="1" max="1" width="51.7109375" style="66" customWidth="1"/>
    <col min="2" max="2" width="6.5703125" customWidth="1"/>
    <col min="3" max="3" width="20.85546875" customWidth="1"/>
    <col min="4" max="4" width="3.42578125" customWidth="1"/>
    <col min="5" max="5" width="21" style="67" customWidth="1"/>
    <col min="6" max="6" width="9.28515625" customWidth="1"/>
    <col min="7" max="7" width="49.7109375" customWidth="1"/>
    <col min="8" max="8" width="10.5703125" customWidth="1"/>
    <col min="9" max="9" width="21.140625" style="67" customWidth="1"/>
    <col min="10" max="10" width="4" customWidth="1"/>
    <col min="11" max="11" width="22.85546875" style="67" customWidth="1"/>
  </cols>
  <sheetData>
    <row r="1" spans="1:11" s="114" customFormat="1" ht="39.75" customHeight="1" x14ac:dyDescent="0.2">
      <c r="A1" s="112" t="s">
        <v>76</v>
      </c>
      <c r="B1" s="190" t="e">
        <f>IF(LEN(#REF!)&gt;0,#REF!,"")</f>
        <v>#REF!</v>
      </c>
      <c r="C1" s="191"/>
      <c r="D1" s="184"/>
      <c r="E1" s="185"/>
      <c r="F1" s="184"/>
      <c r="G1" s="184" t="str" cm="1">
        <f t="array" aca="1" ref="G1" ca="1">MID(CELL("filename",Test_Month!A1),FIND("]",CELL("filename",Test_Month!A1))+1,255)</f>
        <v>Test_Month</v>
      </c>
      <c r="H1" s="113"/>
      <c r="I1" s="113"/>
      <c r="J1" s="113"/>
      <c r="K1" s="186"/>
    </row>
    <row r="2" spans="1:11" ht="14.25" customHeight="1" x14ac:dyDescent="0.25"/>
    <row r="3" spans="1:11" ht="6" customHeight="1" x14ac:dyDescent="0.2">
      <c r="A3" s="109" t="e">
        <f>mySheeetName</f>
        <v>#NAME?</v>
      </c>
      <c r="B3" s="110"/>
      <c r="C3" s="110"/>
      <c r="D3" s="110"/>
      <c r="E3" s="111"/>
      <c r="F3" s="110"/>
      <c r="G3" s="110"/>
      <c r="H3" s="110"/>
      <c r="I3" s="111"/>
      <c r="J3" s="110"/>
      <c r="K3" s="111"/>
    </row>
    <row r="4" spans="1:11" s="65" customFormat="1" ht="45" customHeight="1" thickBot="1" x14ac:dyDescent="0.3">
      <c r="A4" s="95" t="s">
        <v>77</v>
      </c>
      <c r="B4" s="92"/>
      <c r="C4" s="92"/>
      <c r="D4" s="92"/>
      <c r="E4" s="97"/>
      <c r="F4" s="108"/>
      <c r="G4" s="91"/>
      <c r="H4" s="93"/>
      <c r="I4" s="92"/>
      <c r="J4" s="92"/>
      <c r="K4" s="94"/>
    </row>
    <row r="5" spans="1:11" ht="40.5" customHeight="1" thickTop="1" thickBot="1" x14ac:dyDescent="0.25">
      <c r="A5" s="187" t="s">
        <v>78</v>
      </c>
      <c r="B5" s="259" t="s">
        <v>79</v>
      </c>
      <c r="C5" s="260"/>
      <c r="D5" s="260"/>
      <c r="E5" s="260"/>
      <c r="F5" s="261"/>
      <c r="G5" s="187" t="s">
        <v>78</v>
      </c>
      <c r="H5" s="259" t="s">
        <v>80</v>
      </c>
      <c r="I5" s="260"/>
      <c r="J5" s="260"/>
      <c r="K5" s="260"/>
    </row>
    <row r="6" spans="1:11" ht="33.75" customHeight="1" thickTop="1" thickBot="1" x14ac:dyDescent="0.25">
      <c r="A6" s="187" t="s">
        <v>81</v>
      </c>
      <c r="B6" s="259" t="s">
        <v>82</v>
      </c>
      <c r="C6" s="260"/>
      <c r="D6" s="260"/>
      <c r="E6" s="260"/>
      <c r="F6" s="261"/>
      <c r="G6" s="187" t="s">
        <v>81</v>
      </c>
      <c r="H6" s="259" t="s">
        <v>82</v>
      </c>
      <c r="I6" s="260"/>
      <c r="J6" s="260"/>
      <c r="K6" s="260"/>
    </row>
    <row r="7" spans="1:11" ht="20.100000000000001" customHeight="1" thickTop="1" thickBot="1" x14ac:dyDescent="0.25">
      <c r="A7" s="96" t="s">
        <v>83</v>
      </c>
      <c r="B7" s="86"/>
      <c r="C7" s="87"/>
      <c r="D7" s="86"/>
      <c r="E7" s="89"/>
      <c r="F7" s="86"/>
      <c r="G7" s="88"/>
      <c r="H7" s="86"/>
      <c r="I7" s="87"/>
      <c r="J7" s="86"/>
      <c r="K7" s="63"/>
    </row>
    <row r="8" spans="1:11" ht="20.100000000000001" customHeight="1" thickTop="1" thickBot="1" x14ac:dyDescent="0.25">
      <c r="A8" s="123" t="s">
        <v>84</v>
      </c>
      <c r="B8" s="124" t="s">
        <v>85</v>
      </c>
      <c r="C8" s="61"/>
      <c r="D8" s="192"/>
      <c r="E8" s="193"/>
      <c r="F8" s="129"/>
      <c r="G8" s="123" t="s">
        <v>84</v>
      </c>
      <c r="H8" s="130" t="s">
        <v>85</v>
      </c>
      <c r="I8" s="61"/>
      <c r="J8" s="192"/>
      <c r="K8" s="193"/>
    </row>
    <row r="9" spans="1:11" ht="20.100000000000001" customHeight="1" thickTop="1" thickBot="1" x14ac:dyDescent="0.25">
      <c r="A9" s="125" t="s">
        <v>86</v>
      </c>
      <c r="B9" s="126"/>
      <c r="C9" s="62">
        <v>45474</v>
      </c>
      <c r="D9" s="194"/>
      <c r="E9" s="195"/>
      <c r="F9" s="129"/>
      <c r="G9" s="125" t="s">
        <v>86</v>
      </c>
      <c r="H9" s="131"/>
      <c r="I9" s="62">
        <v>45474</v>
      </c>
      <c r="J9" s="194"/>
      <c r="K9" s="195"/>
    </row>
    <row r="10" spans="1:11" ht="20.100000000000001" customHeight="1" thickTop="1" thickBot="1" x14ac:dyDescent="0.25">
      <c r="A10" s="127" t="s">
        <v>87</v>
      </c>
      <c r="B10" s="128"/>
      <c r="C10" s="195"/>
      <c r="D10" s="196" t="s">
        <v>88</v>
      </c>
      <c r="E10" s="61"/>
      <c r="F10" s="129"/>
      <c r="G10" s="127" t="s">
        <v>87</v>
      </c>
      <c r="H10" s="129"/>
      <c r="I10" s="195"/>
      <c r="J10" s="196" t="s">
        <v>88</v>
      </c>
      <c r="K10" s="61"/>
    </row>
    <row r="11" spans="1:11" ht="20.100000000000001" customHeight="1" thickTop="1" thickBot="1" x14ac:dyDescent="0.25">
      <c r="A11" s="96" t="s">
        <v>89</v>
      </c>
      <c r="B11" s="15"/>
      <c r="C11" s="197"/>
      <c r="D11" s="198"/>
      <c r="E11" s="199"/>
      <c r="F11" s="15"/>
      <c r="G11" s="16"/>
      <c r="H11" s="15"/>
      <c r="I11" s="197"/>
      <c r="J11" s="198"/>
      <c r="K11" s="211"/>
    </row>
    <row r="12" spans="1:11" ht="20.100000000000001" customHeight="1" thickTop="1" thickBot="1" x14ac:dyDescent="0.25">
      <c r="A12" s="123" t="s">
        <v>84</v>
      </c>
      <c r="B12" s="133" t="s">
        <v>85</v>
      </c>
      <c r="C12" s="61"/>
      <c r="D12" s="200"/>
      <c r="E12" s="193"/>
      <c r="F12" s="129"/>
      <c r="G12" s="123" t="s">
        <v>84</v>
      </c>
      <c r="H12" s="132" t="s">
        <v>85</v>
      </c>
      <c r="I12" s="61"/>
      <c r="J12" s="200"/>
      <c r="K12" s="193"/>
    </row>
    <row r="13" spans="1:11" ht="20.100000000000001" customHeight="1" thickTop="1" thickBot="1" x14ac:dyDescent="0.25">
      <c r="A13" s="125" t="s">
        <v>86</v>
      </c>
      <c r="B13" s="126"/>
      <c r="C13" s="62"/>
      <c r="D13" s="194"/>
      <c r="E13" s="195"/>
      <c r="F13" s="129"/>
      <c r="G13" s="125" t="s">
        <v>86</v>
      </c>
      <c r="H13" s="131"/>
      <c r="I13" s="62"/>
      <c r="J13" s="194"/>
      <c r="K13" s="195"/>
    </row>
    <row r="14" spans="1:11" ht="20.100000000000001" customHeight="1" thickTop="1" thickBot="1" x14ac:dyDescent="0.25">
      <c r="A14" s="127" t="s">
        <v>87</v>
      </c>
      <c r="B14" s="128"/>
      <c r="C14" s="195"/>
      <c r="D14" s="196" t="s">
        <v>88</v>
      </c>
      <c r="E14" s="61"/>
      <c r="F14" s="129"/>
      <c r="G14" s="127" t="s">
        <v>87</v>
      </c>
      <c r="H14" s="129"/>
      <c r="I14" s="195"/>
      <c r="J14" s="196" t="s">
        <v>88</v>
      </c>
      <c r="K14" s="61"/>
    </row>
    <row r="15" spans="1:11" ht="20.100000000000001" customHeight="1" thickTop="1" thickBot="1" x14ac:dyDescent="0.25">
      <c r="A15" s="90" t="s">
        <v>90</v>
      </c>
      <c r="B15" s="13"/>
      <c r="C15" s="201"/>
      <c r="D15" s="202"/>
      <c r="E15" s="203"/>
      <c r="F15" s="13"/>
      <c r="G15" s="14"/>
      <c r="H15" s="13"/>
      <c r="I15" s="201"/>
      <c r="J15" s="202"/>
      <c r="K15" s="212"/>
    </row>
    <row r="16" spans="1:11" ht="20.100000000000001" customHeight="1" thickTop="1" thickBot="1" x14ac:dyDescent="0.25">
      <c r="A16" s="123" t="s">
        <v>84</v>
      </c>
      <c r="B16" s="133" t="s">
        <v>85</v>
      </c>
      <c r="C16" s="61"/>
      <c r="D16" s="200"/>
      <c r="E16" s="193"/>
      <c r="F16" s="129"/>
      <c r="G16" s="123" t="s">
        <v>84</v>
      </c>
      <c r="H16" s="133" t="s">
        <v>85</v>
      </c>
      <c r="I16" s="61"/>
      <c r="J16" s="200"/>
      <c r="K16" s="194"/>
    </row>
    <row r="17" spans="1:11" ht="20.100000000000001" customHeight="1" thickTop="1" thickBot="1" x14ac:dyDescent="0.25">
      <c r="A17" s="125" t="s">
        <v>91</v>
      </c>
      <c r="B17" s="126"/>
      <c r="C17" s="188">
        <v>45626</v>
      </c>
      <c r="D17" s="194"/>
      <c r="E17" s="195"/>
      <c r="F17" s="129"/>
      <c r="G17" s="125" t="s">
        <v>91</v>
      </c>
      <c r="H17" s="126"/>
      <c r="I17" s="188">
        <v>45626</v>
      </c>
      <c r="J17" s="213"/>
      <c r="K17" s="195"/>
    </row>
    <row r="18" spans="1:11" ht="20.100000000000001" customHeight="1" thickTop="1" thickBot="1" x14ac:dyDescent="0.25">
      <c r="A18" s="127" t="s">
        <v>87</v>
      </c>
      <c r="B18" s="134"/>
      <c r="C18" s="195"/>
      <c r="D18" s="196" t="s">
        <v>88</v>
      </c>
      <c r="E18" s="61"/>
      <c r="F18" s="135"/>
      <c r="G18" s="127" t="s">
        <v>87</v>
      </c>
      <c r="H18" s="134"/>
      <c r="I18" s="195"/>
      <c r="J18" s="196" t="s">
        <v>88</v>
      </c>
      <c r="K18" s="61"/>
    </row>
    <row r="19" spans="1:11" ht="20.100000000000001" customHeight="1" thickTop="1" thickBot="1" x14ac:dyDescent="0.25">
      <c r="A19" s="90" t="s">
        <v>92</v>
      </c>
      <c r="B19" s="13"/>
      <c r="C19" s="201"/>
      <c r="D19" s="202"/>
      <c r="E19" s="203"/>
      <c r="F19" s="13"/>
      <c r="G19" s="14"/>
      <c r="H19" s="13"/>
      <c r="I19" s="201"/>
      <c r="J19" s="202"/>
      <c r="K19" s="212"/>
    </row>
    <row r="20" spans="1:11" ht="20.100000000000001" customHeight="1" thickTop="1" thickBot="1" x14ac:dyDescent="0.25">
      <c r="A20" s="123" t="s">
        <v>84</v>
      </c>
      <c r="B20" s="133" t="s">
        <v>85</v>
      </c>
      <c r="C20" s="61"/>
      <c r="D20" s="200"/>
      <c r="E20" s="193"/>
      <c r="F20" s="129"/>
      <c r="G20" s="123" t="s">
        <v>84</v>
      </c>
      <c r="H20" s="133" t="s">
        <v>85</v>
      </c>
      <c r="I20" s="61"/>
      <c r="J20" s="200"/>
      <c r="K20" s="193"/>
    </row>
    <row r="21" spans="1:11" ht="20.100000000000001" customHeight="1" thickTop="1" thickBot="1" x14ac:dyDescent="0.25">
      <c r="A21" s="125" t="s">
        <v>91</v>
      </c>
      <c r="B21" s="126"/>
      <c r="C21" s="188"/>
      <c r="D21" s="194"/>
      <c r="E21" s="195"/>
      <c r="F21" s="129"/>
      <c r="G21" s="125" t="s">
        <v>91</v>
      </c>
      <c r="H21" s="126"/>
      <c r="I21" s="188"/>
      <c r="J21" s="194"/>
      <c r="K21" s="195"/>
    </row>
    <row r="22" spans="1:11" ht="20.100000000000001" customHeight="1" thickTop="1" thickBot="1" x14ac:dyDescent="0.25">
      <c r="A22" s="127" t="s">
        <v>87</v>
      </c>
      <c r="B22" s="134"/>
      <c r="C22" s="204"/>
      <c r="D22" s="205" t="s">
        <v>88</v>
      </c>
      <c r="E22" s="61"/>
      <c r="F22" s="135"/>
      <c r="G22" s="127" t="s">
        <v>87</v>
      </c>
      <c r="H22" s="134"/>
      <c r="I22" s="204"/>
      <c r="J22" s="205" t="s">
        <v>88</v>
      </c>
      <c r="K22" s="61" t="str">
        <f>ADDRESS(ROW(),COLUMN(),4)</f>
        <v>K22</v>
      </c>
    </row>
    <row r="23" spans="1:11" ht="20.100000000000001" customHeight="1" thickTop="1" x14ac:dyDescent="0.2">
      <c r="A23" s="81"/>
      <c r="B23" s="82"/>
      <c r="C23" s="83"/>
      <c r="D23" s="84"/>
      <c r="E23" s="83"/>
      <c r="F23" s="83"/>
      <c r="G23" s="81"/>
      <c r="H23" s="82"/>
      <c r="I23" s="85"/>
      <c r="J23" s="84"/>
      <c r="K23" s="85"/>
    </row>
    <row r="24" spans="1:11" ht="22.5" customHeight="1" x14ac:dyDescent="0.2">
      <c r="A24" s="95" t="s">
        <v>93</v>
      </c>
      <c r="B24" s="92"/>
      <c r="C24" s="92"/>
      <c r="D24" s="92"/>
      <c r="E24" s="97"/>
      <c r="F24" s="97"/>
      <c r="G24" s="91"/>
      <c r="H24" s="93"/>
      <c r="I24" s="92"/>
      <c r="J24" s="92"/>
      <c r="K24" s="94"/>
    </row>
    <row r="25" spans="1:11" ht="26.25" customHeight="1" x14ac:dyDescent="0.25">
      <c r="A25" s="103"/>
      <c r="B25" s="98" t="str">
        <f>$B$5</f>
        <v>North</v>
      </c>
      <c r="C25" s="99"/>
      <c r="D25" s="99"/>
      <c r="E25" s="100"/>
      <c r="F25" s="101"/>
      <c r="G25" s="104"/>
      <c r="H25" s="98" t="str">
        <f>H5</f>
        <v>South</v>
      </c>
      <c r="I25" s="99"/>
      <c r="J25" s="99"/>
      <c r="K25" s="100"/>
    </row>
    <row r="26" spans="1:11" ht="28.5" customHeight="1" thickBot="1" x14ac:dyDescent="0.25">
      <c r="A26" s="102"/>
      <c r="B26" s="262" t="str">
        <f>B6</f>
        <v>Please specify</v>
      </c>
      <c r="C26" s="263">
        <f t="shared" ref="C26:K26" si="0">C6</f>
        <v>0</v>
      </c>
      <c r="D26" s="263">
        <f t="shared" si="0"/>
        <v>0</v>
      </c>
      <c r="E26" s="263">
        <f t="shared" si="0"/>
        <v>0</v>
      </c>
      <c r="F26" s="264">
        <f t="shared" si="0"/>
        <v>0</v>
      </c>
      <c r="G26" s="102"/>
      <c r="H26" s="265" t="str">
        <f>H6</f>
        <v>Please specify</v>
      </c>
      <c r="I26" s="266">
        <f t="shared" si="0"/>
        <v>0</v>
      </c>
      <c r="J26" s="266">
        <f t="shared" si="0"/>
        <v>0</v>
      </c>
      <c r="K26" s="267">
        <f t="shared" si="0"/>
        <v>0</v>
      </c>
    </row>
    <row r="27" spans="1:11" ht="20.100000000000001" customHeight="1" thickTop="1" thickBot="1" x14ac:dyDescent="0.25">
      <c r="A27" s="68" t="s">
        <v>94</v>
      </c>
      <c r="B27" s="142"/>
      <c r="C27" s="143"/>
      <c r="D27" s="143"/>
      <c r="E27" s="143"/>
      <c r="F27" s="144"/>
      <c r="G27" s="68" t="s">
        <v>94</v>
      </c>
      <c r="H27" s="142"/>
      <c r="I27" s="143"/>
      <c r="J27" s="143"/>
      <c r="K27" s="143"/>
    </row>
    <row r="28" spans="1:11" ht="20.100000000000001" customHeight="1" thickTop="1" thickBot="1" x14ac:dyDescent="0.25">
      <c r="A28" s="138" t="s">
        <v>84</v>
      </c>
      <c r="B28" s="129" t="s">
        <v>85</v>
      </c>
      <c r="C28" s="61"/>
      <c r="D28" s="200"/>
      <c r="E28" s="206"/>
      <c r="F28" s="145"/>
      <c r="G28" s="138" t="s">
        <v>84</v>
      </c>
      <c r="H28" s="129" t="s">
        <v>85</v>
      </c>
      <c r="I28" s="61"/>
      <c r="J28" s="200"/>
      <c r="K28" s="206"/>
    </row>
    <row r="29" spans="1:11" ht="20.100000000000001" customHeight="1" thickTop="1" thickBot="1" x14ac:dyDescent="0.25">
      <c r="A29" s="139" t="s">
        <v>95</v>
      </c>
      <c r="B29" s="128" t="s">
        <v>85</v>
      </c>
      <c r="C29" s="64">
        <v>45505</v>
      </c>
      <c r="D29" s="207" t="s">
        <v>88</v>
      </c>
      <c r="E29" s="64">
        <v>45505</v>
      </c>
      <c r="F29" s="129"/>
      <c r="G29" s="139" t="s">
        <v>95</v>
      </c>
      <c r="H29" s="128" t="s">
        <v>85</v>
      </c>
      <c r="I29" s="64">
        <v>45505</v>
      </c>
      <c r="J29" s="207" t="s">
        <v>88</v>
      </c>
      <c r="K29" s="64">
        <v>45505</v>
      </c>
    </row>
    <row r="30" spans="1:11" ht="20.100000000000001" customHeight="1" thickTop="1" thickBot="1" x14ac:dyDescent="0.25">
      <c r="A30" s="140" t="s">
        <v>96</v>
      </c>
      <c r="B30" s="128" t="s">
        <v>85</v>
      </c>
      <c r="C30" s="107"/>
      <c r="D30" s="207" t="s">
        <v>88</v>
      </c>
      <c r="E30" s="107"/>
      <c r="F30" s="146"/>
      <c r="G30" s="140" t="s">
        <v>96</v>
      </c>
      <c r="H30" s="128" t="s">
        <v>85</v>
      </c>
      <c r="I30" s="107"/>
      <c r="J30" s="207" t="s">
        <v>88</v>
      </c>
      <c r="K30" s="107"/>
    </row>
    <row r="31" spans="1:11" ht="20.100000000000001" customHeight="1" thickTop="1" thickBot="1" x14ac:dyDescent="0.25">
      <c r="A31" s="141" t="s">
        <v>87</v>
      </c>
      <c r="B31" s="128"/>
      <c r="C31" s="193"/>
      <c r="D31" s="208" t="s">
        <v>88</v>
      </c>
      <c r="E31" s="137"/>
      <c r="F31" s="129"/>
      <c r="G31" s="141" t="s">
        <v>87</v>
      </c>
      <c r="H31" s="128"/>
      <c r="I31" s="193"/>
      <c r="J31" s="208" t="s">
        <v>88</v>
      </c>
      <c r="K31" s="137"/>
    </row>
    <row r="32" spans="1:11" ht="20.100000000000001" customHeight="1" thickTop="1" thickBot="1" x14ac:dyDescent="0.25">
      <c r="A32" s="68" t="s">
        <v>97</v>
      </c>
      <c r="B32" s="189">
        <f>MAX(C28:E31)</f>
        <v>45505</v>
      </c>
      <c r="C32" s="209"/>
      <c r="D32" s="209"/>
      <c r="E32" s="209"/>
      <c r="F32" s="144"/>
      <c r="G32" s="68" t="s">
        <v>97</v>
      </c>
      <c r="H32" s="189">
        <f>MAX(I28:K31)</f>
        <v>45505</v>
      </c>
      <c r="I32" s="209"/>
      <c r="J32" s="209"/>
      <c r="K32" s="209"/>
    </row>
    <row r="33" spans="1:11" ht="20.100000000000001" customHeight="1" thickTop="1" thickBot="1" x14ac:dyDescent="0.25">
      <c r="A33" s="138" t="s">
        <v>84</v>
      </c>
      <c r="B33" s="129" t="s">
        <v>85</v>
      </c>
      <c r="C33" s="61"/>
      <c r="D33" s="200"/>
      <c r="E33" s="206"/>
      <c r="F33" s="145"/>
      <c r="G33" s="138" t="s">
        <v>84</v>
      </c>
      <c r="H33" s="129" t="s">
        <v>85</v>
      </c>
      <c r="I33" s="61"/>
      <c r="J33" s="200"/>
      <c r="K33" s="206"/>
    </row>
    <row r="34" spans="1:11" ht="22.5" customHeight="1" thickTop="1" thickBot="1" x14ac:dyDescent="0.25">
      <c r="A34" s="139" t="s">
        <v>95</v>
      </c>
      <c r="B34" s="128" t="s">
        <v>85</v>
      </c>
      <c r="C34" s="64">
        <v>45536</v>
      </c>
      <c r="D34" s="207" t="s">
        <v>88</v>
      </c>
      <c r="E34" s="64">
        <v>45537</v>
      </c>
      <c r="F34" s="129"/>
      <c r="G34" s="139" t="s">
        <v>95</v>
      </c>
      <c r="H34" s="128" t="s">
        <v>85</v>
      </c>
      <c r="I34" s="64"/>
      <c r="J34" s="207" t="s">
        <v>88</v>
      </c>
      <c r="K34" s="64"/>
    </row>
    <row r="35" spans="1:11" ht="20.100000000000001" customHeight="1" thickTop="1" thickBot="1" x14ac:dyDescent="0.25">
      <c r="A35" s="140" t="s">
        <v>96</v>
      </c>
      <c r="B35" s="128" t="s">
        <v>85</v>
      </c>
      <c r="C35" s="107"/>
      <c r="D35" s="207" t="s">
        <v>88</v>
      </c>
      <c r="E35" s="107"/>
      <c r="F35" s="146"/>
      <c r="G35" s="140" t="s">
        <v>96</v>
      </c>
      <c r="H35" s="128" t="s">
        <v>85</v>
      </c>
      <c r="I35" s="107"/>
      <c r="J35" s="207" t="s">
        <v>88</v>
      </c>
      <c r="K35" s="107"/>
    </row>
    <row r="36" spans="1:11" ht="20.100000000000001" customHeight="1" thickTop="1" thickBot="1" x14ac:dyDescent="0.25">
      <c r="A36" s="141" t="s">
        <v>87</v>
      </c>
      <c r="B36" s="128"/>
      <c r="C36" s="193"/>
      <c r="D36" s="208" t="s">
        <v>88</v>
      </c>
      <c r="E36" s="137"/>
      <c r="F36" s="129"/>
      <c r="G36" s="141" t="s">
        <v>87</v>
      </c>
      <c r="H36" s="128"/>
      <c r="I36" s="193"/>
      <c r="J36" s="208" t="s">
        <v>88</v>
      </c>
      <c r="K36" s="137"/>
    </row>
    <row r="37" spans="1:11" ht="20.100000000000001" customHeight="1" thickTop="1" thickBot="1" x14ac:dyDescent="0.25">
      <c r="A37" s="68" t="s">
        <v>98</v>
      </c>
      <c r="B37" s="189">
        <f>MAX(C33:E36)</f>
        <v>45537</v>
      </c>
      <c r="C37" s="209"/>
      <c r="D37" s="209"/>
      <c r="E37" s="209"/>
      <c r="F37" s="144"/>
      <c r="G37" s="68" t="s">
        <v>98</v>
      </c>
      <c r="H37" s="189">
        <f>MAX(I33:K36)</f>
        <v>0</v>
      </c>
      <c r="I37" s="209"/>
      <c r="J37" s="209"/>
      <c r="K37" s="209"/>
    </row>
    <row r="38" spans="1:11" ht="20.100000000000001" customHeight="1" thickTop="1" thickBot="1" x14ac:dyDescent="0.25">
      <c r="A38" s="138" t="s">
        <v>84</v>
      </c>
      <c r="B38" s="129" t="s">
        <v>85</v>
      </c>
      <c r="C38" s="61"/>
      <c r="D38" s="200"/>
      <c r="E38" s="206"/>
      <c r="F38" s="145"/>
      <c r="G38" s="138" t="s">
        <v>84</v>
      </c>
      <c r="H38" s="129" t="s">
        <v>85</v>
      </c>
      <c r="I38" s="61"/>
      <c r="J38" s="200"/>
      <c r="K38" s="206"/>
    </row>
    <row r="39" spans="1:11" ht="20.100000000000001" customHeight="1" thickTop="1" thickBot="1" x14ac:dyDescent="0.25">
      <c r="A39" s="139" t="s">
        <v>95</v>
      </c>
      <c r="B39" s="128" t="s">
        <v>85</v>
      </c>
      <c r="C39" s="64">
        <v>45566</v>
      </c>
      <c r="D39" s="207" t="s">
        <v>88</v>
      </c>
      <c r="E39" s="64">
        <v>45567</v>
      </c>
      <c r="F39" s="129"/>
      <c r="G39" s="139" t="s">
        <v>95</v>
      </c>
      <c r="H39" s="128" t="s">
        <v>85</v>
      </c>
      <c r="I39" s="64"/>
      <c r="J39" s="207" t="s">
        <v>88</v>
      </c>
      <c r="K39" s="64"/>
    </row>
    <row r="40" spans="1:11" ht="20.100000000000001" customHeight="1" thickTop="1" thickBot="1" x14ac:dyDescent="0.25">
      <c r="A40" s="140" t="s">
        <v>96</v>
      </c>
      <c r="B40" s="128" t="s">
        <v>85</v>
      </c>
      <c r="C40" s="107"/>
      <c r="D40" s="207" t="s">
        <v>88</v>
      </c>
      <c r="E40" s="107"/>
      <c r="F40" s="146"/>
      <c r="G40" s="140" t="s">
        <v>96</v>
      </c>
      <c r="H40" s="128" t="s">
        <v>85</v>
      </c>
      <c r="I40" s="107"/>
      <c r="J40" s="207" t="s">
        <v>88</v>
      </c>
      <c r="K40" s="107"/>
    </row>
    <row r="41" spans="1:11" ht="20.100000000000001" customHeight="1" thickTop="1" thickBot="1" x14ac:dyDescent="0.25">
      <c r="A41" s="141" t="s">
        <v>87</v>
      </c>
      <c r="B41" s="128"/>
      <c r="C41" s="193"/>
      <c r="D41" s="208" t="s">
        <v>88</v>
      </c>
      <c r="E41" s="137"/>
      <c r="F41" s="129"/>
      <c r="G41" s="141" t="s">
        <v>87</v>
      </c>
      <c r="H41" s="128"/>
      <c r="I41" s="193"/>
      <c r="J41" s="208" t="s">
        <v>88</v>
      </c>
      <c r="K41" s="137"/>
    </row>
    <row r="42" spans="1:11" ht="20.100000000000001" customHeight="1" thickTop="1" thickBot="1" x14ac:dyDescent="0.25">
      <c r="A42" s="68" t="s">
        <v>99</v>
      </c>
      <c r="B42" s="189">
        <f>MAX(C38:E41)</f>
        <v>45567</v>
      </c>
      <c r="C42" s="209"/>
      <c r="D42" s="209"/>
      <c r="E42" s="209"/>
      <c r="F42" s="144"/>
      <c r="G42" s="68" t="s">
        <v>99</v>
      </c>
      <c r="H42" s="189">
        <f>MAX(I38:K41)</f>
        <v>0</v>
      </c>
      <c r="I42" s="209"/>
      <c r="J42" s="209"/>
      <c r="K42" s="209"/>
    </row>
    <row r="43" spans="1:11" ht="20.100000000000001" customHeight="1" thickTop="1" thickBot="1" x14ac:dyDescent="0.25">
      <c r="A43" s="138" t="s">
        <v>84</v>
      </c>
      <c r="B43" s="129" t="s">
        <v>85</v>
      </c>
      <c r="C43" s="61"/>
      <c r="D43" s="200"/>
      <c r="E43" s="206"/>
      <c r="F43" s="145"/>
      <c r="G43" s="138" t="s">
        <v>84</v>
      </c>
      <c r="H43" s="129" t="s">
        <v>85</v>
      </c>
      <c r="I43" s="61"/>
      <c r="J43" s="200"/>
      <c r="K43" s="206"/>
    </row>
    <row r="44" spans="1:11" ht="20.100000000000001" customHeight="1" thickTop="1" thickBot="1" x14ac:dyDescent="0.25">
      <c r="A44" s="139" t="s">
        <v>95</v>
      </c>
      <c r="B44" s="128" t="s">
        <v>85</v>
      </c>
      <c r="C44" s="64">
        <v>45597</v>
      </c>
      <c r="D44" s="207" t="s">
        <v>88</v>
      </c>
      <c r="E44" s="64">
        <v>45598</v>
      </c>
      <c r="F44" s="129"/>
      <c r="G44" s="139" t="s">
        <v>95</v>
      </c>
      <c r="H44" s="128" t="s">
        <v>85</v>
      </c>
      <c r="I44" s="64"/>
      <c r="J44" s="207" t="s">
        <v>88</v>
      </c>
      <c r="K44" s="64"/>
    </row>
    <row r="45" spans="1:11" ht="20.100000000000001" customHeight="1" thickTop="1" thickBot="1" x14ac:dyDescent="0.25">
      <c r="A45" s="140" t="s">
        <v>96</v>
      </c>
      <c r="B45" s="128" t="s">
        <v>85</v>
      </c>
      <c r="C45" s="107"/>
      <c r="D45" s="207" t="s">
        <v>88</v>
      </c>
      <c r="E45" s="107"/>
      <c r="F45" s="146"/>
      <c r="G45" s="140" t="s">
        <v>96</v>
      </c>
      <c r="H45" s="128" t="s">
        <v>85</v>
      </c>
      <c r="I45" s="107"/>
      <c r="J45" s="207" t="s">
        <v>88</v>
      </c>
      <c r="K45" s="107"/>
    </row>
    <row r="46" spans="1:11" ht="20.100000000000001" customHeight="1" thickTop="1" thickBot="1" x14ac:dyDescent="0.25">
      <c r="A46" s="141" t="s">
        <v>87</v>
      </c>
      <c r="B46" s="128"/>
      <c r="C46" s="193"/>
      <c r="D46" s="208" t="s">
        <v>88</v>
      </c>
      <c r="E46" s="137"/>
      <c r="F46" s="129"/>
      <c r="G46" s="141" t="s">
        <v>87</v>
      </c>
      <c r="H46" s="128"/>
      <c r="I46" s="193"/>
      <c r="J46" s="208" t="s">
        <v>88</v>
      </c>
      <c r="K46" s="137"/>
    </row>
    <row r="47" spans="1:11" ht="20.100000000000001" customHeight="1" thickTop="1" thickBot="1" x14ac:dyDescent="0.25">
      <c r="A47" s="68" t="s">
        <v>100</v>
      </c>
      <c r="B47" s="189">
        <f>MAX(C43:E46)</f>
        <v>45598</v>
      </c>
      <c r="C47" s="209"/>
      <c r="D47" s="209"/>
      <c r="E47" s="209"/>
      <c r="F47" s="144"/>
      <c r="G47" s="68" t="s">
        <v>100</v>
      </c>
      <c r="H47" s="189">
        <f>MAX(I43:K46)</f>
        <v>0</v>
      </c>
      <c r="I47" s="209"/>
      <c r="J47" s="209"/>
      <c r="K47" s="209"/>
    </row>
    <row r="48" spans="1:11" ht="20.100000000000001" customHeight="1" thickTop="1" thickBot="1" x14ac:dyDescent="0.25">
      <c r="A48" s="138" t="s">
        <v>84</v>
      </c>
      <c r="B48" s="129" t="s">
        <v>85</v>
      </c>
      <c r="C48" s="61"/>
      <c r="D48" s="200"/>
      <c r="E48" s="206"/>
      <c r="F48" s="145"/>
      <c r="G48" s="138" t="s">
        <v>84</v>
      </c>
      <c r="H48" s="129" t="s">
        <v>85</v>
      </c>
      <c r="I48" s="61"/>
      <c r="J48" s="200"/>
      <c r="K48" s="206"/>
    </row>
    <row r="49" spans="1:11" ht="20.100000000000001" customHeight="1" thickTop="1" thickBot="1" x14ac:dyDescent="0.25">
      <c r="A49" s="139" t="s">
        <v>95</v>
      </c>
      <c r="B49" s="128" t="s">
        <v>85</v>
      </c>
      <c r="C49" s="64">
        <v>45627</v>
      </c>
      <c r="D49" s="207" t="s">
        <v>88</v>
      </c>
      <c r="E49" s="64">
        <v>45628</v>
      </c>
      <c r="F49" s="129"/>
      <c r="G49" s="139" t="s">
        <v>95</v>
      </c>
      <c r="H49" s="128" t="s">
        <v>85</v>
      </c>
      <c r="I49" s="64"/>
      <c r="J49" s="207" t="s">
        <v>88</v>
      </c>
      <c r="K49" s="64"/>
    </row>
    <row r="50" spans="1:11" ht="20.100000000000001" customHeight="1" thickTop="1" thickBot="1" x14ac:dyDescent="0.25">
      <c r="A50" s="140" t="s">
        <v>96</v>
      </c>
      <c r="B50" s="128" t="s">
        <v>85</v>
      </c>
      <c r="C50" s="107"/>
      <c r="D50" s="207" t="s">
        <v>88</v>
      </c>
      <c r="E50" s="107"/>
      <c r="F50" s="146"/>
      <c r="G50" s="140" t="s">
        <v>96</v>
      </c>
      <c r="H50" s="128" t="s">
        <v>85</v>
      </c>
      <c r="I50" s="107"/>
      <c r="J50" s="207" t="s">
        <v>88</v>
      </c>
      <c r="K50" s="107"/>
    </row>
    <row r="51" spans="1:11" ht="20.100000000000001" customHeight="1" thickTop="1" thickBot="1" x14ac:dyDescent="0.25">
      <c r="A51" s="141" t="s">
        <v>87</v>
      </c>
      <c r="B51" s="128"/>
      <c r="C51" s="193"/>
      <c r="D51" s="208" t="s">
        <v>88</v>
      </c>
      <c r="E51" s="137"/>
      <c r="F51" s="129"/>
      <c r="G51" s="141" t="s">
        <v>87</v>
      </c>
      <c r="H51" s="128"/>
      <c r="I51" s="193"/>
      <c r="J51" s="208" t="s">
        <v>88</v>
      </c>
      <c r="K51" s="137"/>
    </row>
    <row r="52" spans="1:11" ht="20.100000000000001" customHeight="1" thickTop="1" thickBot="1" x14ac:dyDescent="0.25">
      <c r="A52" s="68" t="s">
        <v>101</v>
      </c>
      <c r="B52" s="189">
        <f>MAX(C48:E51)</f>
        <v>45628</v>
      </c>
      <c r="C52" s="209"/>
      <c r="D52" s="209"/>
      <c r="E52" s="209"/>
      <c r="F52" s="144"/>
      <c r="G52" s="68" t="s">
        <v>101</v>
      </c>
      <c r="H52" s="189">
        <f>MAX(I48:K51)</f>
        <v>0</v>
      </c>
      <c r="I52" s="209"/>
      <c r="J52" s="209"/>
      <c r="K52" s="209"/>
    </row>
    <row r="53" spans="1:11" ht="20.100000000000001" customHeight="1" thickTop="1" thickBot="1" x14ac:dyDescent="0.25">
      <c r="A53" s="138" t="s">
        <v>84</v>
      </c>
      <c r="B53" s="129" t="s">
        <v>85</v>
      </c>
      <c r="C53" s="61"/>
      <c r="D53" s="200"/>
      <c r="E53" s="206"/>
      <c r="F53" s="145"/>
      <c r="G53" s="138" t="s">
        <v>84</v>
      </c>
      <c r="H53" s="129" t="s">
        <v>85</v>
      </c>
      <c r="I53" s="61"/>
      <c r="J53" s="200"/>
      <c r="K53" s="206"/>
    </row>
    <row r="54" spans="1:11" ht="20.100000000000001" customHeight="1" thickTop="1" thickBot="1" x14ac:dyDescent="0.25">
      <c r="A54" s="139" t="s">
        <v>95</v>
      </c>
      <c r="B54" s="128" t="s">
        <v>85</v>
      </c>
      <c r="C54" s="64">
        <v>45658</v>
      </c>
      <c r="D54" s="207" t="s">
        <v>88</v>
      </c>
      <c r="E54" s="64">
        <v>45659</v>
      </c>
      <c r="F54" s="129"/>
      <c r="G54" s="139" t="s">
        <v>95</v>
      </c>
      <c r="H54" s="128" t="s">
        <v>85</v>
      </c>
      <c r="I54" s="64"/>
      <c r="J54" s="207" t="s">
        <v>88</v>
      </c>
      <c r="K54" s="64"/>
    </row>
    <row r="55" spans="1:11" ht="20.100000000000001" customHeight="1" thickTop="1" thickBot="1" x14ac:dyDescent="0.25">
      <c r="A55" s="140" t="s">
        <v>96</v>
      </c>
      <c r="B55" s="128" t="s">
        <v>85</v>
      </c>
      <c r="C55" s="107"/>
      <c r="D55" s="207" t="s">
        <v>88</v>
      </c>
      <c r="E55" s="107"/>
      <c r="F55" s="146"/>
      <c r="G55" s="140" t="s">
        <v>96</v>
      </c>
      <c r="H55" s="128" t="s">
        <v>85</v>
      </c>
      <c r="I55" s="107"/>
      <c r="J55" s="207" t="s">
        <v>88</v>
      </c>
      <c r="K55" s="107"/>
    </row>
    <row r="56" spans="1:11" ht="20.100000000000001" customHeight="1" thickTop="1" thickBot="1" x14ac:dyDescent="0.25">
      <c r="A56" s="141" t="s">
        <v>87</v>
      </c>
      <c r="B56" s="128"/>
      <c r="C56" s="193"/>
      <c r="D56" s="208" t="s">
        <v>88</v>
      </c>
      <c r="E56" s="137"/>
      <c r="F56" s="129"/>
      <c r="G56" s="141" t="s">
        <v>87</v>
      </c>
      <c r="H56" s="128"/>
      <c r="I56" s="193"/>
      <c r="J56" s="208" t="s">
        <v>88</v>
      </c>
      <c r="K56" s="137"/>
    </row>
    <row r="57" spans="1:11" ht="20.100000000000001" customHeight="1" thickTop="1" thickBot="1" x14ac:dyDescent="0.25">
      <c r="A57" s="68" t="s">
        <v>102</v>
      </c>
      <c r="B57" s="189">
        <f>MAX(C53:E56)</f>
        <v>45659</v>
      </c>
      <c r="C57" s="209"/>
      <c r="D57" s="209"/>
      <c r="E57" s="209"/>
      <c r="F57" s="144"/>
      <c r="G57" s="68" t="s">
        <v>102</v>
      </c>
      <c r="H57" s="189">
        <f>MAX(I53:K56)</f>
        <v>0</v>
      </c>
      <c r="I57" s="209"/>
      <c r="J57" s="209"/>
      <c r="K57" s="209"/>
    </row>
    <row r="58" spans="1:11" ht="20.100000000000001" customHeight="1" thickTop="1" thickBot="1" x14ac:dyDescent="0.25">
      <c r="A58" s="138" t="s">
        <v>84</v>
      </c>
      <c r="B58" s="129" t="s">
        <v>85</v>
      </c>
      <c r="C58" s="61"/>
      <c r="D58" s="200"/>
      <c r="E58" s="206"/>
      <c r="F58" s="145"/>
      <c r="G58" s="138" t="s">
        <v>84</v>
      </c>
      <c r="H58" s="129" t="s">
        <v>85</v>
      </c>
      <c r="I58" s="61"/>
      <c r="J58" s="200"/>
      <c r="K58" s="206"/>
    </row>
    <row r="59" spans="1:11" ht="20.100000000000001" customHeight="1" thickTop="1" thickBot="1" x14ac:dyDescent="0.25">
      <c r="A59" s="139" t="s">
        <v>95</v>
      </c>
      <c r="B59" s="128" t="s">
        <v>85</v>
      </c>
      <c r="C59" s="64">
        <v>45689</v>
      </c>
      <c r="D59" s="207" t="s">
        <v>88</v>
      </c>
      <c r="E59" s="64">
        <v>45690</v>
      </c>
      <c r="F59" s="129"/>
      <c r="G59" s="139" t="s">
        <v>95</v>
      </c>
      <c r="H59" s="128" t="s">
        <v>85</v>
      </c>
      <c r="I59" s="64"/>
      <c r="J59" s="207" t="s">
        <v>88</v>
      </c>
      <c r="K59" s="64"/>
    </row>
    <row r="60" spans="1:11" ht="20.100000000000001" customHeight="1" thickTop="1" thickBot="1" x14ac:dyDescent="0.25">
      <c r="A60" s="140" t="s">
        <v>96</v>
      </c>
      <c r="B60" s="128" t="s">
        <v>85</v>
      </c>
      <c r="C60" s="107"/>
      <c r="D60" s="207" t="s">
        <v>88</v>
      </c>
      <c r="E60" s="107"/>
      <c r="F60" s="146"/>
      <c r="G60" s="140" t="s">
        <v>96</v>
      </c>
      <c r="H60" s="128" t="s">
        <v>85</v>
      </c>
      <c r="I60" s="107"/>
      <c r="J60" s="207" t="s">
        <v>88</v>
      </c>
      <c r="K60" s="107"/>
    </row>
    <row r="61" spans="1:11" ht="20.100000000000001" customHeight="1" thickTop="1" thickBot="1" x14ac:dyDescent="0.25">
      <c r="A61" s="141" t="s">
        <v>87</v>
      </c>
      <c r="B61" s="128"/>
      <c r="C61" s="193"/>
      <c r="D61" s="208" t="s">
        <v>88</v>
      </c>
      <c r="E61" s="137"/>
      <c r="F61" s="129"/>
      <c r="G61" s="141" t="s">
        <v>87</v>
      </c>
      <c r="H61" s="128"/>
      <c r="I61" s="193"/>
      <c r="J61" s="208" t="s">
        <v>88</v>
      </c>
      <c r="K61" s="137"/>
    </row>
    <row r="62" spans="1:11" ht="20.100000000000001" customHeight="1" thickTop="1" thickBot="1" x14ac:dyDescent="0.25">
      <c r="A62" s="68" t="s">
        <v>103</v>
      </c>
      <c r="B62" s="189">
        <f>MAX(C58:E61)</f>
        <v>45690</v>
      </c>
      <c r="C62" s="209"/>
      <c r="D62" s="209"/>
      <c r="E62" s="209"/>
      <c r="F62" s="144"/>
      <c r="G62" s="68" t="s">
        <v>103</v>
      </c>
      <c r="H62" s="189">
        <f>MAX(I58:K61)</f>
        <v>0</v>
      </c>
      <c r="I62" s="209"/>
      <c r="J62" s="209"/>
      <c r="K62" s="209"/>
    </row>
    <row r="63" spans="1:11" ht="20.100000000000001" customHeight="1" thickTop="1" thickBot="1" x14ac:dyDescent="0.25">
      <c r="A63" s="138" t="s">
        <v>84</v>
      </c>
      <c r="B63" s="129" t="s">
        <v>85</v>
      </c>
      <c r="C63" s="61"/>
      <c r="D63" s="200"/>
      <c r="E63" s="206"/>
      <c r="F63" s="145"/>
      <c r="G63" s="138" t="s">
        <v>84</v>
      </c>
      <c r="H63" s="129" t="s">
        <v>85</v>
      </c>
      <c r="I63" s="61"/>
      <c r="J63" s="200"/>
      <c r="K63" s="206"/>
    </row>
    <row r="64" spans="1:11" ht="20.100000000000001" customHeight="1" thickTop="1" thickBot="1" x14ac:dyDescent="0.25">
      <c r="A64" s="139" t="s">
        <v>95</v>
      </c>
      <c r="B64" s="128" t="s">
        <v>85</v>
      </c>
      <c r="C64" s="64">
        <v>45717</v>
      </c>
      <c r="D64" s="207" t="s">
        <v>88</v>
      </c>
      <c r="E64" s="64">
        <v>45718</v>
      </c>
      <c r="F64" s="129"/>
      <c r="G64" s="139" t="s">
        <v>95</v>
      </c>
      <c r="H64" s="128" t="s">
        <v>85</v>
      </c>
      <c r="I64" s="64"/>
      <c r="J64" s="207" t="s">
        <v>88</v>
      </c>
      <c r="K64" s="64"/>
    </row>
    <row r="65" spans="1:11" ht="20.100000000000001" customHeight="1" thickTop="1" thickBot="1" x14ac:dyDescent="0.25">
      <c r="A65" s="140" t="s">
        <v>96</v>
      </c>
      <c r="B65" s="128" t="s">
        <v>85</v>
      </c>
      <c r="C65" s="107"/>
      <c r="D65" s="207" t="s">
        <v>88</v>
      </c>
      <c r="E65" s="107"/>
      <c r="F65" s="146"/>
      <c r="G65" s="140" t="s">
        <v>96</v>
      </c>
      <c r="H65" s="128" t="s">
        <v>85</v>
      </c>
      <c r="I65" s="107"/>
      <c r="J65" s="207" t="s">
        <v>88</v>
      </c>
      <c r="K65" s="107"/>
    </row>
    <row r="66" spans="1:11" ht="20.100000000000001" customHeight="1" thickTop="1" thickBot="1" x14ac:dyDescent="0.25">
      <c r="A66" s="141" t="s">
        <v>87</v>
      </c>
      <c r="B66" s="128"/>
      <c r="C66" s="193"/>
      <c r="D66" s="208" t="s">
        <v>88</v>
      </c>
      <c r="E66" s="137"/>
      <c r="F66" s="129"/>
      <c r="G66" s="141" t="s">
        <v>87</v>
      </c>
      <c r="H66" s="128"/>
      <c r="I66" s="193"/>
      <c r="J66" s="208" t="s">
        <v>88</v>
      </c>
      <c r="K66" s="137"/>
    </row>
    <row r="67" spans="1:11" ht="20.100000000000001" customHeight="1" thickTop="1" thickBot="1" x14ac:dyDescent="0.25">
      <c r="A67" s="68" t="s">
        <v>104</v>
      </c>
      <c r="B67" s="189">
        <f>MAX(C63:E66)</f>
        <v>45718</v>
      </c>
      <c r="C67" s="209"/>
      <c r="D67" s="209"/>
      <c r="E67" s="209"/>
      <c r="F67" s="144"/>
      <c r="G67" s="68" t="s">
        <v>104</v>
      </c>
      <c r="H67" s="189">
        <f>MAX(I63:K66)</f>
        <v>0</v>
      </c>
      <c r="I67" s="209"/>
      <c r="J67" s="209"/>
      <c r="K67" s="209"/>
    </row>
    <row r="68" spans="1:11" ht="20.100000000000001" customHeight="1" thickTop="1" thickBot="1" x14ac:dyDescent="0.25">
      <c r="A68" s="138" t="s">
        <v>84</v>
      </c>
      <c r="B68" s="129" t="s">
        <v>85</v>
      </c>
      <c r="C68" s="61"/>
      <c r="D68" s="200"/>
      <c r="E68" s="206"/>
      <c r="F68" s="145"/>
      <c r="G68" s="138" t="s">
        <v>84</v>
      </c>
      <c r="H68" s="129" t="s">
        <v>85</v>
      </c>
      <c r="I68" s="61"/>
      <c r="J68" s="200"/>
      <c r="K68" s="206"/>
    </row>
    <row r="69" spans="1:11" ht="20.100000000000001" customHeight="1" thickTop="1" thickBot="1" x14ac:dyDescent="0.25">
      <c r="A69" s="139" t="s">
        <v>95</v>
      </c>
      <c r="B69" s="128" t="s">
        <v>85</v>
      </c>
      <c r="C69" s="64">
        <v>45748</v>
      </c>
      <c r="D69" s="207" t="s">
        <v>88</v>
      </c>
      <c r="E69" s="64">
        <v>45749</v>
      </c>
      <c r="F69" s="129"/>
      <c r="G69" s="139" t="s">
        <v>95</v>
      </c>
      <c r="H69" s="128" t="s">
        <v>85</v>
      </c>
      <c r="I69" s="64"/>
      <c r="J69" s="207" t="s">
        <v>88</v>
      </c>
      <c r="K69" s="64"/>
    </row>
    <row r="70" spans="1:11" ht="20.100000000000001" customHeight="1" thickTop="1" thickBot="1" x14ac:dyDescent="0.25">
      <c r="A70" s="140" t="s">
        <v>96</v>
      </c>
      <c r="B70" s="128" t="s">
        <v>85</v>
      </c>
      <c r="C70" s="107"/>
      <c r="D70" s="207" t="s">
        <v>88</v>
      </c>
      <c r="E70" s="107"/>
      <c r="F70" s="146"/>
      <c r="G70" s="140" t="s">
        <v>96</v>
      </c>
      <c r="H70" s="128" t="s">
        <v>85</v>
      </c>
      <c r="I70" s="107"/>
      <c r="J70" s="207" t="s">
        <v>88</v>
      </c>
      <c r="K70" s="107"/>
    </row>
    <row r="71" spans="1:11" ht="20.100000000000001" customHeight="1" thickTop="1" thickBot="1" x14ac:dyDescent="0.25">
      <c r="A71" s="141" t="s">
        <v>87</v>
      </c>
      <c r="B71" s="128"/>
      <c r="C71" s="193"/>
      <c r="D71" s="208" t="s">
        <v>88</v>
      </c>
      <c r="E71" s="137"/>
      <c r="F71" s="129"/>
      <c r="G71" s="141" t="s">
        <v>87</v>
      </c>
      <c r="H71" s="128"/>
      <c r="I71" s="193"/>
      <c r="J71" s="208" t="s">
        <v>88</v>
      </c>
      <c r="K71" s="137"/>
    </row>
    <row r="72" spans="1:11" ht="20.100000000000001" customHeight="1" thickTop="1" thickBot="1" x14ac:dyDescent="0.25">
      <c r="A72" s="68" t="s">
        <v>105</v>
      </c>
      <c r="B72" s="189">
        <f>MAX(C68:E71)</f>
        <v>45749</v>
      </c>
      <c r="C72" s="209"/>
      <c r="D72" s="209"/>
      <c r="E72" s="209"/>
      <c r="F72" s="144"/>
      <c r="G72" s="68" t="s">
        <v>105</v>
      </c>
      <c r="H72" s="189">
        <f>MAX(I68:K71)</f>
        <v>0</v>
      </c>
      <c r="I72" s="209"/>
      <c r="J72" s="209"/>
      <c r="K72" s="209"/>
    </row>
    <row r="73" spans="1:11" ht="20.100000000000001" customHeight="1" thickTop="1" thickBot="1" x14ac:dyDescent="0.25">
      <c r="A73" s="138" t="s">
        <v>84</v>
      </c>
      <c r="B73" s="129" t="s">
        <v>85</v>
      </c>
      <c r="C73" s="61"/>
      <c r="D73" s="200"/>
      <c r="E73" s="206"/>
      <c r="F73" s="145"/>
      <c r="G73" s="138" t="s">
        <v>84</v>
      </c>
      <c r="H73" s="129" t="s">
        <v>85</v>
      </c>
      <c r="I73" s="61"/>
      <c r="J73" s="200"/>
      <c r="K73" s="206"/>
    </row>
    <row r="74" spans="1:11" ht="20.100000000000001" customHeight="1" thickTop="1" thickBot="1" x14ac:dyDescent="0.25">
      <c r="A74" s="139" t="s">
        <v>95</v>
      </c>
      <c r="B74" s="128" t="s">
        <v>85</v>
      </c>
      <c r="C74" s="64">
        <v>45778</v>
      </c>
      <c r="D74" s="207" t="s">
        <v>88</v>
      </c>
      <c r="E74" s="64">
        <v>45779</v>
      </c>
      <c r="F74" s="129"/>
      <c r="G74" s="139" t="s">
        <v>95</v>
      </c>
      <c r="H74" s="128" t="s">
        <v>85</v>
      </c>
      <c r="I74" s="64"/>
      <c r="J74" s="207" t="s">
        <v>88</v>
      </c>
      <c r="K74" s="64"/>
    </row>
    <row r="75" spans="1:11" ht="20.100000000000001" customHeight="1" thickTop="1" thickBot="1" x14ac:dyDescent="0.25">
      <c r="A75" s="140" t="s">
        <v>96</v>
      </c>
      <c r="B75" s="128" t="s">
        <v>85</v>
      </c>
      <c r="C75" s="107"/>
      <c r="D75" s="207" t="s">
        <v>88</v>
      </c>
      <c r="E75" s="107"/>
      <c r="F75" s="146"/>
      <c r="G75" s="140" t="s">
        <v>96</v>
      </c>
      <c r="H75" s="128" t="s">
        <v>85</v>
      </c>
      <c r="I75" s="107"/>
      <c r="J75" s="207" t="s">
        <v>88</v>
      </c>
      <c r="K75" s="107"/>
    </row>
    <row r="76" spans="1:11" ht="20.100000000000001" customHeight="1" thickTop="1" thickBot="1" x14ac:dyDescent="0.25">
      <c r="A76" s="141" t="s">
        <v>87</v>
      </c>
      <c r="B76" s="128"/>
      <c r="C76" s="193"/>
      <c r="D76" s="208" t="s">
        <v>88</v>
      </c>
      <c r="E76" s="137"/>
      <c r="F76" s="129"/>
      <c r="G76" s="141" t="s">
        <v>87</v>
      </c>
      <c r="H76" s="128"/>
      <c r="I76" s="193"/>
      <c r="J76" s="208" t="s">
        <v>88</v>
      </c>
      <c r="K76" s="137"/>
    </row>
    <row r="77" spans="1:11" ht="20.100000000000001" customHeight="1" thickTop="1" thickBot="1" x14ac:dyDescent="0.25">
      <c r="A77" s="68" t="s">
        <v>106</v>
      </c>
      <c r="B77" s="189">
        <f>MAX(C73:E76)</f>
        <v>45779</v>
      </c>
      <c r="C77" s="209"/>
      <c r="D77" s="209"/>
      <c r="E77" s="209"/>
      <c r="F77" s="144"/>
      <c r="G77" s="68" t="s">
        <v>106</v>
      </c>
      <c r="H77" s="189">
        <f>MAX(I73:K76)</f>
        <v>0</v>
      </c>
      <c r="I77" s="209"/>
      <c r="J77" s="209"/>
      <c r="K77" s="209"/>
    </row>
    <row r="78" spans="1:11" ht="20.100000000000001" customHeight="1" thickTop="1" thickBot="1" x14ac:dyDescent="0.25">
      <c r="A78" s="138" t="s">
        <v>84</v>
      </c>
      <c r="B78" s="129" t="s">
        <v>85</v>
      </c>
      <c r="C78" s="61"/>
      <c r="D78" s="200"/>
      <c r="E78" s="206"/>
      <c r="F78" s="145"/>
      <c r="G78" s="138" t="s">
        <v>84</v>
      </c>
      <c r="H78" s="129" t="s">
        <v>85</v>
      </c>
      <c r="I78" s="61"/>
      <c r="J78" s="200"/>
      <c r="K78" s="206"/>
    </row>
    <row r="79" spans="1:11" ht="20.100000000000001" customHeight="1" thickTop="1" thickBot="1" x14ac:dyDescent="0.25">
      <c r="A79" s="139" t="s">
        <v>95</v>
      </c>
      <c r="B79" s="128" t="s">
        <v>85</v>
      </c>
      <c r="C79" s="64">
        <v>45809</v>
      </c>
      <c r="D79" s="207" t="s">
        <v>88</v>
      </c>
      <c r="E79" s="64">
        <v>45810</v>
      </c>
      <c r="F79" s="129"/>
      <c r="G79" s="139" t="s">
        <v>95</v>
      </c>
      <c r="H79" s="128" t="s">
        <v>85</v>
      </c>
      <c r="I79" s="64"/>
      <c r="J79" s="207" t="s">
        <v>88</v>
      </c>
      <c r="K79" s="64"/>
    </row>
    <row r="80" spans="1:11" ht="20.100000000000001" customHeight="1" thickTop="1" thickBot="1" x14ac:dyDescent="0.25">
      <c r="A80" s="140" t="s">
        <v>96</v>
      </c>
      <c r="B80" s="128" t="s">
        <v>85</v>
      </c>
      <c r="C80" s="107"/>
      <c r="D80" s="207" t="s">
        <v>88</v>
      </c>
      <c r="E80" s="107"/>
      <c r="F80" s="146"/>
      <c r="G80" s="140" t="s">
        <v>96</v>
      </c>
      <c r="H80" s="128" t="s">
        <v>85</v>
      </c>
      <c r="I80" s="107"/>
      <c r="J80" s="207" t="s">
        <v>88</v>
      </c>
      <c r="K80" s="107"/>
    </row>
    <row r="81" spans="1:11" ht="20.100000000000001" customHeight="1" thickTop="1" thickBot="1" x14ac:dyDescent="0.25">
      <c r="A81" s="141" t="s">
        <v>87</v>
      </c>
      <c r="B81" s="128"/>
      <c r="C81" s="193"/>
      <c r="D81" s="208" t="s">
        <v>88</v>
      </c>
      <c r="E81" s="137"/>
      <c r="F81" s="129"/>
      <c r="G81" s="141" t="s">
        <v>87</v>
      </c>
      <c r="H81" s="128"/>
      <c r="I81" s="193"/>
      <c r="J81" s="208" t="s">
        <v>88</v>
      </c>
      <c r="K81" s="137"/>
    </row>
    <row r="82" spans="1:11" ht="20.100000000000001" customHeight="1" thickTop="1" thickBot="1" x14ac:dyDescent="0.25">
      <c r="A82" s="68" t="s">
        <v>107</v>
      </c>
      <c r="B82" s="189">
        <f>MAX(C78:E81)</f>
        <v>45810</v>
      </c>
      <c r="C82" s="209"/>
      <c r="D82" s="209"/>
      <c r="E82" s="209"/>
      <c r="F82" s="144"/>
      <c r="G82" s="68" t="s">
        <v>107</v>
      </c>
      <c r="H82" s="189">
        <f>MAX(I78:K81)</f>
        <v>0</v>
      </c>
      <c r="I82" s="209"/>
      <c r="J82" s="209"/>
      <c r="K82" s="209"/>
    </row>
    <row r="83" spans="1:11" ht="20.100000000000001" customHeight="1" thickTop="1" thickBot="1" x14ac:dyDescent="0.25">
      <c r="A83" s="138" t="s">
        <v>84</v>
      </c>
      <c r="B83" s="129" t="s">
        <v>85</v>
      </c>
      <c r="C83" s="61"/>
      <c r="D83" s="200"/>
      <c r="E83" s="206"/>
      <c r="F83" s="145"/>
      <c r="G83" s="138" t="s">
        <v>84</v>
      </c>
      <c r="H83" s="129" t="s">
        <v>85</v>
      </c>
      <c r="I83" s="61"/>
      <c r="J83" s="200"/>
      <c r="K83" s="206"/>
    </row>
    <row r="84" spans="1:11" ht="20.100000000000001" customHeight="1" thickTop="1" thickBot="1" x14ac:dyDescent="0.25">
      <c r="A84" s="139" t="s">
        <v>95</v>
      </c>
      <c r="B84" s="128" t="s">
        <v>85</v>
      </c>
      <c r="C84" s="64">
        <v>45839</v>
      </c>
      <c r="D84" s="207" t="s">
        <v>88</v>
      </c>
      <c r="E84" s="64">
        <v>45840</v>
      </c>
      <c r="F84" s="129"/>
      <c r="G84" s="139" t="s">
        <v>95</v>
      </c>
      <c r="H84" s="128" t="s">
        <v>85</v>
      </c>
      <c r="I84" s="64"/>
      <c r="J84" s="207" t="s">
        <v>88</v>
      </c>
      <c r="K84" s="64"/>
    </row>
    <row r="85" spans="1:11" ht="20.100000000000001" customHeight="1" thickTop="1" thickBot="1" x14ac:dyDescent="0.25">
      <c r="A85" s="140" t="s">
        <v>96</v>
      </c>
      <c r="B85" s="128" t="s">
        <v>85</v>
      </c>
      <c r="C85" s="107"/>
      <c r="D85" s="207" t="s">
        <v>88</v>
      </c>
      <c r="E85" s="107"/>
      <c r="F85" s="146"/>
      <c r="G85" s="140" t="s">
        <v>96</v>
      </c>
      <c r="H85" s="128" t="s">
        <v>85</v>
      </c>
      <c r="I85" s="107"/>
      <c r="J85" s="207" t="s">
        <v>88</v>
      </c>
      <c r="K85" s="107"/>
    </row>
    <row r="86" spans="1:11" ht="20.100000000000001" customHeight="1" thickTop="1" thickBot="1" x14ac:dyDescent="0.25">
      <c r="A86" s="141" t="s">
        <v>87</v>
      </c>
      <c r="B86" s="128"/>
      <c r="C86" s="193"/>
      <c r="D86" s="208" t="s">
        <v>88</v>
      </c>
      <c r="E86" s="137"/>
      <c r="F86" s="129"/>
      <c r="G86" s="141" t="s">
        <v>87</v>
      </c>
      <c r="H86" s="128"/>
      <c r="I86" s="193"/>
      <c r="J86" s="208" t="s">
        <v>88</v>
      </c>
      <c r="K86" s="137"/>
    </row>
    <row r="87" spans="1:11" ht="20.100000000000001" customHeight="1" thickTop="1" thickBot="1" x14ac:dyDescent="0.25">
      <c r="A87" s="68" t="s">
        <v>108</v>
      </c>
      <c r="B87" s="189">
        <f>MAX(C83:E86)</f>
        <v>45840</v>
      </c>
      <c r="C87" s="209"/>
      <c r="D87" s="209"/>
      <c r="E87" s="209"/>
      <c r="F87" s="144"/>
      <c r="G87" s="68" t="s">
        <v>108</v>
      </c>
      <c r="H87" s="189">
        <f>MAX(I83:K86)</f>
        <v>0</v>
      </c>
      <c r="I87" s="209"/>
      <c r="J87" s="209"/>
      <c r="K87" s="209"/>
    </row>
    <row r="88" spans="1:11" ht="20.100000000000001" customHeight="1" thickTop="1" thickBot="1" x14ac:dyDescent="0.25">
      <c r="A88" s="138" t="s">
        <v>84</v>
      </c>
      <c r="B88" s="129" t="s">
        <v>85</v>
      </c>
      <c r="C88" s="61"/>
      <c r="D88" s="200"/>
      <c r="E88" s="206"/>
      <c r="F88" s="145"/>
      <c r="G88" s="138" t="s">
        <v>84</v>
      </c>
      <c r="H88" s="129" t="s">
        <v>85</v>
      </c>
      <c r="I88" s="61"/>
      <c r="J88" s="200"/>
      <c r="K88" s="206"/>
    </row>
    <row r="89" spans="1:11" ht="20.100000000000001" customHeight="1" thickTop="1" thickBot="1" x14ac:dyDescent="0.25">
      <c r="A89" s="139" t="s">
        <v>95</v>
      </c>
      <c r="B89" s="128" t="s">
        <v>85</v>
      </c>
      <c r="C89" s="64">
        <v>45870</v>
      </c>
      <c r="D89" s="207" t="s">
        <v>88</v>
      </c>
      <c r="E89" s="64">
        <v>45871</v>
      </c>
      <c r="F89" s="129"/>
      <c r="G89" s="139" t="s">
        <v>95</v>
      </c>
      <c r="H89" s="128" t="s">
        <v>85</v>
      </c>
      <c r="I89" s="64"/>
      <c r="J89" s="207" t="s">
        <v>88</v>
      </c>
      <c r="K89" s="64"/>
    </row>
    <row r="90" spans="1:11" ht="20.100000000000001" customHeight="1" thickTop="1" thickBot="1" x14ac:dyDescent="0.25">
      <c r="A90" s="140" t="s">
        <v>96</v>
      </c>
      <c r="B90" s="128" t="s">
        <v>85</v>
      </c>
      <c r="C90" s="107"/>
      <c r="D90" s="207" t="s">
        <v>88</v>
      </c>
      <c r="E90" s="107"/>
      <c r="F90" s="146"/>
      <c r="G90" s="140" t="s">
        <v>96</v>
      </c>
      <c r="H90" s="128" t="s">
        <v>85</v>
      </c>
      <c r="I90" s="107"/>
      <c r="J90" s="207" t="s">
        <v>88</v>
      </c>
      <c r="K90" s="107"/>
    </row>
    <row r="91" spans="1:11" ht="20.100000000000001" customHeight="1" thickTop="1" thickBot="1" x14ac:dyDescent="0.25">
      <c r="A91" s="141" t="s">
        <v>87</v>
      </c>
      <c r="B91" s="128"/>
      <c r="C91" s="193"/>
      <c r="D91" s="208" t="s">
        <v>88</v>
      </c>
      <c r="E91" s="137"/>
      <c r="F91" s="129"/>
      <c r="G91" s="141" t="s">
        <v>87</v>
      </c>
      <c r="H91" s="128"/>
      <c r="I91" s="193"/>
      <c r="J91" s="208" t="s">
        <v>88</v>
      </c>
      <c r="K91" s="137"/>
    </row>
    <row r="92" spans="1:11" ht="20.100000000000001" customHeight="1" thickTop="1" thickBot="1" x14ac:dyDescent="0.25">
      <c r="A92" s="68" t="s">
        <v>109</v>
      </c>
      <c r="B92" s="189">
        <f>MAX(C88:E91)</f>
        <v>45871</v>
      </c>
      <c r="C92" s="209"/>
      <c r="D92" s="209"/>
      <c r="E92" s="209"/>
      <c r="F92" s="144"/>
      <c r="G92" s="68" t="s">
        <v>109</v>
      </c>
      <c r="H92" s="189">
        <f>MAX(I88:K91)</f>
        <v>0</v>
      </c>
      <c r="I92" s="209"/>
      <c r="J92" s="209"/>
      <c r="K92" s="209"/>
    </row>
    <row r="93" spans="1:11" ht="20.100000000000001" customHeight="1" thickTop="1" thickBot="1" x14ac:dyDescent="0.25">
      <c r="A93" s="138" t="s">
        <v>84</v>
      </c>
      <c r="B93" s="129" t="s">
        <v>85</v>
      </c>
      <c r="C93" s="61"/>
      <c r="D93" s="200"/>
      <c r="E93" s="206"/>
      <c r="F93" s="145"/>
      <c r="G93" s="138" t="s">
        <v>84</v>
      </c>
      <c r="H93" s="129" t="s">
        <v>85</v>
      </c>
      <c r="I93" s="61"/>
      <c r="J93" s="200"/>
      <c r="K93" s="206"/>
    </row>
    <row r="94" spans="1:11" ht="20.100000000000001" customHeight="1" thickTop="1" thickBot="1" x14ac:dyDescent="0.25">
      <c r="A94" s="139" t="s">
        <v>95</v>
      </c>
      <c r="B94" s="128" t="s">
        <v>85</v>
      </c>
      <c r="C94" s="64">
        <v>45901</v>
      </c>
      <c r="D94" s="207" t="s">
        <v>88</v>
      </c>
      <c r="E94" s="64">
        <v>45902</v>
      </c>
      <c r="F94" s="129"/>
      <c r="G94" s="139" t="s">
        <v>95</v>
      </c>
      <c r="H94" s="128" t="s">
        <v>85</v>
      </c>
      <c r="I94" s="64"/>
      <c r="J94" s="207" t="s">
        <v>88</v>
      </c>
      <c r="K94" s="64"/>
    </row>
    <row r="95" spans="1:11" ht="20.100000000000001" customHeight="1" thickTop="1" thickBot="1" x14ac:dyDescent="0.25">
      <c r="A95" s="140" t="s">
        <v>96</v>
      </c>
      <c r="B95" s="128" t="s">
        <v>85</v>
      </c>
      <c r="C95" s="107"/>
      <c r="D95" s="207" t="s">
        <v>88</v>
      </c>
      <c r="E95" s="107"/>
      <c r="F95" s="146"/>
      <c r="G95" s="140" t="s">
        <v>96</v>
      </c>
      <c r="H95" s="128" t="s">
        <v>85</v>
      </c>
      <c r="I95" s="107"/>
      <c r="J95" s="207" t="s">
        <v>88</v>
      </c>
      <c r="K95" s="107"/>
    </row>
    <row r="96" spans="1:11" ht="20.100000000000001" customHeight="1" thickTop="1" thickBot="1" x14ac:dyDescent="0.25">
      <c r="A96" s="141" t="s">
        <v>87</v>
      </c>
      <c r="B96" s="128"/>
      <c r="C96" s="193"/>
      <c r="D96" s="208" t="s">
        <v>88</v>
      </c>
      <c r="E96" s="137"/>
      <c r="F96" s="129"/>
      <c r="G96" s="141" t="s">
        <v>87</v>
      </c>
      <c r="H96" s="128"/>
      <c r="I96" s="193"/>
      <c r="J96" s="208" t="s">
        <v>88</v>
      </c>
      <c r="K96" s="137"/>
    </row>
    <row r="97" spans="1:11" ht="20.100000000000001" customHeight="1" thickTop="1" thickBot="1" x14ac:dyDescent="0.25">
      <c r="A97" s="68" t="s">
        <v>110</v>
      </c>
      <c r="B97" s="189">
        <f>MAX(C93:E96)</f>
        <v>45902</v>
      </c>
      <c r="C97" s="209"/>
      <c r="D97" s="209"/>
      <c r="E97" s="209"/>
      <c r="F97" s="144"/>
      <c r="G97" s="68" t="s">
        <v>110</v>
      </c>
      <c r="H97" s="189">
        <f>MAX(I93:K96)</f>
        <v>0</v>
      </c>
      <c r="I97" s="209"/>
      <c r="J97" s="209"/>
      <c r="K97" s="209"/>
    </row>
    <row r="98" spans="1:11" ht="20.100000000000001" customHeight="1" thickTop="1" thickBot="1" x14ac:dyDescent="0.25">
      <c r="A98" s="138" t="s">
        <v>84</v>
      </c>
      <c r="B98" s="129" t="s">
        <v>85</v>
      </c>
      <c r="C98" s="61"/>
      <c r="D98" s="200"/>
      <c r="E98" s="206"/>
      <c r="F98" s="145"/>
      <c r="G98" s="138" t="s">
        <v>84</v>
      </c>
      <c r="H98" s="129" t="s">
        <v>85</v>
      </c>
      <c r="I98" s="61"/>
      <c r="J98" s="200"/>
      <c r="K98" s="206"/>
    </row>
    <row r="99" spans="1:11" ht="20.100000000000001" customHeight="1" thickTop="1" thickBot="1" x14ac:dyDescent="0.25">
      <c r="A99" s="139" t="s">
        <v>95</v>
      </c>
      <c r="B99" s="128" t="s">
        <v>85</v>
      </c>
      <c r="C99" s="64">
        <v>45931</v>
      </c>
      <c r="D99" s="207" t="s">
        <v>88</v>
      </c>
      <c r="E99" s="64">
        <v>45932</v>
      </c>
      <c r="F99" s="129"/>
      <c r="G99" s="139" t="s">
        <v>95</v>
      </c>
      <c r="H99" s="128" t="s">
        <v>85</v>
      </c>
      <c r="I99" s="64"/>
      <c r="J99" s="207" t="s">
        <v>88</v>
      </c>
      <c r="K99" s="64"/>
    </row>
    <row r="100" spans="1:11" ht="20.100000000000001" customHeight="1" thickTop="1" thickBot="1" x14ac:dyDescent="0.25">
      <c r="A100" s="140" t="s">
        <v>96</v>
      </c>
      <c r="B100" s="128" t="s">
        <v>85</v>
      </c>
      <c r="C100" s="107"/>
      <c r="D100" s="207" t="s">
        <v>88</v>
      </c>
      <c r="E100" s="107"/>
      <c r="F100" s="146"/>
      <c r="G100" s="140" t="s">
        <v>96</v>
      </c>
      <c r="H100" s="128" t="s">
        <v>85</v>
      </c>
      <c r="I100" s="107"/>
      <c r="J100" s="207" t="s">
        <v>88</v>
      </c>
      <c r="K100" s="107"/>
    </row>
    <row r="101" spans="1:11" ht="20.100000000000001" customHeight="1" thickTop="1" thickBot="1" x14ac:dyDescent="0.25">
      <c r="A101" s="141" t="s">
        <v>87</v>
      </c>
      <c r="B101" s="128"/>
      <c r="C101" s="193"/>
      <c r="D101" s="208" t="s">
        <v>88</v>
      </c>
      <c r="E101" s="137"/>
      <c r="F101" s="129"/>
      <c r="G101" s="141" t="s">
        <v>87</v>
      </c>
      <c r="H101" s="128"/>
      <c r="I101" s="193"/>
      <c r="J101" s="208" t="s">
        <v>88</v>
      </c>
      <c r="K101" s="137"/>
    </row>
    <row r="102" spans="1:11" ht="20.100000000000001" customHeight="1" thickTop="1" thickBot="1" x14ac:dyDescent="0.25">
      <c r="A102" s="68" t="s">
        <v>111</v>
      </c>
      <c r="B102" s="189">
        <f>MAX(C98:E101)</f>
        <v>45932</v>
      </c>
      <c r="C102" s="209"/>
      <c r="D102" s="209"/>
      <c r="E102" s="209"/>
      <c r="F102" s="144"/>
      <c r="G102" s="68" t="s">
        <v>111</v>
      </c>
      <c r="H102" s="189">
        <f>MAX(I98:K101)</f>
        <v>0</v>
      </c>
      <c r="I102" s="209"/>
      <c r="J102" s="209"/>
      <c r="K102" s="209"/>
    </row>
    <row r="103" spans="1:11" ht="20.100000000000001" customHeight="1" thickTop="1" thickBot="1" x14ac:dyDescent="0.25">
      <c r="A103" s="138" t="s">
        <v>84</v>
      </c>
      <c r="B103" s="129" t="s">
        <v>85</v>
      </c>
      <c r="C103" s="61"/>
      <c r="D103" s="200"/>
      <c r="E103" s="206"/>
      <c r="F103" s="145"/>
      <c r="G103" s="138" t="s">
        <v>84</v>
      </c>
      <c r="H103" s="129" t="s">
        <v>85</v>
      </c>
      <c r="I103" s="61"/>
      <c r="J103" s="200"/>
      <c r="K103" s="206"/>
    </row>
    <row r="104" spans="1:11" ht="20.100000000000001" customHeight="1" thickTop="1" thickBot="1" x14ac:dyDescent="0.25">
      <c r="A104" s="139" t="s">
        <v>95</v>
      </c>
      <c r="B104" s="128" t="s">
        <v>85</v>
      </c>
      <c r="C104" s="64">
        <v>45931</v>
      </c>
      <c r="D104" s="207" t="s">
        <v>88</v>
      </c>
      <c r="E104" s="64">
        <v>45932</v>
      </c>
      <c r="F104" s="129"/>
      <c r="G104" s="139" t="s">
        <v>95</v>
      </c>
      <c r="H104" s="128" t="s">
        <v>85</v>
      </c>
      <c r="I104" s="64"/>
      <c r="J104" s="207" t="s">
        <v>88</v>
      </c>
      <c r="K104" s="64"/>
    </row>
    <row r="105" spans="1:11" ht="20.100000000000001" customHeight="1" thickTop="1" thickBot="1" x14ac:dyDescent="0.25">
      <c r="A105" s="140" t="s">
        <v>96</v>
      </c>
      <c r="B105" s="128" t="s">
        <v>85</v>
      </c>
      <c r="C105" s="107"/>
      <c r="D105" s="207" t="s">
        <v>88</v>
      </c>
      <c r="E105" s="107"/>
      <c r="F105" s="146"/>
      <c r="G105" s="140" t="s">
        <v>96</v>
      </c>
      <c r="H105" s="128" t="s">
        <v>85</v>
      </c>
      <c r="I105" s="107"/>
      <c r="J105" s="207" t="s">
        <v>88</v>
      </c>
      <c r="K105" s="107"/>
    </row>
    <row r="106" spans="1:11" ht="20.100000000000001" customHeight="1" thickTop="1" thickBot="1" x14ac:dyDescent="0.25">
      <c r="A106" s="141" t="s">
        <v>87</v>
      </c>
      <c r="B106" s="128"/>
      <c r="C106" s="193"/>
      <c r="D106" s="208" t="s">
        <v>88</v>
      </c>
      <c r="E106" s="137"/>
      <c r="F106" s="129"/>
      <c r="G106" s="141" t="s">
        <v>87</v>
      </c>
      <c r="H106" s="128"/>
      <c r="I106" s="193"/>
      <c r="J106" s="208" t="s">
        <v>88</v>
      </c>
      <c r="K106" s="137"/>
    </row>
    <row r="107" spans="1:11" ht="20.100000000000001" customHeight="1" thickTop="1" thickBot="1" x14ac:dyDescent="0.25">
      <c r="A107" s="68" t="s">
        <v>112</v>
      </c>
      <c r="B107" s="189">
        <f>MAX(C103:E106)</f>
        <v>45932</v>
      </c>
      <c r="C107" s="209"/>
      <c r="D107" s="209"/>
      <c r="E107" s="209"/>
      <c r="F107" s="144"/>
      <c r="G107" s="68" t="s">
        <v>112</v>
      </c>
      <c r="H107" s="189">
        <f>MAX(I103:K106)</f>
        <v>0</v>
      </c>
      <c r="I107" s="209"/>
      <c r="J107" s="209"/>
      <c r="K107" s="209"/>
    </row>
    <row r="108" spans="1:11" ht="20.100000000000001" customHeight="1" thickTop="1" thickBot="1" x14ac:dyDescent="0.25">
      <c r="A108" s="138" t="s">
        <v>84</v>
      </c>
      <c r="B108" s="129" t="s">
        <v>85</v>
      </c>
      <c r="C108" s="61"/>
      <c r="D108" s="200"/>
      <c r="E108" s="206"/>
      <c r="F108" s="145"/>
      <c r="G108" s="138" t="s">
        <v>84</v>
      </c>
      <c r="H108" s="129" t="s">
        <v>85</v>
      </c>
      <c r="I108" s="61"/>
      <c r="J108" s="200"/>
      <c r="K108" s="206"/>
    </row>
    <row r="109" spans="1:11" ht="20.100000000000001" customHeight="1" thickTop="1" thickBot="1" x14ac:dyDescent="0.25">
      <c r="A109" s="139" t="s">
        <v>95</v>
      </c>
      <c r="B109" s="128" t="s">
        <v>85</v>
      </c>
      <c r="C109" s="64"/>
      <c r="D109" s="207" t="s">
        <v>88</v>
      </c>
      <c r="E109" s="64"/>
      <c r="F109" s="129"/>
      <c r="G109" s="139" t="s">
        <v>95</v>
      </c>
      <c r="H109" s="128" t="s">
        <v>85</v>
      </c>
      <c r="I109" s="64"/>
      <c r="J109" s="207" t="s">
        <v>88</v>
      </c>
      <c r="K109" s="64"/>
    </row>
    <row r="110" spans="1:11" ht="20.100000000000001" customHeight="1" thickTop="1" thickBot="1" x14ac:dyDescent="0.25">
      <c r="A110" s="140" t="s">
        <v>96</v>
      </c>
      <c r="B110" s="128" t="s">
        <v>85</v>
      </c>
      <c r="C110" s="107"/>
      <c r="D110" s="207" t="s">
        <v>88</v>
      </c>
      <c r="E110" s="107"/>
      <c r="F110" s="146"/>
      <c r="G110" s="140" t="s">
        <v>96</v>
      </c>
      <c r="H110" s="128" t="s">
        <v>85</v>
      </c>
      <c r="I110" s="107"/>
      <c r="J110" s="207" t="s">
        <v>88</v>
      </c>
      <c r="K110" s="107"/>
    </row>
    <row r="111" spans="1:11" ht="20.100000000000001" customHeight="1" thickTop="1" thickBot="1" x14ac:dyDescent="0.25">
      <c r="A111" s="141" t="s">
        <v>87</v>
      </c>
      <c r="B111" s="128"/>
      <c r="C111" s="193"/>
      <c r="D111" s="208" t="s">
        <v>88</v>
      </c>
      <c r="E111" s="137"/>
      <c r="F111" s="129"/>
      <c r="G111" s="141" t="s">
        <v>87</v>
      </c>
      <c r="H111" s="128"/>
      <c r="I111" s="193"/>
      <c r="J111" s="208" t="s">
        <v>88</v>
      </c>
      <c r="K111" s="137"/>
    </row>
    <row r="112" spans="1:11" ht="20.100000000000001" customHeight="1" thickTop="1" thickBot="1" x14ac:dyDescent="0.25">
      <c r="A112" s="68" t="s">
        <v>113</v>
      </c>
      <c r="B112" s="189">
        <f>MAX(C108:E111)</f>
        <v>0</v>
      </c>
      <c r="C112" s="209"/>
      <c r="D112" s="209"/>
      <c r="E112" s="209"/>
      <c r="F112" s="144"/>
      <c r="G112" s="68" t="s">
        <v>113</v>
      </c>
      <c r="H112" s="189">
        <f>MAX(I108:K111)</f>
        <v>0</v>
      </c>
      <c r="I112" s="209"/>
      <c r="J112" s="209"/>
      <c r="K112" s="209"/>
    </row>
    <row r="113" spans="1:11" ht="20.100000000000001" customHeight="1" thickTop="1" thickBot="1" x14ac:dyDescent="0.25">
      <c r="A113" s="138" t="s">
        <v>84</v>
      </c>
      <c r="B113" s="129" t="s">
        <v>85</v>
      </c>
      <c r="C113" s="61"/>
      <c r="D113" s="200"/>
      <c r="E113" s="206"/>
      <c r="F113" s="145"/>
      <c r="G113" s="138" t="s">
        <v>84</v>
      </c>
      <c r="H113" s="129" t="s">
        <v>85</v>
      </c>
      <c r="I113" s="61"/>
      <c r="J113" s="200"/>
      <c r="K113" s="206"/>
    </row>
    <row r="114" spans="1:11" ht="20.100000000000001" customHeight="1" thickTop="1" thickBot="1" x14ac:dyDescent="0.25">
      <c r="A114" s="139" t="s">
        <v>95</v>
      </c>
      <c r="B114" s="128" t="s">
        <v>85</v>
      </c>
      <c r="C114" s="64"/>
      <c r="D114" s="207" t="s">
        <v>88</v>
      </c>
      <c r="E114" s="64"/>
      <c r="F114" s="129"/>
      <c r="G114" s="139" t="s">
        <v>95</v>
      </c>
      <c r="H114" s="128" t="s">
        <v>85</v>
      </c>
      <c r="I114" s="64"/>
      <c r="J114" s="207" t="s">
        <v>88</v>
      </c>
      <c r="K114" s="64"/>
    </row>
    <row r="115" spans="1:11" ht="20.100000000000001" customHeight="1" thickTop="1" thickBot="1" x14ac:dyDescent="0.25">
      <c r="A115" s="140" t="s">
        <v>96</v>
      </c>
      <c r="B115" s="128" t="s">
        <v>85</v>
      </c>
      <c r="C115" s="107"/>
      <c r="D115" s="207" t="s">
        <v>88</v>
      </c>
      <c r="E115" s="107"/>
      <c r="F115" s="146"/>
      <c r="G115" s="140" t="s">
        <v>96</v>
      </c>
      <c r="H115" s="128" t="s">
        <v>85</v>
      </c>
      <c r="I115" s="107"/>
      <c r="J115" s="207" t="s">
        <v>88</v>
      </c>
      <c r="K115" s="107"/>
    </row>
    <row r="116" spans="1:11" ht="20.100000000000001" customHeight="1" thickTop="1" thickBot="1" x14ac:dyDescent="0.25">
      <c r="A116" s="141" t="s">
        <v>87</v>
      </c>
      <c r="B116" s="128"/>
      <c r="C116" s="193"/>
      <c r="D116" s="208" t="s">
        <v>88</v>
      </c>
      <c r="E116" s="137"/>
      <c r="F116" s="129"/>
      <c r="G116" s="141" t="s">
        <v>87</v>
      </c>
      <c r="H116" s="128"/>
      <c r="I116" s="193"/>
      <c r="J116" s="208" t="s">
        <v>88</v>
      </c>
      <c r="K116" s="137"/>
    </row>
    <row r="117" spans="1:11" ht="20.100000000000001" customHeight="1" thickTop="1" thickBot="1" x14ac:dyDescent="0.25">
      <c r="A117" s="68" t="s">
        <v>114</v>
      </c>
      <c r="B117" s="189">
        <f>MAX(C113:E116)</f>
        <v>0</v>
      </c>
      <c r="C117" s="209"/>
      <c r="D117" s="209"/>
      <c r="E117" s="209"/>
      <c r="F117" s="144"/>
      <c r="G117" s="68" t="s">
        <v>114</v>
      </c>
      <c r="H117" s="189">
        <f>MAX(I113:K116)</f>
        <v>0</v>
      </c>
      <c r="I117" s="209"/>
      <c r="J117" s="209"/>
      <c r="K117" s="209"/>
    </row>
    <row r="118" spans="1:11" ht="20.100000000000001" customHeight="1" thickTop="1" thickBot="1" x14ac:dyDescent="0.25">
      <c r="A118" s="138" t="s">
        <v>84</v>
      </c>
      <c r="B118" s="129" t="s">
        <v>85</v>
      </c>
      <c r="C118" s="61"/>
      <c r="D118" s="200"/>
      <c r="E118" s="206"/>
      <c r="F118" s="145"/>
      <c r="G118" s="138" t="s">
        <v>84</v>
      </c>
      <c r="H118" s="129" t="s">
        <v>85</v>
      </c>
      <c r="I118" s="61"/>
      <c r="J118" s="200"/>
      <c r="K118" s="206"/>
    </row>
    <row r="119" spans="1:11" ht="20.100000000000001" customHeight="1" thickTop="1" thickBot="1" x14ac:dyDescent="0.25">
      <c r="A119" s="139" t="s">
        <v>95</v>
      </c>
      <c r="B119" s="128" t="s">
        <v>85</v>
      </c>
      <c r="C119" s="64"/>
      <c r="D119" s="207" t="s">
        <v>88</v>
      </c>
      <c r="E119" s="64"/>
      <c r="F119" s="129"/>
      <c r="G119" s="139" t="s">
        <v>95</v>
      </c>
      <c r="H119" s="128" t="s">
        <v>85</v>
      </c>
      <c r="I119" s="64"/>
      <c r="J119" s="207" t="s">
        <v>88</v>
      </c>
      <c r="K119" s="64"/>
    </row>
    <row r="120" spans="1:11" ht="20.100000000000001" customHeight="1" thickTop="1" thickBot="1" x14ac:dyDescent="0.25">
      <c r="A120" s="140" t="s">
        <v>96</v>
      </c>
      <c r="B120" s="128" t="s">
        <v>85</v>
      </c>
      <c r="C120" s="107"/>
      <c r="D120" s="207" t="s">
        <v>88</v>
      </c>
      <c r="E120" s="107"/>
      <c r="F120" s="146"/>
      <c r="G120" s="140" t="s">
        <v>96</v>
      </c>
      <c r="H120" s="128" t="s">
        <v>85</v>
      </c>
      <c r="I120" s="107"/>
      <c r="J120" s="207" t="s">
        <v>88</v>
      </c>
      <c r="K120" s="107"/>
    </row>
    <row r="121" spans="1:11" ht="20.100000000000001" customHeight="1" thickTop="1" thickBot="1" x14ac:dyDescent="0.25">
      <c r="A121" s="141" t="s">
        <v>87</v>
      </c>
      <c r="B121" s="128"/>
      <c r="C121" s="193"/>
      <c r="D121" s="208" t="s">
        <v>88</v>
      </c>
      <c r="E121" s="137"/>
      <c r="F121" s="129"/>
      <c r="G121" s="141" t="s">
        <v>87</v>
      </c>
      <c r="H121" s="128"/>
      <c r="I121" s="193"/>
      <c r="J121" s="208" t="s">
        <v>88</v>
      </c>
      <c r="K121" s="137"/>
    </row>
    <row r="122" spans="1:11" ht="20.100000000000001" customHeight="1" thickTop="1" thickBot="1" x14ac:dyDescent="0.25">
      <c r="A122" s="68" t="s">
        <v>115</v>
      </c>
      <c r="B122" s="189">
        <f>MAX(C118:E121)</f>
        <v>0</v>
      </c>
      <c r="C122" s="209"/>
      <c r="D122" s="209"/>
      <c r="E122" s="209"/>
      <c r="F122" s="144"/>
      <c r="G122" s="68" t="s">
        <v>115</v>
      </c>
      <c r="H122" s="189">
        <f>MAX(I118:K121)</f>
        <v>0</v>
      </c>
      <c r="I122" s="209"/>
      <c r="J122" s="209"/>
      <c r="K122" s="209"/>
    </row>
    <row r="123" spans="1:11" ht="20.100000000000001" customHeight="1" thickTop="1" thickBot="1" x14ac:dyDescent="0.25">
      <c r="A123" s="138" t="s">
        <v>84</v>
      </c>
      <c r="B123" s="129" t="s">
        <v>85</v>
      </c>
      <c r="C123" s="61"/>
      <c r="D123" s="200"/>
      <c r="E123" s="206"/>
      <c r="F123" s="145"/>
      <c r="G123" s="138" t="s">
        <v>84</v>
      </c>
      <c r="H123" s="129" t="s">
        <v>85</v>
      </c>
      <c r="I123" s="61"/>
      <c r="J123" s="200"/>
      <c r="K123" s="206"/>
    </row>
    <row r="124" spans="1:11" ht="20.100000000000001" customHeight="1" thickTop="1" thickBot="1" x14ac:dyDescent="0.25">
      <c r="A124" s="139" t="s">
        <v>95</v>
      </c>
      <c r="B124" s="128" t="s">
        <v>85</v>
      </c>
      <c r="C124" s="64"/>
      <c r="D124" s="207" t="s">
        <v>88</v>
      </c>
      <c r="E124" s="64"/>
      <c r="F124" s="129"/>
      <c r="G124" s="139" t="s">
        <v>95</v>
      </c>
      <c r="H124" s="128" t="s">
        <v>85</v>
      </c>
      <c r="I124" s="64"/>
      <c r="J124" s="207" t="s">
        <v>88</v>
      </c>
      <c r="K124" s="64"/>
    </row>
    <row r="125" spans="1:11" ht="20.100000000000001" customHeight="1" thickTop="1" thickBot="1" x14ac:dyDescent="0.25">
      <c r="A125" s="140" t="s">
        <v>96</v>
      </c>
      <c r="B125" s="128" t="s">
        <v>85</v>
      </c>
      <c r="C125" s="107"/>
      <c r="D125" s="207" t="s">
        <v>88</v>
      </c>
      <c r="E125" s="107"/>
      <c r="F125" s="146"/>
      <c r="G125" s="140" t="s">
        <v>96</v>
      </c>
      <c r="H125" s="128" t="s">
        <v>85</v>
      </c>
      <c r="I125" s="107"/>
      <c r="J125" s="207" t="s">
        <v>88</v>
      </c>
      <c r="K125" s="107"/>
    </row>
    <row r="126" spans="1:11" ht="20.100000000000001" customHeight="1" thickTop="1" thickBot="1" x14ac:dyDescent="0.25">
      <c r="A126" s="140" t="s">
        <v>87</v>
      </c>
      <c r="B126" s="134"/>
      <c r="C126" s="210"/>
      <c r="D126" s="208" t="s">
        <v>88</v>
      </c>
      <c r="E126" s="137"/>
      <c r="F126" s="129"/>
      <c r="G126" s="140" t="s">
        <v>87</v>
      </c>
      <c r="H126" s="134"/>
      <c r="I126" s="210"/>
      <c r="J126" s="208" t="s">
        <v>88</v>
      </c>
      <c r="K126" s="137"/>
    </row>
    <row r="127" spans="1:11" ht="14.25" thickTop="1" x14ac:dyDescent="0.25"/>
  </sheetData>
  <sheetProtection selectLockedCells="1"/>
  <dataConsolidate link="1"/>
  <mergeCells count="6">
    <mergeCell ref="B5:F5"/>
    <mergeCell ref="H5:K5"/>
    <mergeCell ref="B6:F6"/>
    <mergeCell ref="H6:K6"/>
    <mergeCell ref="B26:F26"/>
    <mergeCell ref="H26:K26"/>
  </mergeCells>
  <dataValidations count="2">
    <dataValidation type="list" allowBlank="1" showInputMessage="1" showErrorMessage="1" sqref="H6:K6" xr:uid="{67B252D1-3744-4165-B6E2-D7B7CCD9486B}">
      <formula1>"Please specify,ISCED2 + ISCED 3,ISCED 3"</formula1>
    </dataValidation>
    <dataValidation type="list" allowBlank="1" showInputMessage="1" showErrorMessage="1" sqref="B6:F6" xr:uid="{CABCBA63-5DC3-4DD6-810F-22A9CB1A2113}">
      <formula1>"Please specify,ISCED 1, ISCED 1 + ISCED 2"</formula1>
    </dataValidation>
  </dataValidation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3719B-7FD7-4488-9043-52A60590AD09}">
  <sheetPr codeName="Sheet16">
    <tabColor rgb="FF00B050"/>
  </sheetPr>
  <dimension ref="A1:K127"/>
  <sheetViews>
    <sheetView topLeftCell="A6" workbookViewId="0">
      <selection activeCell="I13" sqref="I13"/>
    </sheetView>
  </sheetViews>
  <sheetFormatPr defaultColWidth="9.140625" defaultRowHeight="13.5" x14ac:dyDescent="0.25"/>
  <cols>
    <col min="1" max="1" width="51.7109375" style="66" customWidth="1"/>
    <col min="2" max="2" width="6.5703125" customWidth="1"/>
    <col min="3" max="3" width="20.85546875" customWidth="1"/>
    <col min="4" max="4" width="3.42578125" customWidth="1"/>
    <col min="5" max="5" width="21" style="67" customWidth="1"/>
    <col min="6" max="6" width="9.28515625" customWidth="1"/>
    <col min="7" max="7" width="49.7109375" customWidth="1"/>
    <col min="8" max="8" width="10.5703125" customWidth="1"/>
    <col min="9" max="9" width="21.140625" style="67" customWidth="1"/>
    <col min="10" max="10" width="4" customWidth="1"/>
    <col min="11" max="11" width="22.85546875" style="67" customWidth="1"/>
  </cols>
  <sheetData>
    <row r="1" spans="1:11" s="114" customFormat="1" ht="39.75" customHeight="1" x14ac:dyDescent="0.2">
      <c r="A1" s="112" t="s">
        <v>76</v>
      </c>
      <c r="B1" s="190" t="e">
        <f>IF(LEN(#REF!)&gt;0,#REF!,"")</f>
        <v>#REF!</v>
      </c>
      <c r="C1" s="191"/>
      <c r="D1" s="184"/>
      <c r="E1" s="185"/>
      <c r="F1" s="184"/>
      <c r="G1" s="184" t="str" cm="1">
        <f t="array" aca="1" ref="G1" ca="1">MID(CELL("filename",Test_WE!A1),FIND("]",CELL("filename",Test_WE!A1))+1,255)</f>
        <v>Test_WE</v>
      </c>
      <c r="H1" s="113"/>
      <c r="I1" s="113"/>
      <c r="J1" s="113"/>
      <c r="K1" s="186"/>
    </row>
    <row r="2" spans="1:11" ht="14.25" customHeight="1" x14ac:dyDescent="0.25"/>
    <row r="3" spans="1:11" ht="6" customHeight="1" x14ac:dyDescent="0.2">
      <c r="A3" s="109" t="e">
        <f>mySheeetName</f>
        <v>#NAME?</v>
      </c>
      <c r="B3" s="110"/>
      <c r="C3" s="110"/>
      <c r="D3" s="110"/>
      <c r="E3" s="111"/>
      <c r="F3" s="110"/>
      <c r="G3" s="110"/>
      <c r="H3" s="110"/>
      <c r="I3" s="111"/>
      <c r="J3" s="110"/>
      <c r="K3" s="111"/>
    </row>
    <row r="4" spans="1:11" s="65" customFormat="1" ht="45" customHeight="1" thickBot="1" x14ac:dyDescent="0.3">
      <c r="A4" s="95" t="s">
        <v>77</v>
      </c>
      <c r="B4" s="92"/>
      <c r="C4" s="92"/>
      <c r="D4" s="92"/>
      <c r="E4" s="97"/>
      <c r="F4" s="108"/>
      <c r="G4" s="91"/>
      <c r="H4" s="93"/>
      <c r="I4" s="92"/>
      <c r="J4" s="92"/>
      <c r="K4" s="94"/>
    </row>
    <row r="5" spans="1:11" ht="40.5" customHeight="1" thickTop="1" thickBot="1" x14ac:dyDescent="0.25">
      <c r="A5" s="187" t="s">
        <v>78</v>
      </c>
      <c r="B5" s="259" t="s">
        <v>116</v>
      </c>
      <c r="C5" s="260"/>
      <c r="D5" s="260"/>
      <c r="E5" s="260"/>
      <c r="F5" s="261"/>
      <c r="G5" s="187" t="s">
        <v>78</v>
      </c>
      <c r="H5" s="259" t="s">
        <v>117</v>
      </c>
      <c r="I5" s="260"/>
      <c r="J5" s="260"/>
      <c r="K5" s="260"/>
    </row>
    <row r="6" spans="1:11" ht="33.75" customHeight="1" thickTop="1" thickBot="1" x14ac:dyDescent="0.25">
      <c r="A6" s="187" t="s">
        <v>81</v>
      </c>
      <c r="B6" s="259" t="s">
        <v>82</v>
      </c>
      <c r="C6" s="260"/>
      <c r="D6" s="260"/>
      <c r="E6" s="260"/>
      <c r="F6" s="261"/>
      <c r="G6" s="187" t="s">
        <v>81</v>
      </c>
      <c r="H6" s="259" t="s">
        <v>82</v>
      </c>
      <c r="I6" s="260"/>
      <c r="J6" s="260"/>
      <c r="K6" s="260"/>
    </row>
    <row r="7" spans="1:11" ht="20.100000000000001" customHeight="1" thickTop="1" thickBot="1" x14ac:dyDescent="0.25">
      <c r="A7" s="96" t="s">
        <v>83</v>
      </c>
      <c r="B7" s="86"/>
      <c r="C7" s="87"/>
      <c r="D7" s="86"/>
      <c r="E7" s="89"/>
      <c r="F7" s="86"/>
      <c r="G7" s="88"/>
      <c r="H7" s="86"/>
      <c r="I7" s="87"/>
      <c r="J7" s="86"/>
      <c r="K7" s="63"/>
    </row>
    <row r="8" spans="1:11" ht="20.100000000000001" customHeight="1" thickTop="1" thickBot="1" x14ac:dyDescent="0.25">
      <c r="A8" s="123" t="s">
        <v>84</v>
      </c>
      <c r="B8" s="124" t="s">
        <v>85</v>
      </c>
      <c r="C8" s="61"/>
      <c r="D8" s="192"/>
      <c r="E8" s="193"/>
      <c r="F8" s="129"/>
      <c r="G8" s="123" t="s">
        <v>84</v>
      </c>
      <c r="H8" s="130" t="s">
        <v>85</v>
      </c>
      <c r="I8" s="61"/>
      <c r="J8" s="192"/>
      <c r="K8" s="193"/>
    </row>
    <row r="9" spans="1:11" ht="20.100000000000001" customHeight="1" thickTop="1" thickBot="1" x14ac:dyDescent="0.25">
      <c r="A9" s="125" t="s">
        <v>86</v>
      </c>
      <c r="B9" s="126"/>
      <c r="C9" s="62">
        <v>45474</v>
      </c>
      <c r="D9" s="194"/>
      <c r="E9" s="195"/>
      <c r="F9" s="129"/>
      <c r="G9" s="125" t="s">
        <v>86</v>
      </c>
      <c r="H9" s="131"/>
      <c r="I9" s="62">
        <v>45474</v>
      </c>
      <c r="J9" s="194"/>
      <c r="K9" s="195"/>
    </row>
    <row r="10" spans="1:11" ht="20.100000000000001" customHeight="1" thickTop="1" thickBot="1" x14ac:dyDescent="0.25">
      <c r="A10" s="127" t="s">
        <v>87</v>
      </c>
      <c r="B10" s="128"/>
      <c r="C10" s="195"/>
      <c r="D10" s="196" t="s">
        <v>88</v>
      </c>
      <c r="E10" s="61"/>
      <c r="F10" s="129"/>
      <c r="G10" s="127" t="s">
        <v>87</v>
      </c>
      <c r="H10" s="129"/>
      <c r="I10" s="195"/>
      <c r="J10" s="196" t="s">
        <v>88</v>
      </c>
      <c r="K10" s="61"/>
    </row>
    <row r="11" spans="1:11" ht="20.100000000000001" customHeight="1" thickTop="1" thickBot="1" x14ac:dyDescent="0.25">
      <c r="A11" s="96" t="s">
        <v>89</v>
      </c>
      <c r="B11" s="15"/>
      <c r="C11" s="197"/>
      <c r="D11" s="198"/>
      <c r="E11" s="199"/>
      <c r="F11" s="15"/>
      <c r="G11" s="16"/>
      <c r="H11" s="15"/>
      <c r="I11" s="197"/>
      <c r="J11" s="198"/>
      <c r="K11" s="211"/>
    </row>
    <row r="12" spans="1:11" ht="20.100000000000001" customHeight="1" thickTop="1" thickBot="1" x14ac:dyDescent="0.25">
      <c r="A12" s="123" t="s">
        <v>84</v>
      </c>
      <c r="B12" s="133" t="s">
        <v>85</v>
      </c>
      <c r="C12" s="61"/>
      <c r="D12" s="200"/>
      <c r="E12" s="193"/>
      <c r="F12" s="129"/>
      <c r="G12" s="123" t="s">
        <v>84</v>
      </c>
      <c r="H12" s="132" t="s">
        <v>85</v>
      </c>
      <c r="I12" s="61"/>
      <c r="J12" s="200"/>
      <c r="K12" s="193"/>
    </row>
    <row r="13" spans="1:11" ht="20.100000000000001" customHeight="1" thickTop="1" thickBot="1" x14ac:dyDescent="0.25">
      <c r="A13" s="125" t="s">
        <v>86</v>
      </c>
      <c r="B13" s="126"/>
      <c r="C13" s="62"/>
      <c r="D13" s="194"/>
      <c r="E13" s="195"/>
      <c r="F13" s="129"/>
      <c r="G13" s="125" t="s">
        <v>86</v>
      </c>
      <c r="H13" s="131"/>
      <c r="I13" s="62"/>
      <c r="J13" s="194"/>
      <c r="K13" s="195"/>
    </row>
    <row r="14" spans="1:11" ht="20.100000000000001" customHeight="1" thickTop="1" thickBot="1" x14ac:dyDescent="0.25">
      <c r="A14" s="127" t="s">
        <v>87</v>
      </c>
      <c r="B14" s="128"/>
      <c r="C14" s="195"/>
      <c r="D14" s="196" t="s">
        <v>88</v>
      </c>
      <c r="E14" s="61"/>
      <c r="F14" s="129"/>
      <c r="G14" s="127" t="s">
        <v>87</v>
      </c>
      <c r="H14" s="129"/>
      <c r="I14" s="195"/>
      <c r="J14" s="196" t="s">
        <v>88</v>
      </c>
      <c r="K14" s="61"/>
    </row>
    <row r="15" spans="1:11" ht="20.100000000000001" customHeight="1" thickTop="1" thickBot="1" x14ac:dyDescent="0.25">
      <c r="A15" s="90" t="s">
        <v>90</v>
      </c>
      <c r="B15" s="13"/>
      <c r="C15" s="201"/>
      <c r="D15" s="202"/>
      <c r="E15" s="203"/>
      <c r="F15" s="13"/>
      <c r="G15" s="14"/>
      <c r="H15" s="13"/>
      <c r="I15" s="201"/>
      <c r="J15" s="202"/>
      <c r="K15" s="212"/>
    </row>
    <row r="16" spans="1:11" ht="20.100000000000001" customHeight="1" thickTop="1" thickBot="1" x14ac:dyDescent="0.25">
      <c r="A16" s="123" t="s">
        <v>84</v>
      </c>
      <c r="B16" s="133" t="s">
        <v>85</v>
      </c>
      <c r="C16" s="61"/>
      <c r="D16" s="200"/>
      <c r="E16" s="193"/>
      <c r="F16" s="129"/>
      <c r="G16" s="123" t="s">
        <v>84</v>
      </c>
      <c r="H16" s="133" t="s">
        <v>85</v>
      </c>
      <c r="I16" s="61"/>
      <c r="J16" s="200"/>
      <c r="K16" s="194"/>
    </row>
    <row r="17" spans="1:11" ht="20.100000000000001" customHeight="1" thickTop="1" thickBot="1" x14ac:dyDescent="0.25">
      <c r="A17" s="125" t="s">
        <v>91</v>
      </c>
      <c r="B17" s="126"/>
      <c r="C17" s="188">
        <v>45901</v>
      </c>
      <c r="D17" s="194"/>
      <c r="E17" s="195"/>
      <c r="F17" s="129"/>
      <c r="G17" s="125" t="s">
        <v>91</v>
      </c>
      <c r="H17" s="126"/>
      <c r="I17" s="188">
        <v>45901</v>
      </c>
      <c r="J17" s="213"/>
      <c r="K17" s="195"/>
    </row>
    <row r="18" spans="1:11" ht="20.100000000000001" customHeight="1" thickTop="1" thickBot="1" x14ac:dyDescent="0.25">
      <c r="A18" s="127" t="s">
        <v>87</v>
      </c>
      <c r="B18" s="134"/>
      <c r="C18" s="195"/>
      <c r="D18" s="196" t="s">
        <v>88</v>
      </c>
      <c r="E18" s="61"/>
      <c r="F18" s="135"/>
      <c r="G18" s="127" t="s">
        <v>87</v>
      </c>
      <c r="H18" s="134"/>
      <c r="I18" s="195"/>
      <c r="J18" s="196" t="s">
        <v>88</v>
      </c>
      <c r="K18" s="61"/>
    </row>
    <row r="19" spans="1:11" ht="20.100000000000001" customHeight="1" thickTop="1" thickBot="1" x14ac:dyDescent="0.25">
      <c r="A19" s="90" t="s">
        <v>92</v>
      </c>
      <c r="B19" s="13"/>
      <c r="C19" s="201"/>
      <c r="D19" s="202"/>
      <c r="E19" s="203"/>
      <c r="F19" s="13"/>
      <c r="G19" s="14"/>
      <c r="H19" s="13"/>
      <c r="I19" s="201"/>
      <c r="J19" s="202"/>
      <c r="K19" s="212"/>
    </row>
    <row r="20" spans="1:11" ht="20.100000000000001" customHeight="1" thickTop="1" thickBot="1" x14ac:dyDescent="0.25">
      <c r="A20" s="123" t="s">
        <v>84</v>
      </c>
      <c r="B20" s="133" t="s">
        <v>85</v>
      </c>
      <c r="C20" s="61"/>
      <c r="D20" s="200"/>
      <c r="E20" s="193"/>
      <c r="F20" s="129"/>
      <c r="G20" s="123" t="s">
        <v>84</v>
      </c>
      <c r="H20" s="133" t="s">
        <v>85</v>
      </c>
      <c r="I20" s="61"/>
      <c r="J20" s="200"/>
      <c r="K20" s="193"/>
    </row>
    <row r="21" spans="1:11" ht="20.100000000000001" customHeight="1" thickTop="1" thickBot="1" x14ac:dyDescent="0.25">
      <c r="A21" s="125" t="s">
        <v>91</v>
      </c>
      <c r="B21" s="126"/>
      <c r="C21" s="188"/>
      <c r="D21" s="194"/>
      <c r="E21" s="195"/>
      <c r="F21" s="129"/>
      <c r="G21" s="125" t="s">
        <v>91</v>
      </c>
      <c r="H21" s="126"/>
      <c r="I21" s="188"/>
      <c r="J21" s="194"/>
      <c r="K21" s="195"/>
    </row>
    <row r="22" spans="1:11" ht="20.100000000000001" customHeight="1" thickTop="1" thickBot="1" x14ac:dyDescent="0.25">
      <c r="A22" s="127" t="s">
        <v>87</v>
      </c>
      <c r="B22" s="134"/>
      <c r="C22" s="204"/>
      <c r="D22" s="205" t="s">
        <v>88</v>
      </c>
      <c r="E22" s="61"/>
      <c r="F22" s="135"/>
      <c r="G22" s="127" t="s">
        <v>87</v>
      </c>
      <c r="H22" s="134"/>
      <c r="I22" s="204"/>
      <c r="J22" s="205" t="s">
        <v>88</v>
      </c>
      <c r="K22" s="61"/>
    </row>
    <row r="23" spans="1:11" ht="20.100000000000001" customHeight="1" thickTop="1" x14ac:dyDescent="0.2">
      <c r="A23" s="81"/>
      <c r="B23" s="82"/>
      <c r="C23" s="83"/>
      <c r="D23" s="84"/>
      <c r="E23" s="83"/>
      <c r="F23" s="83"/>
      <c r="G23" s="81"/>
      <c r="H23" s="82"/>
      <c r="I23" s="85"/>
      <c r="J23" s="84"/>
      <c r="K23" s="85"/>
    </row>
    <row r="24" spans="1:11" ht="22.5" customHeight="1" x14ac:dyDescent="0.2">
      <c r="A24" s="95" t="s">
        <v>93</v>
      </c>
      <c r="B24" s="92"/>
      <c r="C24" s="92"/>
      <c r="D24" s="92"/>
      <c r="E24" s="97"/>
      <c r="F24" s="97"/>
      <c r="G24" s="91"/>
      <c r="H24" s="93"/>
      <c r="I24" s="92"/>
      <c r="J24" s="92"/>
      <c r="K24" s="94"/>
    </row>
    <row r="25" spans="1:11" ht="26.25" customHeight="1" x14ac:dyDescent="0.25">
      <c r="A25" s="103"/>
      <c r="B25" s="98" t="str">
        <f>$B$5</f>
        <v>PRIMARY</v>
      </c>
      <c r="C25" s="99"/>
      <c r="D25" s="99"/>
      <c r="E25" s="100"/>
      <c r="F25" s="101"/>
      <c r="G25" s="104"/>
      <c r="H25" s="98" t="str">
        <f>H5</f>
        <v>SECONDARY</v>
      </c>
      <c r="I25" s="99"/>
      <c r="J25" s="99"/>
      <c r="K25" s="100"/>
    </row>
    <row r="26" spans="1:11" ht="28.5" customHeight="1" thickBot="1" x14ac:dyDescent="0.25">
      <c r="A26" s="102"/>
      <c r="B26" s="262" t="str">
        <f>B6</f>
        <v>Please specify</v>
      </c>
      <c r="C26" s="263">
        <f t="shared" ref="C26:K26" si="0">C6</f>
        <v>0</v>
      </c>
      <c r="D26" s="263">
        <f t="shared" si="0"/>
        <v>0</v>
      </c>
      <c r="E26" s="263">
        <f t="shared" si="0"/>
        <v>0</v>
      </c>
      <c r="F26" s="264">
        <f t="shared" si="0"/>
        <v>0</v>
      </c>
      <c r="G26" s="102"/>
      <c r="H26" s="265" t="str">
        <f>H6</f>
        <v>Please specify</v>
      </c>
      <c r="I26" s="266">
        <f t="shared" si="0"/>
        <v>0</v>
      </c>
      <c r="J26" s="266">
        <f t="shared" si="0"/>
        <v>0</v>
      </c>
      <c r="K26" s="267">
        <f t="shared" si="0"/>
        <v>0</v>
      </c>
    </row>
    <row r="27" spans="1:11" ht="20.100000000000001" customHeight="1" thickTop="1" thickBot="1" x14ac:dyDescent="0.25">
      <c r="A27" s="68" t="s">
        <v>94</v>
      </c>
      <c r="B27" s="142"/>
      <c r="C27" s="143"/>
      <c r="D27" s="143"/>
      <c r="E27" s="143"/>
      <c r="F27" s="144"/>
      <c r="G27" s="68" t="s">
        <v>94</v>
      </c>
      <c r="H27" s="142"/>
      <c r="I27" s="143"/>
      <c r="J27" s="143"/>
      <c r="K27" s="143"/>
    </row>
    <row r="28" spans="1:11" ht="20.100000000000001" customHeight="1" thickTop="1" thickBot="1" x14ac:dyDescent="0.25">
      <c r="A28" s="138" t="s">
        <v>84</v>
      </c>
      <c r="B28" s="129" t="s">
        <v>85</v>
      </c>
      <c r="C28" s="61"/>
      <c r="D28" s="200"/>
      <c r="E28" s="206"/>
      <c r="F28" s="145"/>
      <c r="G28" s="138" t="s">
        <v>84</v>
      </c>
      <c r="H28" s="129" t="s">
        <v>85</v>
      </c>
      <c r="I28" s="61"/>
      <c r="J28" s="200"/>
      <c r="K28" s="206"/>
    </row>
    <row r="29" spans="1:11" ht="20.100000000000001" customHeight="1" thickTop="1" thickBot="1" x14ac:dyDescent="0.25">
      <c r="A29" s="139" t="s">
        <v>95</v>
      </c>
      <c r="B29" s="128" t="s">
        <v>85</v>
      </c>
      <c r="C29" s="64">
        <v>45479</v>
      </c>
      <c r="D29" s="207" t="s">
        <v>88</v>
      </c>
      <c r="E29" s="64">
        <v>45480</v>
      </c>
      <c r="F29" s="129"/>
      <c r="G29" s="139" t="s">
        <v>95</v>
      </c>
      <c r="H29" s="128" t="s">
        <v>85</v>
      </c>
      <c r="I29" s="64">
        <f>E124+6</f>
        <v>45619</v>
      </c>
      <c r="J29" s="207" t="s">
        <v>88</v>
      </c>
      <c r="K29" s="64">
        <f>I29+1</f>
        <v>45620</v>
      </c>
    </row>
    <row r="30" spans="1:11" ht="20.100000000000001" customHeight="1" thickTop="1" thickBot="1" x14ac:dyDescent="0.25">
      <c r="A30" s="140" t="s">
        <v>96</v>
      </c>
      <c r="B30" s="128" t="s">
        <v>85</v>
      </c>
      <c r="C30" s="107"/>
      <c r="D30" s="207" t="s">
        <v>88</v>
      </c>
      <c r="E30" s="107"/>
      <c r="F30" s="146"/>
      <c r="G30" s="140" t="s">
        <v>96</v>
      </c>
      <c r="H30" s="128" t="s">
        <v>85</v>
      </c>
      <c r="I30" s="107"/>
      <c r="J30" s="207" t="s">
        <v>88</v>
      </c>
      <c r="K30" s="107"/>
    </row>
    <row r="31" spans="1:11" ht="20.100000000000001" customHeight="1" thickTop="1" thickBot="1" x14ac:dyDescent="0.25">
      <c r="A31" s="141" t="s">
        <v>87</v>
      </c>
      <c r="B31" s="128"/>
      <c r="C31" s="193"/>
      <c r="D31" s="208" t="s">
        <v>88</v>
      </c>
      <c r="E31" s="137"/>
      <c r="F31" s="129"/>
      <c r="G31" s="141" t="s">
        <v>87</v>
      </c>
      <c r="H31" s="128"/>
      <c r="I31" s="193"/>
      <c r="J31" s="208" t="s">
        <v>88</v>
      </c>
      <c r="K31" s="137"/>
    </row>
    <row r="32" spans="1:11" ht="20.100000000000001" customHeight="1" thickTop="1" thickBot="1" x14ac:dyDescent="0.25">
      <c r="A32" s="68" t="s">
        <v>97</v>
      </c>
      <c r="B32" s="189">
        <f>MAX(C28:E31)</f>
        <v>45480</v>
      </c>
      <c r="C32" s="209"/>
      <c r="D32" s="209"/>
      <c r="E32" s="209"/>
      <c r="F32" s="144"/>
      <c r="G32" s="68" t="s">
        <v>97</v>
      </c>
      <c r="H32" s="189">
        <f>MAX(I28:K31)</f>
        <v>45620</v>
      </c>
      <c r="I32" s="209"/>
      <c r="J32" s="209"/>
      <c r="K32" s="209"/>
    </row>
    <row r="33" spans="1:11" ht="20.100000000000001" customHeight="1" thickTop="1" thickBot="1" x14ac:dyDescent="0.25">
      <c r="A33" s="138" t="s">
        <v>84</v>
      </c>
      <c r="B33" s="129" t="s">
        <v>85</v>
      </c>
      <c r="C33" s="61"/>
      <c r="D33" s="200"/>
      <c r="E33" s="206"/>
      <c r="F33" s="145"/>
      <c r="G33" s="138" t="s">
        <v>84</v>
      </c>
      <c r="H33" s="129" t="s">
        <v>85</v>
      </c>
      <c r="I33" s="61"/>
      <c r="J33" s="200"/>
      <c r="K33" s="206"/>
    </row>
    <row r="34" spans="1:11" ht="22.5" customHeight="1" thickTop="1" thickBot="1" x14ac:dyDescent="0.25">
      <c r="A34" s="139" t="s">
        <v>95</v>
      </c>
      <c r="B34" s="128" t="s">
        <v>85</v>
      </c>
      <c r="C34" s="64">
        <f>E29+6</f>
        <v>45486</v>
      </c>
      <c r="D34" s="207" t="s">
        <v>88</v>
      </c>
      <c r="E34" s="64">
        <f>C34+1</f>
        <v>45487</v>
      </c>
      <c r="F34" s="129"/>
      <c r="G34" s="139" t="s">
        <v>95</v>
      </c>
      <c r="H34" s="128" t="s">
        <v>85</v>
      </c>
      <c r="I34" s="64">
        <f>K29+6</f>
        <v>45626</v>
      </c>
      <c r="J34" s="207" t="s">
        <v>88</v>
      </c>
      <c r="K34" s="64">
        <f>I34+1</f>
        <v>45627</v>
      </c>
    </row>
    <row r="35" spans="1:11" ht="20.100000000000001" customHeight="1" thickTop="1" thickBot="1" x14ac:dyDescent="0.25">
      <c r="A35" s="140" t="s">
        <v>96</v>
      </c>
      <c r="B35" s="128" t="s">
        <v>85</v>
      </c>
      <c r="C35" s="107"/>
      <c r="D35" s="207" t="s">
        <v>88</v>
      </c>
      <c r="E35" s="107"/>
      <c r="F35" s="146"/>
      <c r="G35" s="140" t="s">
        <v>96</v>
      </c>
      <c r="H35" s="128" t="s">
        <v>85</v>
      </c>
      <c r="I35" s="107"/>
      <c r="J35" s="207" t="s">
        <v>88</v>
      </c>
      <c r="K35" s="107"/>
    </row>
    <row r="36" spans="1:11" ht="20.100000000000001" customHeight="1" thickTop="1" thickBot="1" x14ac:dyDescent="0.25">
      <c r="A36" s="141" t="s">
        <v>87</v>
      </c>
      <c r="B36" s="128"/>
      <c r="C36" s="193"/>
      <c r="D36" s="208" t="s">
        <v>88</v>
      </c>
      <c r="E36" s="137"/>
      <c r="F36" s="129"/>
      <c r="G36" s="141" t="s">
        <v>87</v>
      </c>
      <c r="H36" s="128"/>
      <c r="I36" s="193"/>
      <c r="J36" s="208" t="s">
        <v>88</v>
      </c>
      <c r="K36" s="137"/>
    </row>
    <row r="37" spans="1:11" ht="20.100000000000001" customHeight="1" thickTop="1" thickBot="1" x14ac:dyDescent="0.25">
      <c r="A37" s="68" t="s">
        <v>98</v>
      </c>
      <c r="B37" s="189">
        <f>MAX(C33:E36)</f>
        <v>45487</v>
      </c>
      <c r="C37" s="209"/>
      <c r="D37" s="209"/>
      <c r="E37" s="209"/>
      <c r="F37" s="144"/>
      <c r="G37" s="68" t="s">
        <v>98</v>
      </c>
      <c r="H37" s="189">
        <f>MAX(I33:K36)</f>
        <v>45627</v>
      </c>
      <c r="I37" s="209"/>
      <c r="J37" s="209"/>
      <c r="K37" s="209"/>
    </row>
    <row r="38" spans="1:11" ht="20.100000000000001" customHeight="1" thickTop="1" thickBot="1" x14ac:dyDescent="0.25">
      <c r="A38" s="138" t="s">
        <v>84</v>
      </c>
      <c r="B38" s="129" t="s">
        <v>85</v>
      </c>
      <c r="C38" s="61"/>
      <c r="D38" s="200"/>
      <c r="E38" s="206"/>
      <c r="F38" s="145"/>
      <c r="G38" s="138" t="s">
        <v>84</v>
      </c>
      <c r="H38" s="129" t="s">
        <v>85</v>
      </c>
      <c r="I38" s="61"/>
      <c r="J38" s="200"/>
      <c r="K38" s="206"/>
    </row>
    <row r="39" spans="1:11" ht="20.100000000000001" customHeight="1" thickTop="1" thickBot="1" x14ac:dyDescent="0.25">
      <c r="A39" s="139" t="s">
        <v>95</v>
      </c>
      <c r="B39" s="128" t="s">
        <v>85</v>
      </c>
      <c r="C39" s="64">
        <f>E34+6</f>
        <v>45493</v>
      </c>
      <c r="D39" s="207" t="s">
        <v>88</v>
      </c>
      <c r="E39" s="64">
        <f>C39+1</f>
        <v>45494</v>
      </c>
      <c r="F39" s="129"/>
      <c r="G39" s="139" t="s">
        <v>95</v>
      </c>
      <c r="H39" s="128" t="s">
        <v>85</v>
      </c>
      <c r="I39" s="64">
        <f>K34+6</f>
        <v>45633</v>
      </c>
      <c r="J39" s="207" t="s">
        <v>88</v>
      </c>
      <c r="K39" s="64">
        <f>I39+1</f>
        <v>45634</v>
      </c>
    </row>
    <row r="40" spans="1:11" ht="20.100000000000001" customHeight="1" thickTop="1" thickBot="1" x14ac:dyDescent="0.25">
      <c r="A40" s="140" t="s">
        <v>96</v>
      </c>
      <c r="B40" s="128" t="s">
        <v>85</v>
      </c>
      <c r="C40" s="107"/>
      <c r="D40" s="207" t="s">
        <v>88</v>
      </c>
      <c r="E40" s="107"/>
      <c r="F40" s="146"/>
      <c r="G40" s="140" t="s">
        <v>96</v>
      </c>
      <c r="H40" s="128" t="s">
        <v>85</v>
      </c>
      <c r="I40" s="107"/>
      <c r="J40" s="207" t="s">
        <v>88</v>
      </c>
      <c r="K40" s="107"/>
    </row>
    <row r="41" spans="1:11" ht="20.100000000000001" customHeight="1" thickTop="1" thickBot="1" x14ac:dyDescent="0.25">
      <c r="A41" s="141" t="s">
        <v>87</v>
      </c>
      <c r="B41" s="128"/>
      <c r="C41" s="193"/>
      <c r="D41" s="208" t="s">
        <v>88</v>
      </c>
      <c r="E41" s="137"/>
      <c r="F41" s="129"/>
      <c r="G41" s="141" t="s">
        <v>87</v>
      </c>
      <c r="H41" s="128"/>
      <c r="I41" s="193"/>
      <c r="J41" s="208" t="s">
        <v>88</v>
      </c>
      <c r="K41" s="137"/>
    </row>
    <row r="42" spans="1:11" ht="20.100000000000001" customHeight="1" thickTop="1" thickBot="1" x14ac:dyDescent="0.25">
      <c r="A42" s="68" t="s">
        <v>99</v>
      </c>
      <c r="B42" s="189">
        <f>MAX(C38:E41)</f>
        <v>45494</v>
      </c>
      <c r="C42" s="209"/>
      <c r="D42" s="209"/>
      <c r="E42" s="209"/>
      <c r="F42" s="144"/>
      <c r="G42" s="68" t="s">
        <v>99</v>
      </c>
      <c r="H42" s="189">
        <f>MAX(I38:K41)</f>
        <v>45634</v>
      </c>
      <c r="I42" s="209"/>
      <c r="J42" s="209"/>
      <c r="K42" s="209"/>
    </row>
    <row r="43" spans="1:11" ht="20.100000000000001" customHeight="1" thickTop="1" thickBot="1" x14ac:dyDescent="0.25">
      <c r="A43" s="138" t="s">
        <v>84</v>
      </c>
      <c r="B43" s="129" t="s">
        <v>85</v>
      </c>
      <c r="C43" s="61"/>
      <c r="D43" s="200"/>
      <c r="E43" s="206"/>
      <c r="F43" s="145"/>
      <c r="G43" s="138" t="s">
        <v>84</v>
      </c>
      <c r="H43" s="129" t="s">
        <v>85</v>
      </c>
      <c r="I43" s="61"/>
      <c r="J43" s="200"/>
      <c r="K43" s="206"/>
    </row>
    <row r="44" spans="1:11" ht="20.100000000000001" customHeight="1" thickTop="1" thickBot="1" x14ac:dyDescent="0.25">
      <c r="A44" s="139" t="s">
        <v>95</v>
      </c>
      <c r="B44" s="128" t="s">
        <v>85</v>
      </c>
      <c r="C44" s="64">
        <f>E39+6</f>
        <v>45500</v>
      </c>
      <c r="D44" s="207" t="s">
        <v>88</v>
      </c>
      <c r="E44" s="64">
        <f>C44+1</f>
        <v>45501</v>
      </c>
      <c r="F44" s="129"/>
      <c r="G44" s="139" t="s">
        <v>95</v>
      </c>
      <c r="H44" s="128" t="s">
        <v>85</v>
      </c>
      <c r="I44" s="64">
        <f>K39+6</f>
        <v>45640</v>
      </c>
      <c r="J44" s="207" t="s">
        <v>88</v>
      </c>
      <c r="K44" s="64">
        <f>I44+1</f>
        <v>45641</v>
      </c>
    </row>
    <row r="45" spans="1:11" ht="20.100000000000001" customHeight="1" thickTop="1" thickBot="1" x14ac:dyDescent="0.25">
      <c r="A45" s="140" t="s">
        <v>96</v>
      </c>
      <c r="B45" s="128" t="s">
        <v>85</v>
      </c>
      <c r="C45" s="107"/>
      <c r="D45" s="207" t="s">
        <v>88</v>
      </c>
      <c r="E45" s="107"/>
      <c r="F45" s="146"/>
      <c r="G45" s="140" t="s">
        <v>96</v>
      </c>
      <c r="H45" s="128" t="s">
        <v>85</v>
      </c>
      <c r="I45" s="107"/>
      <c r="J45" s="207" t="s">
        <v>88</v>
      </c>
      <c r="K45" s="107"/>
    </row>
    <row r="46" spans="1:11" ht="20.100000000000001" customHeight="1" thickTop="1" thickBot="1" x14ac:dyDescent="0.25">
      <c r="A46" s="141" t="s">
        <v>87</v>
      </c>
      <c r="B46" s="128"/>
      <c r="C46" s="193"/>
      <c r="D46" s="208" t="s">
        <v>88</v>
      </c>
      <c r="E46" s="137"/>
      <c r="F46" s="129"/>
      <c r="G46" s="141" t="s">
        <v>87</v>
      </c>
      <c r="H46" s="128"/>
      <c r="I46" s="193"/>
      <c r="J46" s="208" t="s">
        <v>88</v>
      </c>
      <c r="K46" s="137"/>
    </row>
    <row r="47" spans="1:11" ht="20.100000000000001" customHeight="1" thickTop="1" thickBot="1" x14ac:dyDescent="0.25">
      <c r="A47" s="68" t="s">
        <v>100</v>
      </c>
      <c r="B47" s="189">
        <f>MAX(C43:E46)</f>
        <v>45501</v>
      </c>
      <c r="C47" s="209"/>
      <c r="D47" s="209"/>
      <c r="E47" s="209"/>
      <c r="F47" s="144"/>
      <c r="G47" s="68" t="s">
        <v>100</v>
      </c>
      <c r="H47" s="189">
        <f>MAX(I43:K46)</f>
        <v>45641</v>
      </c>
      <c r="I47" s="209"/>
      <c r="J47" s="209"/>
      <c r="K47" s="209"/>
    </row>
    <row r="48" spans="1:11" ht="20.100000000000001" customHeight="1" thickTop="1" thickBot="1" x14ac:dyDescent="0.25">
      <c r="A48" s="138" t="s">
        <v>84</v>
      </c>
      <c r="B48" s="129" t="s">
        <v>85</v>
      </c>
      <c r="C48" s="61"/>
      <c r="D48" s="200"/>
      <c r="E48" s="206"/>
      <c r="F48" s="145"/>
      <c r="G48" s="138" t="s">
        <v>84</v>
      </c>
      <c r="H48" s="129" t="s">
        <v>85</v>
      </c>
      <c r="I48" s="61"/>
      <c r="J48" s="200"/>
      <c r="K48" s="206"/>
    </row>
    <row r="49" spans="1:11" ht="20.100000000000001" customHeight="1" thickTop="1" thickBot="1" x14ac:dyDescent="0.25">
      <c r="A49" s="139" t="s">
        <v>95</v>
      </c>
      <c r="B49" s="128" t="s">
        <v>85</v>
      </c>
      <c r="C49" s="64">
        <f>E44+6</f>
        <v>45507</v>
      </c>
      <c r="D49" s="207" t="s">
        <v>88</v>
      </c>
      <c r="E49" s="64">
        <f>C49+1</f>
        <v>45508</v>
      </c>
      <c r="F49" s="129"/>
      <c r="G49" s="139" t="s">
        <v>95</v>
      </c>
      <c r="H49" s="128" t="s">
        <v>85</v>
      </c>
      <c r="I49" s="64">
        <f>K44+6</f>
        <v>45647</v>
      </c>
      <c r="J49" s="207" t="s">
        <v>88</v>
      </c>
      <c r="K49" s="64">
        <f>I49+1</f>
        <v>45648</v>
      </c>
    </row>
    <row r="50" spans="1:11" ht="20.100000000000001" customHeight="1" thickTop="1" thickBot="1" x14ac:dyDescent="0.25">
      <c r="A50" s="140" t="s">
        <v>96</v>
      </c>
      <c r="B50" s="128" t="s">
        <v>85</v>
      </c>
      <c r="C50" s="107"/>
      <c r="D50" s="207" t="s">
        <v>88</v>
      </c>
      <c r="E50" s="107"/>
      <c r="F50" s="146"/>
      <c r="G50" s="140" t="s">
        <v>96</v>
      </c>
      <c r="H50" s="128" t="s">
        <v>85</v>
      </c>
      <c r="I50" s="107"/>
      <c r="J50" s="207" t="s">
        <v>88</v>
      </c>
      <c r="K50" s="107"/>
    </row>
    <row r="51" spans="1:11" ht="20.100000000000001" customHeight="1" thickTop="1" thickBot="1" x14ac:dyDescent="0.25">
      <c r="A51" s="141" t="s">
        <v>87</v>
      </c>
      <c r="B51" s="128"/>
      <c r="C51" s="193"/>
      <c r="D51" s="208" t="s">
        <v>88</v>
      </c>
      <c r="E51" s="137"/>
      <c r="F51" s="129"/>
      <c r="G51" s="141" t="s">
        <v>87</v>
      </c>
      <c r="H51" s="128"/>
      <c r="I51" s="193"/>
      <c r="J51" s="208" t="s">
        <v>88</v>
      </c>
      <c r="K51" s="137"/>
    </row>
    <row r="52" spans="1:11" ht="20.100000000000001" customHeight="1" thickTop="1" thickBot="1" x14ac:dyDescent="0.25">
      <c r="A52" s="68" t="s">
        <v>101</v>
      </c>
      <c r="B52" s="189">
        <f>MAX(C48:E51)</f>
        <v>45508</v>
      </c>
      <c r="C52" s="209"/>
      <c r="D52" s="209"/>
      <c r="E52" s="209"/>
      <c r="F52" s="144"/>
      <c r="G52" s="68" t="s">
        <v>101</v>
      </c>
      <c r="H52" s="189">
        <f>MAX(I48:K51)</f>
        <v>45648</v>
      </c>
      <c r="I52" s="209"/>
      <c r="J52" s="209"/>
      <c r="K52" s="209"/>
    </row>
    <row r="53" spans="1:11" ht="20.100000000000001" customHeight="1" thickTop="1" thickBot="1" x14ac:dyDescent="0.25">
      <c r="A53" s="138" t="s">
        <v>84</v>
      </c>
      <c r="B53" s="129" t="s">
        <v>85</v>
      </c>
      <c r="C53" s="61"/>
      <c r="D53" s="200"/>
      <c r="E53" s="206"/>
      <c r="F53" s="145"/>
      <c r="G53" s="138" t="s">
        <v>84</v>
      </c>
      <c r="H53" s="129" t="s">
        <v>85</v>
      </c>
      <c r="I53" s="61"/>
      <c r="J53" s="200"/>
      <c r="K53" s="206"/>
    </row>
    <row r="54" spans="1:11" ht="20.100000000000001" customHeight="1" thickTop="1" thickBot="1" x14ac:dyDescent="0.25">
      <c r="A54" s="139" t="s">
        <v>95</v>
      </c>
      <c r="B54" s="128" t="s">
        <v>85</v>
      </c>
      <c r="C54" s="64">
        <f>E49+6</f>
        <v>45514</v>
      </c>
      <c r="D54" s="207" t="s">
        <v>88</v>
      </c>
      <c r="E54" s="64">
        <f>C54+1</f>
        <v>45515</v>
      </c>
      <c r="F54" s="129"/>
      <c r="G54" s="139" t="s">
        <v>95</v>
      </c>
      <c r="H54" s="128" t="s">
        <v>85</v>
      </c>
      <c r="I54" s="64">
        <f>K49+6</f>
        <v>45654</v>
      </c>
      <c r="J54" s="207" t="s">
        <v>88</v>
      </c>
      <c r="K54" s="64">
        <f>I54+1</f>
        <v>45655</v>
      </c>
    </row>
    <row r="55" spans="1:11" ht="20.100000000000001" customHeight="1" thickTop="1" thickBot="1" x14ac:dyDescent="0.25">
      <c r="A55" s="140" t="s">
        <v>96</v>
      </c>
      <c r="B55" s="128" t="s">
        <v>85</v>
      </c>
      <c r="C55" s="107"/>
      <c r="D55" s="207" t="s">
        <v>88</v>
      </c>
      <c r="E55" s="107"/>
      <c r="F55" s="146"/>
      <c r="G55" s="140" t="s">
        <v>96</v>
      </c>
      <c r="H55" s="128" t="s">
        <v>85</v>
      </c>
      <c r="I55" s="107"/>
      <c r="J55" s="207" t="s">
        <v>88</v>
      </c>
      <c r="K55" s="107"/>
    </row>
    <row r="56" spans="1:11" ht="20.100000000000001" customHeight="1" thickTop="1" thickBot="1" x14ac:dyDescent="0.25">
      <c r="A56" s="141" t="s">
        <v>87</v>
      </c>
      <c r="B56" s="128"/>
      <c r="C56" s="193"/>
      <c r="D56" s="208" t="s">
        <v>88</v>
      </c>
      <c r="E56" s="137"/>
      <c r="F56" s="129"/>
      <c r="G56" s="141" t="s">
        <v>87</v>
      </c>
      <c r="H56" s="128"/>
      <c r="I56" s="193"/>
      <c r="J56" s="208" t="s">
        <v>88</v>
      </c>
      <c r="K56" s="137"/>
    </row>
    <row r="57" spans="1:11" ht="20.100000000000001" customHeight="1" thickTop="1" thickBot="1" x14ac:dyDescent="0.25">
      <c r="A57" s="68" t="s">
        <v>102</v>
      </c>
      <c r="B57" s="189">
        <f>MAX(C53:E56)</f>
        <v>45515</v>
      </c>
      <c r="C57" s="209"/>
      <c r="D57" s="209"/>
      <c r="E57" s="209"/>
      <c r="F57" s="144"/>
      <c r="G57" s="68" t="s">
        <v>102</v>
      </c>
      <c r="H57" s="189">
        <f>MAX(I53:K56)</f>
        <v>45655</v>
      </c>
      <c r="I57" s="209"/>
      <c r="J57" s="209"/>
      <c r="K57" s="209"/>
    </row>
    <row r="58" spans="1:11" ht="20.100000000000001" customHeight="1" thickTop="1" thickBot="1" x14ac:dyDescent="0.25">
      <c r="A58" s="138" t="s">
        <v>84</v>
      </c>
      <c r="B58" s="129" t="s">
        <v>85</v>
      </c>
      <c r="C58" s="61"/>
      <c r="D58" s="200"/>
      <c r="E58" s="206"/>
      <c r="F58" s="145"/>
      <c r="G58" s="138" t="s">
        <v>84</v>
      </c>
      <c r="H58" s="129" t="s">
        <v>85</v>
      </c>
      <c r="I58" s="61"/>
      <c r="J58" s="200"/>
      <c r="K58" s="206"/>
    </row>
    <row r="59" spans="1:11" ht="20.100000000000001" customHeight="1" thickTop="1" thickBot="1" x14ac:dyDescent="0.25">
      <c r="A59" s="139" t="s">
        <v>95</v>
      </c>
      <c r="B59" s="128" t="s">
        <v>85</v>
      </c>
      <c r="C59" s="64">
        <f>E54+6</f>
        <v>45521</v>
      </c>
      <c r="D59" s="207" t="s">
        <v>88</v>
      </c>
      <c r="E59" s="64">
        <f>C59+1</f>
        <v>45522</v>
      </c>
      <c r="F59" s="129"/>
      <c r="G59" s="139" t="s">
        <v>95</v>
      </c>
      <c r="H59" s="128" t="s">
        <v>85</v>
      </c>
      <c r="I59" s="64">
        <f>K54+6</f>
        <v>45661</v>
      </c>
      <c r="J59" s="207" t="s">
        <v>88</v>
      </c>
      <c r="K59" s="64">
        <f>I59+1</f>
        <v>45662</v>
      </c>
    </row>
    <row r="60" spans="1:11" ht="20.100000000000001" customHeight="1" thickTop="1" thickBot="1" x14ac:dyDescent="0.25">
      <c r="A60" s="140" t="s">
        <v>96</v>
      </c>
      <c r="B60" s="128" t="s">
        <v>85</v>
      </c>
      <c r="C60" s="107"/>
      <c r="D60" s="207" t="s">
        <v>88</v>
      </c>
      <c r="E60" s="107"/>
      <c r="F60" s="146"/>
      <c r="G60" s="140" t="s">
        <v>96</v>
      </c>
      <c r="H60" s="128" t="s">
        <v>85</v>
      </c>
      <c r="I60" s="107"/>
      <c r="J60" s="207" t="s">
        <v>88</v>
      </c>
      <c r="K60" s="107"/>
    </row>
    <row r="61" spans="1:11" ht="20.100000000000001" customHeight="1" thickTop="1" thickBot="1" x14ac:dyDescent="0.25">
      <c r="A61" s="141" t="s">
        <v>87</v>
      </c>
      <c r="B61" s="128"/>
      <c r="C61" s="193"/>
      <c r="D61" s="208" t="s">
        <v>88</v>
      </c>
      <c r="E61" s="137"/>
      <c r="F61" s="129"/>
      <c r="G61" s="141" t="s">
        <v>87</v>
      </c>
      <c r="H61" s="128"/>
      <c r="I61" s="193"/>
      <c r="J61" s="208" t="s">
        <v>88</v>
      </c>
      <c r="K61" s="137"/>
    </row>
    <row r="62" spans="1:11" ht="20.100000000000001" customHeight="1" thickTop="1" thickBot="1" x14ac:dyDescent="0.25">
      <c r="A62" s="68" t="s">
        <v>103</v>
      </c>
      <c r="B62" s="189">
        <f>MAX(C58:E61)</f>
        <v>45522</v>
      </c>
      <c r="C62" s="209"/>
      <c r="D62" s="209"/>
      <c r="E62" s="209"/>
      <c r="F62" s="144"/>
      <c r="G62" s="68" t="s">
        <v>103</v>
      </c>
      <c r="H62" s="189">
        <f>MAX(I58:K61)</f>
        <v>45662</v>
      </c>
      <c r="I62" s="209"/>
      <c r="J62" s="209"/>
      <c r="K62" s="209"/>
    </row>
    <row r="63" spans="1:11" ht="20.100000000000001" customHeight="1" thickTop="1" thickBot="1" x14ac:dyDescent="0.25">
      <c r="A63" s="138" t="s">
        <v>84</v>
      </c>
      <c r="B63" s="129" t="s">
        <v>85</v>
      </c>
      <c r="C63" s="61"/>
      <c r="D63" s="200"/>
      <c r="E63" s="206"/>
      <c r="F63" s="145"/>
      <c r="G63" s="138" t="s">
        <v>84</v>
      </c>
      <c r="H63" s="129" t="s">
        <v>85</v>
      </c>
      <c r="I63" s="61"/>
      <c r="J63" s="200"/>
      <c r="K63" s="206"/>
    </row>
    <row r="64" spans="1:11" ht="20.100000000000001" customHeight="1" thickTop="1" thickBot="1" x14ac:dyDescent="0.25">
      <c r="A64" s="139" t="s">
        <v>95</v>
      </c>
      <c r="B64" s="128" t="s">
        <v>85</v>
      </c>
      <c r="C64" s="64">
        <f>E59+6</f>
        <v>45528</v>
      </c>
      <c r="D64" s="207" t="s">
        <v>88</v>
      </c>
      <c r="E64" s="64">
        <f>C64+1</f>
        <v>45529</v>
      </c>
      <c r="F64" s="129"/>
      <c r="G64" s="139" t="s">
        <v>95</v>
      </c>
      <c r="H64" s="128" t="s">
        <v>85</v>
      </c>
      <c r="I64" s="64">
        <f>K59+6</f>
        <v>45668</v>
      </c>
      <c r="J64" s="207" t="s">
        <v>88</v>
      </c>
      <c r="K64" s="64">
        <f>I64+1</f>
        <v>45669</v>
      </c>
    </row>
    <row r="65" spans="1:11" ht="20.100000000000001" customHeight="1" thickTop="1" thickBot="1" x14ac:dyDescent="0.25">
      <c r="A65" s="140" t="s">
        <v>96</v>
      </c>
      <c r="B65" s="128" t="s">
        <v>85</v>
      </c>
      <c r="C65" s="107"/>
      <c r="D65" s="207" t="s">
        <v>88</v>
      </c>
      <c r="E65" s="107"/>
      <c r="F65" s="146"/>
      <c r="G65" s="140" t="s">
        <v>96</v>
      </c>
      <c r="H65" s="128" t="s">
        <v>85</v>
      </c>
      <c r="I65" s="107"/>
      <c r="J65" s="207" t="s">
        <v>88</v>
      </c>
      <c r="K65" s="107"/>
    </row>
    <row r="66" spans="1:11" ht="20.100000000000001" customHeight="1" thickTop="1" thickBot="1" x14ac:dyDescent="0.25">
      <c r="A66" s="141" t="s">
        <v>87</v>
      </c>
      <c r="B66" s="128"/>
      <c r="C66" s="193"/>
      <c r="D66" s="208" t="s">
        <v>88</v>
      </c>
      <c r="E66" s="137"/>
      <c r="F66" s="129"/>
      <c r="G66" s="141" t="s">
        <v>87</v>
      </c>
      <c r="H66" s="128"/>
      <c r="I66" s="193"/>
      <c r="J66" s="208" t="s">
        <v>88</v>
      </c>
      <c r="K66" s="137"/>
    </row>
    <row r="67" spans="1:11" ht="20.100000000000001" customHeight="1" thickTop="1" thickBot="1" x14ac:dyDescent="0.25">
      <c r="A67" s="68" t="s">
        <v>104</v>
      </c>
      <c r="B67" s="189">
        <f>MAX(C63:E66)</f>
        <v>45529</v>
      </c>
      <c r="C67" s="209"/>
      <c r="D67" s="209"/>
      <c r="E67" s="209"/>
      <c r="F67" s="144"/>
      <c r="G67" s="68" t="s">
        <v>104</v>
      </c>
      <c r="H67" s="189">
        <f>MAX(I63:K66)</f>
        <v>45669</v>
      </c>
      <c r="I67" s="209"/>
      <c r="J67" s="209"/>
      <c r="K67" s="209"/>
    </row>
    <row r="68" spans="1:11" ht="20.100000000000001" customHeight="1" thickTop="1" thickBot="1" x14ac:dyDescent="0.25">
      <c r="A68" s="138" t="s">
        <v>84</v>
      </c>
      <c r="B68" s="129" t="s">
        <v>85</v>
      </c>
      <c r="C68" s="61"/>
      <c r="D68" s="200"/>
      <c r="E68" s="206"/>
      <c r="F68" s="145"/>
      <c r="G68" s="138" t="s">
        <v>84</v>
      </c>
      <c r="H68" s="129" t="s">
        <v>85</v>
      </c>
      <c r="I68" s="61"/>
      <c r="J68" s="200"/>
      <c r="K68" s="206"/>
    </row>
    <row r="69" spans="1:11" ht="20.100000000000001" customHeight="1" thickTop="1" thickBot="1" x14ac:dyDescent="0.25">
      <c r="A69" s="139" t="s">
        <v>95</v>
      </c>
      <c r="B69" s="128" t="s">
        <v>85</v>
      </c>
      <c r="C69" s="64">
        <v>45535</v>
      </c>
      <c r="D69" s="207" t="s">
        <v>88</v>
      </c>
      <c r="E69" s="64">
        <v>45536</v>
      </c>
      <c r="F69" s="129"/>
      <c r="G69" s="139" t="s">
        <v>95</v>
      </c>
      <c r="H69" s="128" t="s">
        <v>85</v>
      </c>
      <c r="I69" s="64">
        <f>K64+6</f>
        <v>45675</v>
      </c>
      <c r="J69" s="207" t="s">
        <v>88</v>
      </c>
      <c r="K69" s="64">
        <f>I69+1</f>
        <v>45676</v>
      </c>
    </row>
    <row r="70" spans="1:11" ht="20.100000000000001" customHeight="1" thickTop="1" thickBot="1" x14ac:dyDescent="0.25">
      <c r="A70" s="140" t="s">
        <v>96</v>
      </c>
      <c r="B70" s="128" t="s">
        <v>85</v>
      </c>
      <c r="C70" s="107"/>
      <c r="D70" s="207" t="s">
        <v>88</v>
      </c>
      <c r="E70" s="107"/>
      <c r="F70" s="146"/>
      <c r="G70" s="140" t="s">
        <v>96</v>
      </c>
      <c r="H70" s="128" t="s">
        <v>85</v>
      </c>
      <c r="I70" s="107"/>
      <c r="J70" s="207" t="s">
        <v>88</v>
      </c>
      <c r="K70" s="107"/>
    </row>
    <row r="71" spans="1:11" ht="20.100000000000001" customHeight="1" thickTop="1" thickBot="1" x14ac:dyDescent="0.25">
      <c r="A71" s="141" t="s">
        <v>87</v>
      </c>
      <c r="B71" s="128"/>
      <c r="C71" s="193"/>
      <c r="D71" s="208" t="s">
        <v>88</v>
      </c>
      <c r="E71" s="137"/>
      <c r="F71" s="129"/>
      <c r="G71" s="141" t="s">
        <v>87</v>
      </c>
      <c r="H71" s="128"/>
      <c r="I71" s="193"/>
      <c r="J71" s="208" t="s">
        <v>88</v>
      </c>
      <c r="K71" s="137"/>
    </row>
    <row r="72" spans="1:11" ht="20.100000000000001" customHeight="1" thickTop="1" thickBot="1" x14ac:dyDescent="0.25">
      <c r="A72" s="68" t="s">
        <v>105</v>
      </c>
      <c r="B72" s="189">
        <f>MAX(C68:E71)</f>
        <v>45536</v>
      </c>
      <c r="C72" s="209"/>
      <c r="D72" s="209"/>
      <c r="E72" s="209"/>
      <c r="F72" s="144"/>
      <c r="G72" s="68" t="s">
        <v>105</v>
      </c>
      <c r="H72" s="189">
        <f>MAX(I68:K71)</f>
        <v>45676</v>
      </c>
      <c r="I72" s="209"/>
      <c r="J72" s="209"/>
      <c r="K72" s="209"/>
    </row>
    <row r="73" spans="1:11" ht="20.100000000000001" customHeight="1" thickTop="1" thickBot="1" x14ac:dyDescent="0.25">
      <c r="A73" s="138" t="s">
        <v>84</v>
      </c>
      <c r="B73" s="129" t="s">
        <v>85</v>
      </c>
      <c r="C73" s="61"/>
      <c r="D73" s="200"/>
      <c r="E73" s="206"/>
      <c r="F73" s="145"/>
      <c r="G73" s="138" t="s">
        <v>84</v>
      </c>
      <c r="H73" s="129" t="s">
        <v>85</v>
      </c>
      <c r="I73" s="61"/>
      <c r="J73" s="200"/>
      <c r="K73" s="206"/>
    </row>
    <row r="74" spans="1:11" ht="20.100000000000001" customHeight="1" thickTop="1" thickBot="1" x14ac:dyDescent="0.25">
      <c r="A74" s="139" t="s">
        <v>95</v>
      </c>
      <c r="B74" s="128" t="s">
        <v>85</v>
      </c>
      <c r="C74" s="64">
        <f>E69+6</f>
        <v>45542</v>
      </c>
      <c r="D74" s="207" t="s">
        <v>88</v>
      </c>
      <c r="E74" s="64">
        <f>C74+1</f>
        <v>45543</v>
      </c>
      <c r="F74" s="129"/>
      <c r="G74" s="139" t="s">
        <v>95</v>
      </c>
      <c r="H74" s="128" t="s">
        <v>85</v>
      </c>
      <c r="I74" s="64">
        <f>K69+6</f>
        <v>45682</v>
      </c>
      <c r="J74" s="207" t="s">
        <v>88</v>
      </c>
      <c r="K74" s="64">
        <f>I74+1</f>
        <v>45683</v>
      </c>
    </row>
    <row r="75" spans="1:11" ht="20.100000000000001" customHeight="1" thickTop="1" thickBot="1" x14ac:dyDescent="0.25">
      <c r="A75" s="140" t="s">
        <v>96</v>
      </c>
      <c r="B75" s="128" t="s">
        <v>85</v>
      </c>
      <c r="C75" s="107"/>
      <c r="D75" s="207" t="s">
        <v>88</v>
      </c>
      <c r="E75" s="107"/>
      <c r="F75" s="146"/>
      <c r="G75" s="140" t="s">
        <v>96</v>
      </c>
      <c r="H75" s="128" t="s">
        <v>85</v>
      </c>
      <c r="I75" s="107"/>
      <c r="J75" s="207" t="s">
        <v>88</v>
      </c>
      <c r="K75" s="107"/>
    </row>
    <row r="76" spans="1:11" ht="20.100000000000001" customHeight="1" thickTop="1" thickBot="1" x14ac:dyDescent="0.25">
      <c r="A76" s="141" t="s">
        <v>87</v>
      </c>
      <c r="B76" s="128"/>
      <c r="C76" s="193"/>
      <c r="D76" s="208" t="s">
        <v>88</v>
      </c>
      <c r="E76" s="137"/>
      <c r="F76" s="129"/>
      <c r="G76" s="141" t="s">
        <v>87</v>
      </c>
      <c r="H76" s="128"/>
      <c r="I76" s="193"/>
      <c r="J76" s="208" t="s">
        <v>88</v>
      </c>
      <c r="K76" s="137"/>
    </row>
    <row r="77" spans="1:11" ht="20.100000000000001" customHeight="1" thickTop="1" thickBot="1" x14ac:dyDescent="0.25">
      <c r="A77" s="68" t="s">
        <v>106</v>
      </c>
      <c r="B77" s="189">
        <f>MAX(C73:E76)</f>
        <v>45543</v>
      </c>
      <c r="C77" s="209"/>
      <c r="D77" s="209"/>
      <c r="E77" s="209"/>
      <c r="F77" s="144"/>
      <c r="G77" s="68" t="s">
        <v>106</v>
      </c>
      <c r="H77" s="189">
        <f>MAX(I73:K76)</f>
        <v>45683</v>
      </c>
      <c r="I77" s="209"/>
      <c r="J77" s="209"/>
      <c r="K77" s="209"/>
    </row>
    <row r="78" spans="1:11" ht="20.100000000000001" customHeight="1" thickTop="1" thickBot="1" x14ac:dyDescent="0.25">
      <c r="A78" s="138" t="s">
        <v>84</v>
      </c>
      <c r="B78" s="129" t="s">
        <v>85</v>
      </c>
      <c r="C78" s="61"/>
      <c r="D78" s="200"/>
      <c r="E78" s="206"/>
      <c r="F78" s="145"/>
      <c r="G78" s="138" t="s">
        <v>84</v>
      </c>
      <c r="H78" s="129" t="s">
        <v>85</v>
      </c>
      <c r="I78" s="61"/>
      <c r="J78" s="200"/>
      <c r="K78" s="206"/>
    </row>
    <row r="79" spans="1:11" ht="20.100000000000001" customHeight="1" thickTop="1" thickBot="1" x14ac:dyDescent="0.25">
      <c r="A79" s="139" t="s">
        <v>95</v>
      </c>
      <c r="B79" s="128" t="s">
        <v>85</v>
      </c>
      <c r="C79" s="64">
        <f>E74+6</f>
        <v>45549</v>
      </c>
      <c r="D79" s="207" t="s">
        <v>88</v>
      </c>
      <c r="E79" s="64">
        <f>C79+1</f>
        <v>45550</v>
      </c>
      <c r="F79" s="129"/>
      <c r="G79" s="139" t="s">
        <v>95</v>
      </c>
      <c r="H79" s="128" t="s">
        <v>85</v>
      </c>
      <c r="I79" s="64">
        <f>K74+6</f>
        <v>45689</v>
      </c>
      <c r="J79" s="207" t="s">
        <v>88</v>
      </c>
      <c r="K79" s="64">
        <f>I79+1</f>
        <v>45690</v>
      </c>
    </row>
    <row r="80" spans="1:11" ht="20.100000000000001" customHeight="1" thickTop="1" thickBot="1" x14ac:dyDescent="0.25">
      <c r="A80" s="140" t="s">
        <v>96</v>
      </c>
      <c r="B80" s="128" t="s">
        <v>85</v>
      </c>
      <c r="C80" s="107"/>
      <c r="D80" s="207" t="s">
        <v>88</v>
      </c>
      <c r="E80" s="107"/>
      <c r="F80" s="146"/>
      <c r="G80" s="140" t="s">
        <v>96</v>
      </c>
      <c r="H80" s="128" t="s">
        <v>85</v>
      </c>
      <c r="I80" s="107"/>
      <c r="J80" s="207" t="s">
        <v>88</v>
      </c>
      <c r="K80" s="107"/>
    </row>
    <row r="81" spans="1:11" ht="20.100000000000001" customHeight="1" thickTop="1" thickBot="1" x14ac:dyDescent="0.25">
      <c r="A81" s="141" t="s">
        <v>87</v>
      </c>
      <c r="B81" s="128"/>
      <c r="C81" s="193"/>
      <c r="D81" s="208" t="s">
        <v>88</v>
      </c>
      <c r="E81" s="137"/>
      <c r="F81" s="129"/>
      <c r="G81" s="141" t="s">
        <v>87</v>
      </c>
      <c r="H81" s="128"/>
      <c r="I81" s="193"/>
      <c r="J81" s="208" t="s">
        <v>88</v>
      </c>
      <c r="K81" s="137"/>
    </row>
    <row r="82" spans="1:11" ht="20.100000000000001" customHeight="1" thickTop="1" thickBot="1" x14ac:dyDescent="0.25">
      <c r="A82" s="68" t="s">
        <v>107</v>
      </c>
      <c r="B82" s="189">
        <f>MAX(C78:E81)</f>
        <v>45550</v>
      </c>
      <c r="C82" s="209"/>
      <c r="D82" s="209"/>
      <c r="E82" s="209"/>
      <c r="F82" s="144"/>
      <c r="G82" s="68" t="s">
        <v>107</v>
      </c>
      <c r="H82" s="189">
        <f>MAX(I78:K81)</f>
        <v>45690</v>
      </c>
      <c r="I82" s="209"/>
      <c r="J82" s="209"/>
      <c r="K82" s="209"/>
    </row>
    <row r="83" spans="1:11" ht="20.100000000000001" customHeight="1" thickTop="1" thickBot="1" x14ac:dyDescent="0.25">
      <c r="A83" s="138" t="s">
        <v>84</v>
      </c>
      <c r="B83" s="129" t="s">
        <v>85</v>
      </c>
      <c r="C83" s="61"/>
      <c r="D83" s="200"/>
      <c r="E83" s="206"/>
      <c r="F83" s="145"/>
      <c r="G83" s="138" t="s">
        <v>84</v>
      </c>
      <c r="H83" s="129" t="s">
        <v>85</v>
      </c>
      <c r="I83" s="61"/>
      <c r="J83" s="200"/>
      <c r="K83" s="206"/>
    </row>
    <row r="84" spans="1:11" ht="20.100000000000001" customHeight="1" thickTop="1" thickBot="1" x14ac:dyDescent="0.25">
      <c r="A84" s="139" t="s">
        <v>95</v>
      </c>
      <c r="B84" s="128" t="s">
        <v>85</v>
      </c>
      <c r="C84" s="64">
        <v>45556</v>
      </c>
      <c r="D84" s="207" t="s">
        <v>88</v>
      </c>
      <c r="E84" s="64">
        <v>45557</v>
      </c>
      <c r="F84" s="129"/>
      <c r="G84" s="139" t="s">
        <v>95</v>
      </c>
      <c r="H84" s="128" t="s">
        <v>85</v>
      </c>
      <c r="I84" s="64">
        <f>K79+6</f>
        <v>45696</v>
      </c>
      <c r="J84" s="207" t="s">
        <v>88</v>
      </c>
      <c r="K84" s="64">
        <f>I84+1</f>
        <v>45697</v>
      </c>
    </row>
    <row r="85" spans="1:11" ht="20.100000000000001" customHeight="1" thickTop="1" thickBot="1" x14ac:dyDescent="0.25">
      <c r="A85" s="140" t="s">
        <v>96</v>
      </c>
      <c r="B85" s="128" t="s">
        <v>85</v>
      </c>
      <c r="C85" s="107"/>
      <c r="D85" s="207" t="s">
        <v>88</v>
      </c>
      <c r="E85" s="107"/>
      <c r="F85" s="146"/>
      <c r="G85" s="140" t="s">
        <v>96</v>
      </c>
      <c r="H85" s="128" t="s">
        <v>85</v>
      </c>
      <c r="I85" s="107"/>
      <c r="J85" s="207" t="s">
        <v>88</v>
      </c>
      <c r="K85" s="107"/>
    </row>
    <row r="86" spans="1:11" ht="20.100000000000001" customHeight="1" thickTop="1" thickBot="1" x14ac:dyDescent="0.25">
      <c r="A86" s="141" t="s">
        <v>87</v>
      </c>
      <c r="B86" s="128"/>
      <c r="C86" s="193"/>
      <c r="D86" s="208" t="s">
        <v>88</v>
      </c>
      <c r="E86" s="137"/>
      <c r="F86" s="129"/>
      <c r="G86" s="141" t="s">
        <v>87</v>
      </c>
      <c r="H86" s="128"/>
      <c r="I86" s="193"/>
      <c r="J86" s="208" t="s">
        <v>88</v>
      </c>
      <c r="K86" s="137"/>
    </row>
    <row r="87" spans="1:11" ht="20.100000000000001" customHeight="1" thickTop="1" thickBot="1" x14ac:dyDescent="0.25">
      <c r="A87" s="68" t="s">
        <v>108</v>
      </c>
      <c r="B87" s="189">
        <f>MAX(C83:E86)</f>
        <v>45557</v>
      </c>
      <c r="C87" s="209"/>
      <c r="D87" s="209"/>
      <c r="E87" s="209"/>
      <c r="F87" s="144"/>
      <c r="G87" s="68" t="s">
        <v>108</v>
      </c>
      <c r="H87" s="189">
        <f>MAX(I83:K86)</f>
        <v>45697</v>
      </c>
      <c r="I87" s="209"/>
      <c r="J87" s="209"/>
      <c r="K87" s="209"/>
    </row>
    <row r="88" spans="1:11" ht="20.100000000000001" customHeight="1" thickTop="1" thickBot="1" x14ac:dyDescent="0.25">
      <c r="A88" s="138" t="s">
        <v>84</v>
      </c>
      <c r="B88" s="129" t="s">
        <v>85</v>
      </c>
      <c r="C88" s="61"/>
      <c r="D88" s="200"/>
      <c r="E88" s="206"/>
      <c r="F88" s="145"/>
      <c r="G88" s="138" t="s">
        <v>84</v>
      </c>
      <c r="H88" s="129" t="s">
        <v>85</v>
      </c>
      <c r="I88" s="61"/>
      <c r="J88" s="200"/>
      <c r="K88" s="206"/>
    </row>
    <row r="89" spans="1:11" ht="20.100000000000001" customHeight="1" thickTop="1" thickBot="1" x14ac:dyDescent="0.25">
      <c r="A89" s="139" t="s">
        <v>95</v>
      </c>
      <c r="B89" s="128" t="s">
        <v>85</v>
      </c>
      <c r="C89" s="64">
        <f>E84+6</f>
        <v>45563</v>
      </c>
      <c r="D89" s="207" t="s">
        <v>88</v>
      </c>
      <c r="E89" s="64">
        <f>C89+1</f>
        <v>45564</v>
      </c>
      <c r="F89" s="129"/>
      <c r="G89" s="139" t="s">
        <v>95</v>
      </c>
      <c r="H89" s="128" t="s">
        <v>85</v>
      </c>
      <c r="I89" s="64">
        <f>K84+6</f>
        <v>45703</v>
      </c>
      <c r="J89" s="207" t="s">
        <v>88</v>
      </c>
      <c r="K89" s="64">
        <f>I89+1</f>
        <v>45704</v>
      </c>
    </row>
    <row r="90" spans="1:11" ht="20.100000000000001" customHeight="1" thickTop="1" thickBot="1" x14ac:dyDescent="0.25">
      <c r="A90" s="140" t="s">
        <v>96</v>
      </c>
      <c r="B90" s="128" t="s">
        <v>85</v>
      </c>
      <c r="C90" s="107"/>
      <c r="D90" s="207" t="s">
        <v>88</v>
      </c>
      <c r="E90" s="107"/>
      <c r="F90" s="146"/>
      <c r="G90" s="140" t="s">
        <v>96</v>
      </c>
      <c r="H90" s="128" t="s">
        <v>85</v>
      </c>
      <c r="I90" s="107"/>
      <c r="J90" s="207" t="s">
        <v>88</v>
      </c>
      <c r="K90" s="107"/>
    </row>
    <row r="91" spans="1:11" ht="20.100000000000001" customHeight="1" thickTop="1" thickBot="1" x14ac:dyDescent="0.25">
      <c r="A91" s="141" t="s">
        <v>87</v>
      </c>
      <c r="B91" s="128"/>
      <c r="C91" s="193"/>
      <c r="D91" s="208" t="s">
        <v>88</v>
      </c>
      <c r="E91" s="137"/>
      <c r="F91" s="129"/>
      <c r="G91" s="141" t="s">
        <v>87</v>
      </c>
      <c r="H91" s="128"/>
      <c r="I91" s="193"/>
      <c r="J91" s="208" t="s">
        <v>88</v>
      </c>
      <c r="K91" s="137"/>
    </row>
    <row r="92" spans="1:11" ht="20.100000000000001" customHeight="1" thickTop="1" thickBot="1" x14ac:dyDescent="0.25">
      <c r="A92" s="68" t="s">
        <v>109</v>
      </c>
      <c r="B92" s="189">
        <f>MAX(C88:E91)</f>
        <v>45564</v>
      </c>
      <c r="C92" s="209"/>
      <c r="D92" s="209"/>
      <c r="E92" s="209"/>
      <c r="F92" s="144"/>
      <c r="G92" s="68" t="s">
        <v>109</v>
      </c>
      <c r="H92" s="189">
        <f>MAX(I88:K91)</f>
        <v>45704</v>
      </c>
      <c r="I92" s="209"/>
      <c r="J92" s="209"/>
      <c r="K92" s="209"/>
    </row>
    <row r="93" spans="1:11" ht="20.100000000000001" customHeight="1" thickTop="1" thickBot="1" x14ac:dyDescent="0.25">
      <c r="A93" s="138" t="s">
        <v>84</v>
      </c>
      <c r="B93" s="129" t="s">
        <v>85</v>
      </c>
      <c r="C93" s="61"/>
      <c r="D93" s="200"/>
      <c r="E93" s="206"/>
      <c r="F93" s="145"/>
      <c r="G93" s="138" t="s">
        <v>84</v>
      </c>
      <c r="H93" s="129" t="s">
        <v>85</v>
      </c>
      <c r="I93" s="61"/>
      <c r="J93" s="200"/>
      <c r="K93" s="206"/>
    </row>
    <row r="94" spans="1:11" ht="20.100000000000001" customHeight="1" thickTop="1" thickBot="1" x14ac:dyDescent="0.25">
      <c r="A94" s="139" t="s">
        <v>95</v>
      </c>
      <c r="B94" s="128" t="s">
        <v>85</v>
      </c>
      <c r="C94" s="64">
        <f>E89+6</f>
        <v>45570</v>
      </c>
      <c r="D94" s="207" t="s">
        <v>88</v>
      </c>
      <c r="E94" s="64">
        <f>C94+1</f>
        <v>45571</v>
      </c>
      <c r="F94" s="129"/>
      <c r="G94" s="139" t="s">
        <v>95</v>
      </c>
      <c r="H94" s="128" t="s">
        <v>85</v>
      </c>
      <c r="I94" s="64">
        <f>K89+6</f>
        <v>45710</v>
      </c>
      <c r="J94" s="207" t="s">
        <v>88</v>
      </c>
      <c r="K94" s="64">
        <f>I94+1</f>
        <v>45711</v>
      </c>
    </row>
    <row r="95" spans="1:11" ht="20.100000000000001" customHeight="1" thickTop="1" thickBot="1" x14ac:dyDescent="0.25">
      <c r="A95" s="140" t="s">
        <v>96</v>
      </c>
      <c r="B95" s="128" t="s">
        <v>85</v>
      </c>
      <c r="C95" s="107"/>
      <c r="D95" s="207" t="s">
        <v>88</v>
      </c>
      <c r="E95" s="107"/>
      <c r="F95" s="146"/>
      <c r="G95" s="140" t="s">
        <v>96</v>
      </c>
      <c r="H95" s="128" t="s">
        <v>85</v>
      </c>
      <c r="I95" s="107"/>
      <c r="J95" s="207" t="s">
        <v>88</v>
      </c>
      <c r="K95" s="107"/>
    </row>
    <row r="96" spans="1:11" ht="20.100000000000001" customHeight="1" thickTop="1" thickBot="1" x14ac:dyDescent="0.25">
      <c r="A96" s="141" t="s">
        <v>87</v>
      </c>
      <c r="B96" s="128"/>
      <c r="C96" s="193"/>
      <c r="D96" s="208" t="s">
        <v>88</v>
      </c>
      <c r="E96" s="137"/>
      <c r="F96" s="129"/>
      <c r="G96" s="141" t="s">
        <v>87</v>
      </c>
      <c r="H96" s="128"/>
      <c r="I96" s="193"/>
      <c r="J96" s="208" t="s">
        <v>88</v>
      </c>
      <c r="K96" s="137"/>
    </row>
    <row r="97" spans="1:11" ht="20.100000000000001" customHeight="1" thickTop="1" thickBot="1" x14ac:dyDescent="0.25">
      <c r="A97" s="68" t="s">
        <v>110</v>
      </c>
      <c r="B97" s="189">
        <f>MAX(C93:E96)</f>
        <v>45571</v>
      </c>
      <c r="C97" s="209"/>
      <c r="D97" s="209"/>
      <c r="E97" s="209"/>
      <c r="F97" s="144"/>
      <c r="G97" s="68" t="s">
        <v>110</v>
      </c>
      <c r="H97" s="189">
        <f>MAX(I93:K96)</f>
        <v>45711</v>
      </c>
      <c r="I97" s="209"/>
      <c r="J97" s="209"/>
      <c r="K97" s="209"/>
    </row>
    <row r="98" spans="1:11" ht="20.100000000000001" customHeight="1" thickTop="1" thickBot="1" x14ac:dyDescent="0.25">
      <c r="A98" s="138" t="s">
        <v>84</v>
      </c>
      <c r="B98" s="129" t="s">
        <v>85</v>
      </c>
      <c r="C98" s="61"/>
      <c r="D98" s="200"/>
      <c r="E98" s="206"/>
      <c r="F98" s="145"/>
      <c r="G98" s="138" t="s">
        <v>84</v>
      </c>
      <c r="H98" s="129" t="s">
        <v>85</v>
      </c>
      <c r="I98" s="61"/>
      <c r="J98" s="200"/>
      <c r="K98" s="206"/>
    </row>
    <row r="99" spans="1:11" ht="20.100000000000001" customHeight="1" thickTop="1" thickBot="1" x14ac:dyDescent="0.25">
      <c r="A99" s="139" t="s">
        <v>95</v>
      </c>
      <c r="B99" s="128" t="s">
        <v>85</v>
      </c>
      <c r="C99" s="64">
        <f>E94+6</f>
        <v>45577</v>
      </c>
      <c r="D99" s="207" t="s">
        <v>88</v>
      </c>
      <c r="E99" s="64">
        <f>C99+1</f>
        <v>45578</v>
      </c>
      <c r="F99" s="129"/>
      <c r="G99" s="139" t="s">
        <v>95</v>
      </c>
      <c r="H99" s="128" t="s">
        <v>85</v>
      </c>
      <c r="I99" s="64">
        <f>K94+6</f>
        <v>45717</v>
      </c>
      <c r="J99" s="207" t="s">
        <v>88</v>
      </c>
      <c r="K99" s="64">
        <f>I99+1</f>
        <v>45718</v>
      </c>
    </row>
    <row r="100" spans="1:11" ht="20.100000000000001" customHeight="1" thickTop="1" thickBot="1" x14ac:dyDescent="0.25">
      <c r="A100" s="140" t="s">
        <v>96</v>
      </c>
      <c r="B100" s="128" t="s">
        <v>85</v>
      </c>
      <c r="C100" s="107"/>
      <c r="D100" s="207" t="s">
        <v>88</v>
      </c>
      <c r="E100" s="107"/>
      <c r="F100" s="146"/>
      <c r="G100" s="140" t="s">
        <v>96</v>
      </c>
      <c r="H100" s="128" t="s">
        <v>85</v>
      </c>
      <c r="I100" s="107"/>
      <c r="J100" s="207" t="s">
        <v>88</v>
      </c>
      <c r="K100" s="107"/>
    </row>
    <row r="101" spans="1:11" ht="20.100000000000001" customHeight="1" thickTop="1" thickBot="1" x14ac:dyDescent="0.25">
      <c r="A101" s="141" t="s">
        <v>87</v>
      </c>
      <c r="B101" s="128"/>
      <c r="C101" s="193"/>
      <c r="D101" s="208" t="s">
        <v>88</v>
      </c>
      <c r="E101" s="137"/>
      <c r="F101" s="129"/>
      <c r="G101" s="141" t="s">
        <v>87</v>
      </c>
      <c r="H101" s="128"/>
      <c r="I101" s="193"/>
      <c r="J101" s="208" t="s">
        <v>88</v>
      </c>
      <c r="K101" s="137"/>
    </row>
    <row r="102" spans="1:11" ht="20.100000000000001" customHeight="1" thickTop="1" thickBot="1" x14ac:dyDescent="0.25">
      <c r="A102" s="68" t="s">
        <v>111</v>
      </c>
      <c r="B102" s="189">
        <f>MAX(C98:E101)</f>
        <v>45578</v>
      </c>
      <c r="C102" s="209"/>
      <c r="D102" s="209"/>
      <c r="E102" s="209"/>
      <c r="F102" s="144"/>
      <c r="G102" s="68" t="s">
        <v>111</v>
      </c>
      <c r="H102" s="189">
        <f>MAX(I98:K101)</f>
        <v>45718</v>
      </c>
      <c r="I102" s="209"/>
      <c r="J102" s="209"/>
      <c r="K102" s="209"/>
    </row>
    <row r="103" spans="1:11" ht="20.100000000000001" customHeight="1" thickTop="1" thickBot="1" x14ac:dyDescent="0.25">
      <c r="A103" s="138" t="s">
        <v>84</v>
      </c>
      <c r="B103" s="129" t="s">
        <v>85</v>
      </c>
      <c r="C103" s="61"/>
      <c r="D103" s="200"/>
      <c r="E103" s="206"/>
      <c r="F103" s="145"/>
      <c r="G103" s="138" t="s">
        <v>84</v>
      </c>
      <c r="H103" s="129" t="s">
        <v>85</v>
      </c>
      <c r="I103" s="61"/>
      <c r="J103" s="200"/>
      <c r="K103" s="206"/>
    </row>
    <row r="104" spans="1:11" ht="20.100000000000001" customHeight="1" thickTop="1" thickBot="1" x14ac:dyDescent="0.25">
      <c r="A104" s="139" t="s">
        <v>95</v>
      </c>
      <c r="B104" s="128" t="s">
        <v>85</v>
      </c>
      <c r="C104" s="64">
        <f>E99+6</f>
        <v>45584</v>
      </c>
      <c r="D104" s="207" t="s">
        <v>88</v>
      </c>
      <c r="E104" s="64">
        <f>C104+1</f>
        <v>45585</v>
      </c>
      <c r="F104" s="129"/>
      <c r="G104" s="139" t="s">
        <v>95</v>
      </c>
      <c r="H104" s="128" t="s">
        <v>85</v>
      </c>
      <c r="I104" s="64">
        <f>K99+6</f>
        <v>45724</v>
      </c>
      <c r="J104" s="207" t="s">
        <v>88</v>
      </c>
      <c r="K104" s="64">
        <f>I104+1</f>
        <v>45725</v>
      </c>
    </row>
    <row r="105" spans="1:11" ht="20.100000000000001" customHeight="1" thickTop="1" thickBot="1" x14ac:dyDescent="0.25">
      <c r="A105" s="140" t="s">
        <v>96</v>
      </c>
      <c r="B105" s="128" t="s">
        <v>85</v>
      </c>
      <c r="C105" s="107"/>
      <c r="D105" s="207" t="s">
        <v>88</v>
      </c>
      <c r="E105" s="107"/>
      <c r="F105" s="146"/>
      <c r="G105" s="140" t="s">
        <v>96</v>
      </c>
      <c r="H105" s="128" t="s">
        <v>85</v>
      </c>
      <c r="I105" s="107"/>
      <c r="J105" s="207" t="s">
        <v>88</v>
      </c>
      <c r="K105" s="107"/>
    </row>
    <row r="106" spans="1:11" ht="20.100000000000001" customHeight="1" thickTop="1" thickBot="1" x14ac:dyDescent="0.25">
      <c r="A106" s="141" t="s">
        <v>87</v>
      </c>
      <c r="B106" s="128"/>
      <c r="C106" s="193"/>
      <c r="D106" s="208" t="s">
        <v>88</v>
      </c>
      <c r="E106" s="137"/>
      <c r="F106" s="129"/>
      <c r="G106" s="141" t="s">
        <v>87</v>
      </c>
      <c r="H106" s="128"/>
      <c r="I106" s="193"/>
      <c r="J106" s="208" t="s">
        <v>88</v>
      </c>
      <c r="K106" s="137"/>
    </row>
    <row r="107" spans="1:11" ht="20.100000000000001" customHeight="1" thickTop="1" thickBot="1" x14ac:dyDescent="0.25">
      <c r="A107" s="68" t="s">
        <v>112</v>
      </c>
      <c r="B107" s="189">
        <f>MAX(C103:E106)</f>
        <v>45585</v>
      </c>
      <c r="C107" s="209"/>
      <c r="D107" s="209"/>
      <c r="E107" s="209"/>
      <c r="F107" s="144"/>
      <c r="G107" s="68" t="s">
        <v>112</v>
      </c>
      <c r="H107" s="189">
        <f>MAX(I103:K106)</f>
        <v>45725</v>
      </c>
      <c r="I107" s="209"/>
      <c r="J107" s="209"/>
      <c r="K107" s="209"/>
    </row>
    <row r="108" spans="1:11" ht="20.100000000000001" customHeight="1" thickTop="1" thickBot="1" x14ac:dyDescent="0.25">
      <c r="A108" s="138" t="s">
        <v>84</v>
      </c>
      <c r="B108" s="129" t="s">
        <v>85</v>
      </c>
      <c r="C108" s="61"/>
      <c r="D108" s="200"/>
      <c r="E108" s="206"/>
      <c r="F108" s="145"/>
      <c r="G108" s="138" t="s">
        <v>84</v>
      </c>
      <c r="H108" s="129" t="s">
        <v>85</v>
      </c>
      <c r="I108" s="61"/>
      <c r="J108" s="200"/>
      <c r="K108" s="206"/>
    </row>
    <row r="109" spans="1:11" ht="20.100000000000001" customHeight="1" thickTop="1" thickBot="1" x14ac:dyDescent="0.25">
      <c r="A109" s="139" t="s">
        <v>95</v>
      </c>
      <c r="B109" s="128" t="s">
        <v>85</v>
      </c>
      <c r="C109" s="64">
        <f>E104+6</f>
        <v>45591</v>
      </c>
      <c r="D109" s="207" t="s">
        <v>88</v>
      </c>
      <c r="E109" s="64">
        <f>C109+1</f>
        <v>45592</v>
      </c>
      <c r="F109" s="129"/>
      <c r="G109" s="139" t="s">
        <v>95</v>
      </c>
      <c r="H109" s="128" t="s">
        <v>85</v>
      </c>
      <c r="I109" s="64">
        <f>K104+6</f>
        <v>45731</v>
      </c>
      <c r="J109" s="207" t="s">
        <v>88</v>
      </c>
      <c r="K109" s="64">
        <f>I109+1</f>
        <v>45732</v>
      </c>
    </row>
    <row r="110" spans="1:11" ht="20.100000000000001" customHeight="1" thickTop="1" thickBot="1" x14ac:dyDescent="0.25">
      <c r="A110" s="140" t="s">
        <v>96</v>
      </c>
      <c r="B110" s="128" t="s">
        <v>85</v>
      </c>
      <c r="C110" s="107"/>
      <c r="D110" s="207" t="s">
        <v>88</v>
      </c>
      <c r="E110" s="107"/>
      <c r="F110" s="146"/>
      <c r="G110" s="140" t="s">
        <v>96</v>
      </c>
      <c r="H110" s="128" t="s">
        <v>85</v>
      </c>
      <c r="I110" s="107"/>
      <c r="J110" s="207" t="s">
        <v>88</v>
      </c>
      <c r="K110" s="107"/>
    </row>
    <row r="111" spans="1:11" ht="20.100000000000001" customHeight="1" thickTop="1" thickBot="1" x14ac:dyDescent="0.25">
      <c r="A111" s="141" t="s">
        <v>87</v>
      </c>
      <c r="B111" s="128"/>
      <c r="C111" s="193"/>
      <c r="D111" s="208" t="s">
        <v>88</v>
      </c>
      <c r="E111" s="137"/>
      <c r="F111" s="129"/>
      <c r="G111" s="141" t="s">
        <v>87</v>
      </c>
      <c r="H111" s="128"/>
      <c r="I111" s="193"/>
      <c r="J111" s="208" t="s">
        <v>88</v>
      </c>
      <c r="K111" s="137"/>
    </row>
    <row r="112" spans="1:11" ht="20.100000000000001" customHeight="1" thickTop="1" thickBot="1" x14ac:dyDescent="0.25">
      <c r="A112" s="68" t="s">
        <v>113</v>
      </c>
      <c r="B112" s="189">
        <f>MAX(C108:E111)</f>
        <v>45592</v>
      </c>
      <c r="C112" s="209"/>
      <c r="D112" s="209"/>
      <c r="E112" s="209"/>
      <c r="F112" s="144"/>
      <c r="G112" s="68" t="s">
        <v>113</v>
      </c>
      <c r="H112" s="189">
        <f>MAX(I108:K111)</f>
        <v>45732</v>
      </c>
      <c r="I112" s="209"/>
      <c r="J112" s="209"/>
      <c r="K112" s="209"/>
    </row>
    <row r="113" spans="1:11" ht="20.100000000000001" customHeight="1" thickTop="1" thickBot="1" x14ac:dyDescent="0.25">
      <c r="A113" s="138" t="s">
        <v>84</v>
      </c>
      <c r="B113" s="129" t="s">
        <v>85</v>
      </c>
      <c r="C113" s="61"/>
      <c r="D113" s="200"/>
      <c r="E113" s="206"/>
      <c r="F113" s="145"/>
      <c r="G113" s="138" t="s">
        <v>84</v>
      </c>
      <c r="H113" s="129" t="s">
        <v>85</v>
      </c>
      <c r="I113" s="61"/>
      <c r="J113" s="200"/>
      <c r="K113" s="206"/>
    </row>
    <row r="114" spans="1:11" ht="20.100000000000001" customHeight="1" thickTop="1" thickBot="1" x14ac:dyDescent="0.25">
      <c r="A114" s="139" t="s">
        <v>95</v>
      </c>
      <c r="B114" s="128" t="s">
        <v>85</v>
      </c>
      <c r="C114" s="64">
        <f>E109+6</f>
        <v>45598</v>
      </c>
      <c r="D114" s="207" t="s">
        <v>88</v>
      </c>
      <c r="E114" s="64">
        <f>C114+1</f>
        <v>45599</v>
      </c>
      <c r="F114" s="129"/>
      <c r="G114" s="139" t="s">
        <v>95</v>
      </c>
      <c r="H114" s="128" t="s">
        <v>85</v>
      </c>
      <c r="I114" s="64">
        <f>K109+6</f>
        <v>45738</v>
      </c>
      <c r="J114" s="207" t="s">
        <v>88</v>
      </c>
      <c r="K114" s="64">
        <f>I114+1</f>
        <v>45739</v>
      </c>
    </row>
    <row r="115" spans="1:11" ht="20.100000000000001" customHeight="1" thickTop="1" thickBot="1" x14ac:dyDescent="0.25">
      <c r="A115" s="140" t="s">
        <v>96</v>
      </c>
      <c r="B115" s="128" t="s">
        <v>85</v>
      </c>
      <c r="C115" s="107"/>
      <c r="D115" s="207" t="s">
        <v>88</v>
      </c>
      <c r="E115" s="107"/>
      <c r="F115" s="146"/>
      <c r="G115" s="140" t="s">
        <v>96</v>
      </c>
      <c r="H115" s="128" t="s">
        <v>85</v>
      </c>
      <c r="I115" s="107"/>
      <c r="J115" s="207" t="s">
        <v>88</v>
      </c>
      <c r="K115" s="107"/>
    </row>
    <row r="116" spans="1:11" ht="20.100000000000001" customHeight="1" thickTop="1" thickBot="1" x14ac:dyDescent="0.25">
      <c r="A116" s="141" t="s">
        <v>87</v>
      </c>
      <c r="B116" s="128"/>
      <c r="C116" s="193"/>
      <c r="D116" s="208" t="s">
        <v>88</v>
      </c>
      <c r="E116" s="137"/>
      <c r="F116" s="129"/>
      <c r="G116" s="141" t="s">
        <v>87</v>
      </c>
      <c r="H116" s="128"/>
      <c r="I116" s="193"/>
      <c r="J116" s="208" t="s">
        <v>88</v>
      </c>
      <c r="K116" s="137"/>
    </row>
    <row r="117" spans="1:11" ht="20.100000000000001" customHeight="1" thickTop="1" thickBot="1" x14ac:dyDescent="0.25">
      <c r="A117" s="68" t="s">
        <v>114</v>
      </c>
      <c r="B117" s="189">
        <f>MAX(C113:E116)</f>
        <v>45599</v>
      </c>
      <c r="C117" s="209"/>
      <c r="D117" s="209"/>
      <c r="E117" s="209"/>
      <c r="F117" s="144"/>
      <c r="G117" s="68" t="s">
        <v>114</v>
      </c>
      <c r="H117" s="189">
        <f>MAX(I113:K116)</f>
        <v>45739</v>
      </c>
      <c r="I117" s="209"/>
      <c r="J117" s="209"/>
      <c r="K117" s="209"/>
    </row>
    <row r="118" spans="1:11" ht="20.100000000000001" customHeight="1" thickTop="1" thickBot="1" x14ac:dyDescent="0.25">
      <c r="A118" s="138" t="s">
        <v>84</v>
      </c>
      <c r="B118" s="129" t="s">
        <v>85</v>
      </c>
      <c r="C118" s="61"/>
      <c r="D118" s="200"/>
      <c r="E118" s="206"/>
      <c r="F118" s="145"/>
      <c r="G118" s="138" t="s">
        <v>84</v>
      </c>
      <c r="H118" s="129" t="s">
        <v>85</v>
      </c>
      <c r="I118" s="61"/>
      <c r="J118" s="200"/>
      <c r="K118" s="206"/>
    </row>
    <row r="119" spans="1:11" ht="20.100000000000001" customHeight="1" thickTop="1" thickBot="1" x14ac:dyDescent="0.25">
      <c r="A119" s="139" t="s">
        <v>95</v>
      </c>
      <c r="B119" s="128" t="s">
        <v>85</v>
      </c>
      <c r="C119" s="64">
        <f>E114+6</f>
        <v>45605</v>
      </c>
      <c r="D119" s="207" t="s">
        <v>88</v>
      </c>
      <c r="E119" s="64">
        <f>C119+1</f>
        <v>45606</v>
      </c>
      <c r="F119" s="129"/>
      <c r="G119" s="139" t="s">
        <v>95</v>
      </c>
      <c r="H119" s="128" t="s">
        <v>85</v>
      </c>
      <c r="I119" s="64">
        <f>K114+6</f>
        <v>45745</v>
      </c>
      <c r="J119" s="207" t="s">
        <v>88</v>
      </c>
      <c r="K119" s="64">
        <f>I119+1</f>
        <v>45746</v>
      </c>
    </row>
    <row r="120" spans="1:11" ht="20.100000000000001" customHeight="1" thickTop="1" thickBot="1" x14ac:dyDescent="0.25">
      <c r="A120" s="140" t="s">
        <v>96</v>
      </c>
      <c r="B120" s="128" t="s">
        <v>85</v>
      </c>
      <c r="C120" s="107"/>
      <c r="D120" s="207" t="s">
        <v>88</v>
      </c>
      <c r="E120" s="107"/>
      <c r="F120" s="146"/>
      <c r="G120" s="140" t="s">
        <v>96</v>
      </c>
      <c r="H120" s="128" t="s">
        <v>85</v>
      </c>
      <c r="I120" s="107"/>
      <c r="J120" s="207" t="s">
        <v>88</v>
      </c>
      <c r="K120" s="107"/>
    </row>
    <row r="121" spans="1:11" ht="20.100000000000001" customHeight="1" thickTop="1" thickBot="1" x14ac:dyDescent="0.25">
      <c r="A121" s="141" t="s">
        <v>87</v>
      </c>
      <c r="B121" s="128"/>
      <c r="C121" s="193"/>
      <c r="D121" s="208" t="s">
        <v>88</v>
      </c>
      <c r="E121" s="137"/>
      <c r="F121" s="129"/>
      <c r="G121" s="141" t="s">
        <v>87</v>
      </c>
      <c r="H121" s="128"/>
      <c r="I121" s="193"/>
      <c r="J121" s="208" t="s">
        <v>88</v>
      </c>
      <c r="K121" s="137"/>
    </row>
    <row r="122" spans="1:11" ht="20.100000000000001" customHeight="1" thickTop="1" thickBot="1" x14ac:dyDescent="0.25">
      <c r="A122" s="68" t="s">
        <v>115</v>
      </c>
      <c r="B122" s="189">
        <f>MAX(C118:E121)</f>
        <v>45606</v>
      </c>
      <c r="C122" s="209"/>
      <c r="D122" s="209"/>
      <c r="E122" s="209"/>
      <c r="F122" s="144"/>
      <c r="G122" s="68" t="s">
        <v>115</v>
      </c>
      <c r="H122" s="189">
        <f>MAX(I118:K121)</f>
        <v>45746</v>
      </c>
      <c r="I122" s="209"/>
      <c r="J122" s="209"/>
      <c r="K122" s="209"/>
    </row>
    <row r="123" spans="1:11" ht="20.100000000000001" customHeight="1" thickTop="1" thickBot="1" x14ac:dyDescent="0.25">
      <c r="A123" s="138" t="s">
        <v>84</v>
      </c>
      <c r="B123" s="129" t="s">
        <v>85</v>
      </c>
      <c r="C123" s="61"/>
      <c r="D123" s="200"/>
      <c r="E123" s="206"/>
      <c r="F123" s="145"/>
      <c r="G123" s="138" t="s">
        <v>84</v>
      </c>
      <c r="H123" s="129" t="s">
        <v>85</v>
      </c>
      <c r="I123" s="61"/>
      <c r="J123" s="200"/>
      <c r="K123" s="206"/>
    </row>
    <row r="124" spans="1:11" ht="20.100000000000001" customHeight="1" thickTop="1" thickBot="1" x14ac:dyDescent="0.25">
      <c r="A124" s="139" t="s">
        <v>95</v>
      </c>
      <c r="B124" s="128" t="s">
        <v>85</v>
      </c>
      <c r="C124" s="64">
        <f>E119+6</f>
        <v>45612</v>
      </c>
      <c r="D124" s="207" t="s">
        <v>88</v>
      </c>
      <c r="E124" s="64">
        <f>C124+1</f>
        <v>45613</v>
      </c>
      <c r="F124" s="129"/>
      <c r="G124" s="139" t="s">
        <v>95</v>
      </c>
      <c r="H124" s="128" t="s">
        <v>85</v>
      </c>
      <c r="I124" s="64">
        <f>K119+6</f>
        <v>45752</v>
      </c>
      <c r="J124" s="207" t="s">
        <v>88</v>
      </c>
      <c r="K124" s="64">
        <f>I124+1</f>
        <v>45753</v>
      </c>
    </row>
    <row r="125" spans="1:11" ht="20.100000000000001" customHeight="1" thickTop="1" thickBot="1" x14ac:dyDescent="0.25">
      <c r="A125" s="140" t="s">
        <v>96</v>
      </c>
      <c r="B125" s="128" t="s">
        <v>85</v>
      </c>
      <c r="C125" s="107"/>
      <c r="D125" s="207" t="s">
        <v>88</v>
      </c>
      <c r="E125" s="107"/>
      <c r="F125" s="146"/>
      <c r="G125" s="140" t="s">
        <v>96</v>
      </c>
      <c r="H125" s="128" t="s">
        <v>85</v>
      </c>
      <c r="I125" s="107"/>
      <c r="J125" s="207" t="s">
        <v>88</v>
      </c>
      <c r="K125" s="107"/>
    </row>
    <row r="126" spans="1:11" ht="20.100000000000001" customHeight="1" thickTop="1" thickBot="1" x14ac:dyDescent="0.25">
      <c r="A126" s="140" t="s">
        <v>87</v>
      </c>
      <c r="B126" s="134"/>
      <c r="C126" s="210"/>
      <c r="D126" s="208" t="s">
        <v>88</v>
      </c>
      <c r="E126" s="137"/>
      <c r="F126" s="129"/>
      <c r="G126" s="140" t="s">
        <v>87</v>
      </c>
      <c r="H126" s="134"/>
      <c r="I126" s="210"/>
      <c r="J126" s="208" t="s">
        <v>88</v>
      </c>
      <c r="K126" s="137"/>
    </row>
    <row r="127" spans="1:11" ht="14.25" thickTop="1" x14ac:dyDescent="0.25"/>
  </sheetData>
  <sheetProtection selectLockedCells="1"/>
  <dataConsolidate link="1"/>
  <mergeCells count="6">
    <mergeCell ref="B26:F26"/>
    <mergeCell ref="H26:K26"/>
    <mergeCell ref="B5:F5"/>
    <mergeCell ref="H5:K5"/>
    <mergeCell ref="B6:F6"/>
    <mergeCell ref="H6:K6"/>
  </mergeCells>
  <dataValidations count="4">
    <dataValidation type="date" allowBlank="1" showInputMessage="1" showErrorMessage="1" errorTitle="Bad value" error="This date must be hgher than the maximum of the previous period and LOWER the first geen cell of this period" sqref="I33" xr:uid="{C01974ED-1CCB-4170-BB95-2591E534E94A}">
      <formula1>H32+1</formula1>
      <formula2>I34</formula2>
    </dataValidation>
    <dataValidation type="date" allowBlank="1" showInputMessage="1" showErrorMessage="1" sqref="I78 I38 I43 I48 I53 I58 I63 I68 I73" xr:uid="{B846627D-1E40-4211-9B48-78E8EB0169CB}">
      <formula1>H37+1</formula1>
      <formula2>H37+365</formula2>
    </dataValidation>
    <dataValidation type="list" allowBlank="1" showInputMessage="1" showErrorMessage="1" sqref="B6:F6" xr:uid="{931A92CF-2D12-430C-9DDC-E06A3966AC8C}">
      <formula1>"Please specify,ISCED 1, ISCED 1 + ISCED 2"</formula1>
    </dataValidation>
    <dataValidation type="list" allowBlank="1" showInputMessage="1" showErrorMessage="1" sqref="H6:K6" xr:uid="{3B8CD800-9FB3-4F05-9CBE-0107ED4812A7}">
      <formula1>"Please specify,ISCED2 + ISCED 3,ISCED 3"</formula1>
    </dataValidation>
  </dataValidations>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FU85"/>
  <sheetViews>
    <sheetView topLeftCell="A71" workbookViewId="0">
      <selection activeCell="J86" sqref="J86"/>
    </sheetView>
  </sheetViews>
  <sheetFormatPr defaultColWidth="14.7109375" defaultRowHeight="18" customHeight="1" x14ac:dyDescent="0.2"/>
  <cols>
    <col min="1" max="4" width="14.7109375" style="69"/>
    <col min="5" max="5" width="14.7109375" style="229"/>
    <col min="6" max="11" width="14.7109375" style="69"/>
    <col min="12" max="12" width="14.7109375" style="229"/>
    <col min="13" max="18" width="14.7109375" style="69"/>
    <col min="19" max="19" width="14.7109375" style="229"/>
    <col min="20" max="149" width="14.7109375" style="69"/>
    <col min="150" max="150" width="14.7109375" style="153"/>
    <col min="151" max="151" width="17.5703125" style="69" customWidth="1"/>
    <col min="152" max="153" width="14.7109375" style="69"/>
    <col min="154" max="155" width="3" style="69" customWidth="1"/>
    <col min="156" max="156" width="17.5703125" style="153" customWidth="1"/>
    <col min="157" max="160" width="14.7109375" style="69"/>
    <col min="161" max="162" width="3" style="69" customWidth="1"/>
    <col min="163" max="163" width="14.7109375" style="153"/>
    <col min="164" max="167" width="14.7109375" style="69"/>
    <col min="168" max="169" width="3" style="69" customWidth="1"/>
    <col min="170" max="170" width="14.7109375" style="153"/>
    <col min="171" max="174" width="14.7109375" style="69"/>
    <col min="175" max="176" width="3" style="69" customWidth="1"/>
    <col min="177" max="16384" width="14.7109375" style="69"/>
  </cols>
  <sheetData>
    <row r="1" spans="1:177" ht="18" customHeight="1" x14ac:dyDescent="0.2">
      <c r="A1" s="69" t="s">
        <v>118</v>
      </c>
      <c r="E1" s="147"/>
      <c r="G1" s="69">
        <v>365</v>
      </c>
      <c r="L1" s="147"/>
      <c r="S1" s="147"/>
      <c r="AB1" s="69">
        <v>365</v>
      </c>
      <c r="EU1" s="69">
        <v>365</v>
      </c>
    </row>
    <row r="2" spans="1:177" ht="18" customHeight="1" x14ac:dyDescent="0.2">
      <c r="E2" s="148" t="s">
        <v>119</v>
      </c>
      <c r="F2" s="149"/>
      <c r="G2" s="149" t="e">
        <f>G7</f>
        <v>#REF!</v>
      </c>
      <c r="H2" s="149"/>
      <c r="I2" s="149"/>
      <c r="J2" s="149"/>
      <c r="K2" s="149"/>
      <c r="L2" s="150" t="s">
        <v>120</v>
      </c>
      <c r="M2" s="151"/>
      <c r="N2" s="151" t="e">
        <f>N7</f>
        <v>#REF!</v>
      </c>
      <c r="O2" s="151"/>
      <c r="P2" s="151"/>
      <c r="Q2" s="151"/>
      <c r="R2" s="151"/>
      <c r="S2" s="148" t="s">
        <v>121</v>
      </c>
      <c r="T2" s="149"/>
      <c r="U2" s="149" t="e">
        <f>U7</f>
        <v>#REF!</v>
      </c>
      <c r="V2" s="149"/>
      <c r="W2" s="149"/>
      <c r="X2" s="149"/>
      <c r="Y2" s="149"/>
      <c r="Z2" s="150" t="s">
        <v>122</v>
      </c>
      <c r="AA2" s="151"/>
      <c r="AB2" s="151" t="e">
        <f>AB7</f>
        <v>#REF!</v>
      </c>
      <c r="AC2" s="151"/>
      <c r="AD2" s="151"/>
      <c r="AE2" s="151"/>
      <c r="AF2" s="151"/>
      <c r="AG2" s="148" t="s">
        <v>123</v>
      </c>
      <c r="AH2" s="149"/>
      <c r="AI2" s="149" t="e">
        <f>AI7</f>
        <v>#REF!</v>
      </c>
      <c r="AJ2" s="149"/>
      <c r="AK2" s="149"/>
      <c r="AL2" s="149"/>
      <c r="AM2" s="149"/>
      <c r="AN2" s="150" t="s">
        <v>124</v>
      </c>
      <c r="AO2" s="151"/>
      <c r="AP2" s="151" t="e">
        <f>AP7</f>
        <v>#REF!</v>
      </c>
      <c r="AQ2" s="151"/>
      <c r="AR2" s="151"/>
      <c r="AS2" s="151"/>
      <c r="AT2" s="151"/>
      <c r="AU2" s="148" t="s">
        <v>102</v>
      </c>
      <c r="AV2" s="149"/>
      <c r="AW2" s="149" t="e">
        <f>AW7</f>
        <v>#REF!</v>
      </c>
      <c r="AX2" s="149"/>
      <c r="AY2" s="149"/>
      <c r="AZ2" s="149"/>
      <c r="BA2" s="149"/>
      <c r="BB2" s="150" t="s">
        <v>125</v>
      </c>
      <c r="BC2" s="151"/>
      <c r="BD2" s="151" t="e">
        <f>BD7</f>
        <v>#REF!</v>
      </c>
      <c r="BE2" s="151"/>
      <c r="BF2" s="151"/>
      <c r="BG2" s="151"/>
      <c r="BH2" s="151"/>
      <c r="BI2" s="148" t="s">
        <v>126</v>
      </c>
      <c r="BJ2" s="149"/>
      <c r="BK2" s="149" t="e">
        <f>BK7</f>
        <v>#REF!</v>
      </c>
      <c r="BL2" s="149"/>
      <c r="BM2" s="149"/>
      <c r="BN2" s="149"/>
      <c r="BO2" s="149"/>
      <c r="BP2" s="150" t="s">
        <v>127</v>
      </c>
      <c r="BQ2" s="151"/>
      <c r="BR2" s="151" t="e">
        <f>BR7</f>
        <v>#REF!</v>
      </c>
      <c r="BS2" s="151"/>
      <c r="BT2" s="151"/>
      <c r="BU2" s="151"/>
      <c r="BV2" s="151"/>
      <c r="BW2" s="148" t="s">
        <v>128</v>
      </c>
      <c r="BX2" s="149"/>
      <c r="BY2" s="149" t="e">
        <f>BY7</f>
        <v>#REF!</v>
      </c>
      <c r="BZ2" s="149"/>
      <c r="CA2" s="149"/>
      <c r="CB2" s="149"/>
      <c r="CC2" s="149"/>
      <c r="CD2" s="150" t="s">
        <v>129</v>
      </c>
      <c r="CE2" s="151"/>
      <c r="CF2" s="151" t="e">
        <f>CF7</f>
        <v>#REF!</v>
      </c>
      <c r="CG2" s="151"/>
      <c r="CH2" s="151"/>
      <c r="CI2" s="151"/>
      <c r="CJ2" s="151"/>
      <c r="CK2" s="148" t="s">
        <v>130</v>
      </c>
      <c r="CL2" s="149"/>
      <c r="CM2" s="149" t="e">
        <f>CM7</f>
        <v>#REF!</v>
      </c>
      <c r="CN2" s="149"/>
      <c r="CO2" s="149"/>
      <c r="CP2" s="149"/>
      <c r="CQ2" s="149"/>
      <c r="CR2" s="150" t="s">
        <v>131</v>
      </c>
      <c r="CS2" s="151"/>
      <c r="CT2" s="151" t="e">
        <f>CT7</f>
        <v>#REF!</v>
      </c>
      <c r="CU2" s="151"/>
      <c r="CV2" s="151"/>
      <c r="CW2" s="151"/>
      <c r="CX2" s="151"/>
      <c r="CY2" s="148" t="s">
        <v>132</v>
      </c>
      <c r="CZ2" s="149"/>
      <c r="DA2" s="149" t="e">
        <f>DA7</f>
        <v>#REF!</v>
      </c>
      <c r="DB2" s="149"/>
      <c r="DC2" s="149"/>
      <c r="DD2" s="149"/>
      <c r="DE2" s="149"/>
      <c r="DF2" s="150" t="s">
        <v>133</v>
      </c>
      <c r="DG2" s="151"/>
      <c r="DH2" s="151" t="e">
        <f>DH7</f>
        <v>#REF!</v>
      </c>
      <c r="DI2" s="151"/>
      <c r="DJ2" s="151"/>
      <c r="DK2" s="151"/>
      <c r="DL2" s="151"/>
      <c r="DM2" s="148" t="s">
        <v>134</v>
      </c>
      <c r="DN2" s="149"/>
      <c r="DO2" s="149" t="e">
        <f>DO7</f>
        <v>#REF!</v>
      </c>
      <c r="DP2" s="149"/>
      <c r="DQ2" s="149"/>
      <c r="DR2" s="149"/>
      <c r="DS2" s="149"/>
      <c r="DT2" s="150" t="s">
        <v>135</v>
      </c>
      <c r="DU2" s="151"/>
      <c r="DV2" s="151" t="e">
        <f>DV7</f>
        <v>#REF!</v>
      </c>
      <c r="DW2" s="151"/>
      <c r="DX2" s="151"/>
      <c r="DY2" s="151"/>
      <c r="DZ2" s="151"/>
      <c r="EA2" s="148" t="s">
        <v>136</v>
      </c>
      <c r="EB2" s="149"/>
      <c r="EC2" s="149" t="e">
        <f>EC7</f>
        <v>#REF!</v>
      </c>
      <c r="ED2" s="149"/>
      <c r="EE2" s="149"/>
      <c r="EF2" s="149"/>
      <c r="EG2" s="149"/>
      <c r="EH2" s="150" t="s">
        <v>137</v>
      </c>
      <c r="EI2" s="151"/>
      <c r="EJ2" s="151" t="e">
        <f>EJ7</f>
        <v>#REF!</v>
      </c>
      <c r="EK2" s="151"/>
      <c r="EL2" s="151"/>
      <c r="EM2" s="151"/>
      <c r="EN2" s="151"/>
      <c r="ES2" s="69">
        <f t="shared" ref="ES2:ES13" si="0">C2</f>
        <v>0</v>
      </c>
      <c r="ET2" s="163" t="s">
        <v>138</v>
      </c>
      <c r="EU2" s="162"/>
      <c r="EV2" s="162"/>
      <c r="EW2" s="163"/>
      <c r="EX2" s="163"/>
      <c r="EY2" s="163"/>
      <c r="EZ2" s="163"/>
      <c r="FA2" s="181" t="s">
        <v>139</v>
      </c>
      <c r="FB2" s="182"/>
      <c r="FC2" s="182"/>
      <c r="FD2" s="182"/>
      <c r="FE2" s="182"/>
      <c r="FF2" s="182"/>
      <c r="FG2" s="182"/>
      <c r="FH2" s="165" t="s">
        <v>140</v>
      </c>
      <c r="FI2" s="164"/>
      <c r="FJ2" s="164"/>
      <c r="FK2" s="164"/>
      <c r="FL2" s="177"/>
      <c r="FM2" s="177"/>
      <c r="FN2" s="164"/>
      <c r="FO2" s="165" t="s">
        <v>141</v>
      </c>
      <c r="FP2" s="164"/>
      <c r="FQ2" s="164"/>
      <c r="FR2" s="164"/>
      <c r="FS2" s="177"/>
      <c r="FT2" s="177"/>
      <c r="FU2" s="164"/>
    </row>
    <row r="3" spans="1:177" ht="63" customHeight="1" x14ac:dyDescent="0.2">
      <c r="A3" s="71"/>
      <c r="B3" s="72" t="s">
        <v>142</v>
      </c>
      <c r="C3" s="72" t="s">
        <v>143</v>
      </c>
      <c r="D3" s="72" t="s">
        <v>144</v>
      </c>
      <c r="E3" s="74" t="str">
        <f>$ET$3</f>
        <v>Period_name</v>
      </c>
      <c r="F3" s="70" t="e">
        <f>#REF!</f>
        <v>#REF!</v>
      </c>
      <c r="G3" s="75" t="s">
        <v>145</v>
      </c>
      <c r="H3" s="75" t="s">
        <v>146</v>
      </c>
      <c r="I3" s="76" t="s">
        <v>147</v>
      </c>
      <c r="J3" s="76" t="s">
        <v>148</v>
      </c>
      <c r="K3" s="117" t="e">
        <f>#REF!</f>
        <v>#REF!</v>
      </c>
      <c r="L3" s="74" t="str">
        <f>$ET$3</f>
        <v>Period_name</v>
      </c>
      <c r="M3" s="70" t="e">
        <f>#REF!</f>
        <v>#REF!</v>
      </c>
      <c r="N3" s="75" t="s">
        <v>145</v>
      </c>
      <c r="O3" s="75" t="s">
        <v>146</v>
      </c>
      <c r="P3" s="76" t="s">
        <v>147</v>
      </c>
      <c r="Q3" s="76" t="s">
        <v>148</v>
      </c>
      <c r="R3" s="117" t="e">
        <f>#REF!</f>
        <v>#REF!</v>
      </c>
      <c r="S3" s="74" t="str">
        <f>$ET$3</f>
        <v>Period_name</v>
      </c>
      <c r="T3" s="70" t="e">
        <f>#REF!</f>
        <v>#REF!</v>
      </c>
      <c r="U3" s="75" t="s">
        <v>145</v>
      </c>
      <c r="V3" s="75" t="s">
        <v>146</v>
      </c>
      <c r="W3" s="76" t="s">
        <v>147</v>
      </c>
      <c r="X3" s="76" t="s">
        <v>148</v>
      </c>
      <c r="Y3" s="117" t="e">
        <f>#REF!</f>
        <v>#REF!</v>
      </c>
      <c r="Z3" s="74" t="str">
        <f>$ET$3</f>
        <v>Period_name</v>
      </c>
      <c r="AA3" s="70" t="e">
        <f>#REF!</f>
        <v>#REF!</v>
      </c>
      <c r="AB3" s="75" t="s">
        <v>145</v>
      </c>
      <c r="AC3" s="75" t="s">
        <v>146</v>
      </c>
      <c r="AD3" s="76" t="s">
        <v>147</v>
      </c>
      <c r="AE3" s="76" t="s">
        <v>148</v>
      </c>
      <c r="AF3" s="117" t="e">
        <f>#REF!</f>
        <v>#REF!</v>
      </c>
      <c r="AG3" s="74" t="str">
        <f>$ET$3</f>
        <v>Period_name</v>
      </c>
      <c r="AH3" s="70" t="e">
        <f>#REF!</f>
        <v>#REF!</v>
      </c>
      <c r="AI3" s="75" t="s">
        <v>145</v>
      </c>
      <c r="AJ3" s="75" t="s">
        <v>146</v>
      </c>
      <c r="AK3" s="76" t="s">
        <v>147</v>
      </c>
      <c r="AL3" s="76" t="s">
        <v>148</v>
      </c>
      <c r="AM3" s="117" t="e">
        <f>#REF!</f>
        <v>#REF!</v>
      </c>
      <c r="AN3" s="74" t="str">
        <f>$ET$3</f>
        <v>Period_name</v>
      </c>
      <c r="AO3" s="70" t="e">
        <f>#REF!</f>
        <v>#REF!</v>
      </c>
      <c r="AP3" s="75" t="s">
        <v>145</v>
      </c>
      <c r="AQ3" s="75" t="s">
        <v>146</v>
      </c>
      <c r="AR3" s="76" t="s">
        <v>147</v>
      </c>
      <c r="AS3" s="76" t="s">
        <v>148</v>
      </c>
      <c r="AT3" s="117" t="e">
        <f>#REF!</f>
        <v>#REF!</v>
      </c>
      <c r="AU3" s="74" t="str">
        <f>$ET$3</f>
        <v>Period_name</v>
      </c>
      <c r="AV3" s="70" t="e">
        <f>#REF!</f>
        <v>#REF!</v>
      </c>
      <c r="AW3" s="75" t="s">
        <v>145</v>
      </c>
      <c r="AX3" s="75" t="s">
        <v>146</v>
      </c>
      <c r="AY3" s="76" t="s">
        <v>147</v>
      </c>
      <c r="AZ3" s="76" t="s">
        <v>148</v>
      </c>
      <c r="BA3" s="117" t="e">
        <f>#REF!</f>
        <v>#REF!</v>
      </c>
      <c r="BB3" s="74" t="str">
        <f>$ET$3</f>
        <v>Period_name</v>
      </c>
      <c r="BC3" s="70" t="e">
        <f>#REF!</f>
        <v>#REF!</v>
      </c>
      <c r="BD3" s="75" t="s">
        <v>145</v>
      </c>
      <c r="BE3" s="75" t="s">
        <v>146</v>
      </c>
      <c r="BF3" s="76" t="s">
        <v>147</v>
      </c>
      <c r="BG3" s="76" t="s">
        <v>148</v>
      </c>
      <c r="BH3" s="117" t="e">
        <f>#REF!</f>
        <v>#REF!</v>
      </c>
      <c r="BI3" s="74" t="str">
        <f>$ET$3</f>
        <v>Period_name</v>
      </c>
      <c r="BJ3" s="70" t="e">
        <f>#REF!</f>
        <v>#REF!</v>
      </c>
      <c r="BK3" s="75" t="s">
        <v>145</v>
      </c>
      <c r="BL3" s="75" t="s">
        <v>146</v>
      </c>
      <c r="BM3" s="76" t="s">
        <v>147</v>
      </c>
      <c r="BN3" s="76" t="s">
        <v>148</v>
      </c>
      <c r="BO3" s="117" t="e">
        <f>#REF!</f>
        <v>#REF!</v>
      </c>
      <c r="BP3" s="74" t="str">
        <f>$ET$3</f>
        <v>Period_name</v>
      </c>
      <c r="BQ3" s="70" t="e">
        <f>#REF!</f>
        <v>#REF!</v>
      </c>
      <c r="BR3" s="75" t="s">
        <v>145</v>
      </c>
      <c r="BS3" s="75" t="s">
        <v>146</v>
      </c>
      <c r="BT3" s="76" t="s">
        <v>147</v>
      </c>
      <c r="BU3" s="76" t="s">
        <v>148</v>
      </c>
      <c r="BV3" s="117" t="e">
        <f>#REF!</f>
        <v>#REF!</v>
      </c>
      <c r="BW3" s="74" t="str">
        <f>$ET$3</f>
        <v>Period_name</v>
      </c>
      <c r="BX3" s="70" t="e">
        <f>#REF!</f>
        <v>#REF!</v>
      </c>
      <c r="BY3" s="75" t="s">
        <v>145</v>
      </c>
      <c r="BZ3" s="75" t="s">
        <v>146</v>
      </c>
      <c r="CA3" s="76" t="s">
        <v>147</v>
      </c>
      <c r="CB3" s="76" t="s">
        <v>148</v>
      </c>
      <c r="CC3" s="117" t="e">
        <f>#REF!</f>
        <v>#REF!</v>
      </c>
      <c r="CD3" s="74" t="str">
        <f>$ET$3</f>
        <v>Period_name</v>
      </c>
      <c r="CE3" s="70" t="e">
        <f>#REF!</f>
        <v>#REF!</v>
      </c>
      <c r="CF3" s="75" t="s">
        <v>145</v>
      </c>
      <c r="CG3" s="75" t="s">
        <v>146</v>
      </c>
      <c r="CH3" s="76" t="s">
        <v>147</v>
      </c>
      <c r="CI3" s="76" t="s">
        <v>148</v>
      </c>
      <c r="CJ3" s="117" t="e">
        <f>#REF!</f>
        <v>#REF!</v>
      </c>
      <c r="CK3" s="74" t="str">
        <f>$ET$3</f>
        <v>Period_name</v>
      </c>
      <c r="CL3" s="70" t="e">
        <f>#REF!</f>
        <v>#REF!</v>
      </c>
      <c r="CM3" s="75" t="s">
        <v>145</v>
      </c>
      <c r="CN3" s="75" t="s">
        <v>146</v>
      </c>
      <c r="CO3" s="76" t="s">
        <v>147</v>
      </c>
      <c r="CP3" s="76" t="s">
        <v>148</v>
      </c>
      <c r="CQ3" s="117" t="e">
        <f>#REF!</f>
        <v>#REF!</v>
      </c>
      <c r="CR3" s="74" t="str">
        <f>$ET$3</f>
        <v>Period_name</v>
      </c>
      <c r="CS3" s="70" t="e">
        <f>#REF!</f>
        <v>#REF!</v>
      </c>
      <c r="CT3" s="75" t="s">
        <v>145</v>
      </c>
      <c r="CU3" s="75" t="s">
        <v>146</v>
      </c>
      <c r="CV3" s="76" t="s">
        <v>147</v>
      </c>
      <c r="CW3" s="76" t="s">
        <v>148</v>
      </c>
      <c r="CX3" s="117" t="e">
        <f>#REF!</f>
        <v>#REF!</v>
      </c>
      <c r="CY3" s="74" t="str">
        <f>$ET$3</f>
        <v>Period_name</v>
      </c>
      <c r="CZ3" s="70" t="e">
        <f>#REF!</f>
        <v>#REF!</v>
      </c>
      <c r="DA3" s="75" t="s">
        <v>145</v>
      </c>
      <c r="DB3" s="75" t="s">
        <v>146</v>
      </c>
      <c r="DC3" s="76" t="s">
        <v>147</v>
      </c>
      <c r="DD3" s="76" t="s">
        <v>148</v>
      </c>
      <c r="DE3" s="117" t="e">
        <f>#REF!</f>
        <v>#REF!</v>
      </c>
      <c r="DF3" s="74" t="str">
        <f>$ET$3</f>
        <v>Period_name</v>
      </c>
      <c r="DG3" s="70" t="e">
        <f>#REF!</f>
        <v>#REF!</v>
      </c>
      <c r="DH3" s="75" t="s">
        <v>145</v>
      </c>
      <c r="DI3" s="75" t="s">
        <v>146</v>
      </c>
      <c r="DJ3" s="76" t="s">
        <v>147</v>
      </c>
      <c r="DK3" s="76" t="s">
        <v>148</v>
      </c>
      <c r="DL3" s="117" t="e">
        <f>#REF!</f>
        <v>#REF!</v>
      </c>
      <c r="DM3" s="74" t="str">
        <f>$ET$3</f>
        <v>Period_name</v>
      </c>
      <c r="DN3" s="70" t="e">
        <f>#REF!</f>
        <v>#REF!</v>
      </c>
      <c r="DO3" s="75" t="s">
        <v>145</v>
      </c>
      <c r="DP3" s="75" t="s">
        <v>146</v>
      </c>
      <c r="DQ3" s="76" t="s">
        <v>147</v>
      </c>
      <c r="DR3" s="76" t="s">
        <v>148</v>
      </c>
      <c r="DS3" s="117" t="e">
        <f>#REF!</f>
        <v>#REF!</v>
      </c>
      <c r="DT3" s="74" t="str">
        <f>$ET$3</f>
        <v>Period_name</v>
      </c>
      <c r="DU3" s="70" t="e">
        <f>#REF!</f>
        <v>#REF!</v>
      </c>
      <c r="DV3" s="75" t="s">
        <v>145</v>
      </c>
      <c r="DW3" s="75" t="s">
        <v>146</v>
      </c>
      <c r="DX3" s="76" t="s">
        <v>147</v>
      </c>
      <c r="DY3" s="76" t="s">
        <v>148</v>
      </c>
      <c r="DZ3" s="117" t="e">
        <f>#REF!</f>
        <v>#REF!</v>
      </c>
      <c r="EA3" s="74" t="str">
        <f>$ET$3</f>
        <v>Period_name</v>
      </c>
      <c r="EB3" s="70" t="e">
        <f>#REF!</f>
        <v>#REF!</v>
      </c>
      <c r="EC3" s="75" t="s">
        <v>145</v>
      </c>
      <c r="ED3" s="75" t="s">
        <v>146</v>
      </c>
      <c r="EE3" s="76" t="s">
        <v>147</v>
      </c>
      <c r="EF3" s="76" t="s">
        <v>148</v>
      </c>
      <c r="EG3" s="117" t="e">
        <f>#REF!</f>
        <v>#REF!</v>
      </c>
      <c r="EH3" s="74" t="str">
        <f>$ET$3</f>
        <v>Period_name</v>
      </c>
      <c r="EI3" s="70" t="e">
        <f>#REF!</f>
        <v>#REF!</v>
      </c>
      <c r="EJ3" s="75" t="s">
        <v>145</v>
      </c>
      <c r="EK3" s="75" t="s">
        <v>146</v>
      </c>
      <c r="EL3" s="76" t="s">
        <v>147</v>
      </c>
      <c r="EM3" s="76" t="s">
        <v>148</v>
      </c>
      <c r="EN3" s="117" t="e">
        <f>#REF!</f>
        <v>#REF!</v>
      </c>
      <c r="ES3" s="69" t="str">
        <f t="shared" si="0"/>
        <v>Overview_Regional_calendar</v>
      </c>
      <c r="ET3" s="154" t="s">
        <v>149</v>
      </c>
      <c r="EU3" s="70" t="s">
        <v>84</v>
      </c>
      <c r="EV3" s="73" t="s">
        <v>150</v>
      </c>
      <c r="EW3" s="73"/>
      <c r="EX3" s="178"/>
      <c r="EY3" s="178"/>
      <c r="EZ3" s="120" t="s">
        <v>87</v>
      </c>
      <c r="FA3" s="156" t="str">
        <f>$ET$3</f>
        <v>Period_name</v>
      </c>
      <c r="FB3" s="70" t="s">
        <v>84</v>
      </c>
      <c r="FC3" s="73" t="s">
        <v>91</v>
      </c>
      <c r="FD3" s="73"/>
      <c r="FE3" s="178"/>
      <c r="FF3" s="178"/>
      <c r="FG3" s="120" t="s">
        <v>87</v>
      </c>
      <c r="FH3" s="156" t="str">
        <f>$ET$3</f>
        <v>Period_name</v>
      </c>
      <c r="FI3" s="70" t="str">
        <f>EU3</f>
        <v>Initial dates may vary</v>
      </c>
      <c r="FJ3" s="73" t="s">
        <v>151</v>
      </c>
      <c r="FK3" s="73"/>
      <c r="FL3" s="178"/>
      <c r="FM3" s="178"/>
      <c r="FN3" s="117" t="str">
        <f>EZ3</f>
        <v>Final dates may vary</v>
      </c>
      <c r="FO3" s="156" t="str">
        <f>$ET$3</f>
        <v>Period_name</v>
      </c>
      <c r="FP3" s="70" t="str">
        <f>FB3</f>
        <v>Initial dates may vary</v>
      </c>
      <c r="FQ3" s="73" t="s">
        <v>91</v>
      </c>
      <c r="FR3" s="73"/>
      <c r="FS3" s="178"/>
      <c r="FT3" s="178"/>
      <c r="FU3" s="120" t="s">
        <v>87</v>
      </c>
    </row>
    <row r="4" spans="1:177" ht="33.75" customHeight="1" x14ac:dyDescent="0.2">
      <c r="A4" s="115" t="e">
        <f>#REF!</f>
        <v>#REF!</v>
      </c>
      <c r="B4" s="69" t="str">
        <f t="shared" ref="B4:B11" si="1">B3</f>
        <v>Country_code</v>
      </c>
      <c r="C4" s="116" t="e" cm="1">
        <f t="array" aca="1" ref="C4" ca="1">MID(CELL("filename",#REF!),FIND("]",CELL("filename",#REF!))+1,255)</f>
        <v>#REF!</v>
      </c>
      <c r="D4" s="43" t="e">
        <f>#REF!</f>
        <v>#REF!</v>
      </c>
      <c r="E4" s="152" t="e">
        <f>#REF!</f>
        <v>#REF!</v>
      </c>
      <c r="F4" s="39" t="e">
        <f>IF(#REF!=0,"-",#REF!)</f>
        <v>#REF!</v>
      </c>
      <c r="G4" s="78" t="e">
        <f>IF(#REF!=0,"-",#REF!)</f>
        <v>#REF!</v>
      </c>
      <c r="H4" s="78" t="e">
        <f>IF(#REF!=0,"-",#REF!)</f>
        <v>#REF!</v>
      </c>
      <c r="I4" s="42" t="e">
        <f>IF(#REF!=0,"-",#REF!)</f>
        <v>#REF!</v>
      </c>
      <c r="J4" s="42" t="e">
        <f>IF(#REF!=0,"-",#REF!)</f>
        <v>#REF!</v>
      </c>
      <c r="K4" s="119" t="e">
        <f>IF(#REF!=0,"-",#REF!)</f>
        <v>#REF!</v>
      </c>
      <c r="L4" s="17" t="s">
        <v>97</v>
      </c>
      <c r="M4" s="39" t="e">
        <f>IF(#REF!=0,"-",#REF!)</f>
        <v>#REF!</v>
      </c>
      <c r="N4" s="78" t="e">
        <f>IF(#REF!=0,"-",#REF!)</f>
        <v>#REF!</v>
      </c>
      <c r="O4" s="78" t="e">
        <f>IF(#REF!=0,"-",#REF!)</f>
        <v>#REF!</v>
      </c>
      <c r="P4" s="42" t="e">
        <f>IF(#REF!=0,"-",#REF!)</f>
        <v>#REF!</v>
      </c>
      <c r="Q4" s="42" t="e">
        <f>IF(#REF!=0,"-",#REF!)</f>
        <v>#REF!</v>
      </c>
      <c r="R4" s="119" t="e">
        <f>IF(#REF!=0,"-",#REF!)</f>
        <v>#REF!</v>
      </c>
      <c r="S4" s="17" t="s">
        <v>98</v>
      </c>
      <c r="T4" s="39" t="e">
        <f>IF(#REF!=0,"-",#REF!)</f>
        <v>#REF!</v>
      </c>
      <c r="U4" s="78" t="e">
        <f>IF(#REF!=0,"-",#REF!)</f>
        <v>#REF!</v>
      </c>
      <c r="V4" s="78" t="e">
        <f>IF(#REF!=0,"-",#REF!)</f>
        <v>#REF!</v>
      </c>
      <c r="W4" s="42" t="e">
        <f>IF(#REF!=0,"-",#REF!)</f>
        <v>#REF!</v>
      </c>
      <c r="X4" s="42" t="e">
        <f>IF(#REF!=0,"-",#REF!)</f>
        <v>#REF!</v>
      </c>
      <c r="Y4" s="119" t="e">
        <f>IF(#REF!=0,"-",#REF!)</f>
        <v>#REF!</v>
      </c>
      <c r="Z4" s="17" t="s">
        <v>99</v>
      </c>
      <c r="AA4" s="157" t="e">
        <f>IF(#REF!=0,"-",#REF!)</f>
        <v>#REF!</v>
      </c>
      <c r="AB4" s="78" t="e">
        <f>IF(#REF!=0,"-",#REF!)</f>
        <v>#REF!</v>
      </c>
      <c r="AC4" s="78" t="e">
        <f>IF(#REF!=0,"-",#REF!)</f>
        <v>#REF!</v>
      </c>
      <c r="AD4" s="42" t="e">
        <f>IF(#REF!=0,"-",#REF!)</f>
        <v>#REF!</v>
      </c>
      <c r="AE4" s="42" t="e">
        <f>IF(#REF!=0,"-",#REF!)</f>
        <v>#REF!</v>
      </c>
      <c r="AF4" s="119" t="e">
        <f>IF(#REF!=0,"-",#REF!)</f>
        <v>#REF!</v>
      </c>
      <c r="AG4" s="17" t="s">
        <v>100</v>
      </c>
      <c r="AH4" s="39" t="e">
        <f>IF(#REF!=0,"-",#REF!)</f>
        <v>#REF!</v>
      </c>
      <c r="AI4" s="78" t="e">
        <f>IF(#REF!=0,"-",#REF!)</f>
        <v>#REF!</v>
      </c>
      <c r="AJ4" s="78" t="e">
        <f>IF(#REF!=0,"-",#REF!)</f>
        <v>#REF!</v>
      </c>
      <c r="AK4" s="42" t="e">
        <f>IF(#REF!=0,"-",#REF!)</f>
        <v>#REF!</v>
      </c>
      <c r="AL4" s="42" t="e">
        <f>IF(#REF!=0,"-",#REF!)</f>
        <v>#REF!</v>
      </c>
      <c r="AM4" s="119" t="e">
        <f>IF(#REF!=0,"-",#REF!)</f>
        <v>#REF!</v>
      </c>
      <c r="AN4" s="17" t="s">
        <v>101</v>
      </c>
      <c r="AO4" s="39" t="e">
        <f>IF(#REF!=0,"-",#REF!)</f>
        <v>#REF!</v>
      </c>
      <c r="AP4" s="78" t="e">
        <f>IF(#REF!=0,"-",#REF!)</f>
        <v>#REF!</v>
      </c>
      <c r="AQ4" s="78" t="e">
        <f>IF(#REF!=0,"-",#REF!)</f>
        <v>#REF!</v>
      </c>
      <c r="AR4" s="42" t="e">
        <f>IF(#REF!=0,"-",#REF!)</f>
        <v>#REF!</v>
      </c>
      <c r="AS4" s="42" t="e">
        <f>IF(#REF!=0,"-",#REF!)</f>
        <v>#REF!</v>
      </c>
      <c r="AT4" s="119" t="e">
        <f>IF(#REF!=0,"-",#REF!)</f>
        <v>#REF!</v>
      </c>
      <c r="AU4" s="17" t="s">
        <v>102</v>
      </c>
      <c r="AV4" s="39" t="e">
        <f>IF(#REF!=0,"-",#REF!)</f>
        <v>#REF!</v>
      </c>
      <c r="AW4" s="78" t="e">
        <f>IF(#REF!=0,"-",#REF!)</f>
        <v>#REF!</v>
      </c>
      <c r="AX4" s="78" t="e">
        <f>IF(#REF!=0,"-",#REF!)</f>
        <v>#REF!</v>
      </c>
      <c r="AY4" s="42" t="e">
        <f>IF(#REF!=0,"-",#REF!)</f>
        <v>#REF!</v>
      </c>
      <c r="AZ4" s="42" t="e">
        <f>IF(#REF!=0,"-",#REF!)</f>
        <v>#REF!</v>
      </c>
      <c r="BA4" s="119" t="e">
        <f>IF(#REF!=0,"-",#REF!)</f>
        <v>#REF!</v>
      </c>
      <c r="BB4" s="17" t="s">
        <v>103</v>
      </c>
      <c r="BC4" s="39" t="e">
        <f>IF(#REF!=0,"-",#REF!)</f>
        <v>#REF!</v>
      </c>
      <c r="BD4" s="78" t="e">
        <f>IF(#REF!=0,"-",#REF!)</f>
        <v>#REF!</v>
      </c>
      <c r="BE4" s="78" t="e">
        <f>IF(#REF!=0,"-",#REF!)</f>
        <v>#REF!</v>
      </c>
      <c r="BF4" s="42" t="e">
        <f>IF(#REF!=0,"-",#REF!)</f>
        <v>#REF!</v>
      </c>
      <c r="BG4" s="42" t="e">
        <f>IF(#REF!=0,"-",#REF!)</f>
        <v>#REF!</v>
      </c>
      <c r="BH4" s="119" t="e">
        <f>IF(#REF!=0,"-",#REF!)</f>
        <v>#REF!</v>
      </c>
      <c r="BI4" s="17" t="s">
        <v>104</v>
      </c>
      <c r="BJ4" s="39" t="e">
        <f>IF(#REF!=0,"-",#REF!)</f>
        <v>#REF!</v>
      </c>
      <c r="BK4" s="78" t="e">
        <f>IF(#REF!=0,"-",#REF!)</f>
        <v>#REF!</v>
      </c>
      <c r="BL4" s="78" t="e">
        <f>IF(#REF!=0,"-",#REF!)</f>
        <v>#REF!</v>
      </c>
      <c r="BM4" s="42" t="e">
        <f>IF(#REF!=0,"-",#REF!)</f>
        <v>#REF!</v>
      </c>
      <c r="BN4" s="42" t="e">
        <f>IF(#REF!=0,"-",#REF!)</f>
        <v>#REF!</v>
      </c>
      <c r="BO4" s="119" t="e">
        <f>IF(#REF!=0,"-",#REF!)</f>
        <v>#REF!</v>
      </c>
      <c r="BP4" s="17" t="s">
        <v>105</v>
      </c>
      <c r="BQ4" s="39" t="e">
        <f>IF(#REF!=0,"-",#REF!)</f>
        <v>#REF!</v>
      </c>
      <c r="BR4" s="78" t="e">
        <f>IF(#REF!="-",0,#REF!)</f>
        <v>#REF!</v>
      </c>
      <c r="BS4" s="78" t="e">
        <f>IF(#REF!=0,"-",#REF!)</f>
        <v>#REF!</v>
      </c>
      <c r="BT4" s="42" t="e">
        <f>IF(#REF!=0,"-",#REF!)</f>
        <v>#REF!</v>
      </c>
      <c r="BU4" s="42" t="e">
        <f>IF(#REF!=0,"-",#REF!)</f>
        <v>#REF!</v>
      </c>
      <c r="BV4" s="119" t="e">
        <f>IF(#REF!=0,"-",#REF!)</f>
        <v>#REF!</v>
      </c>
      <c r="BW4" s="17" t="s">
        <v>106</v>
      </c>
      <c r="BX4" s="39" t="e">
        <f>IF(#REF!=0,"-",#REF!)</f>
        <v>#REF!</v>
      </c>
      <c r="BY4" s="78" t="e">
        <f>IF(#REF!=0,"-",#REF!)</f>
        <v>#REF!</v>
      </c>
      <c r="BZ4" s="78" t="e">
        <f>IF(#REF!=0,"-",#REF!)</f>
        <v>#REF!</v>
      </c>
      <c r="CA4" s="42" t="e">
        <f>IF(#REF!=0,"-",#REF!)</f>
        <v>#REF!</v>
      </c>
      <c r="CB4" s="42" t="e">
        <f>IF(#REF!=0,"-",#REF!)</f>
        <v>#REF!</v>
      </c>
      <c r="CC4" s="119" t="e">
        <f>IF(#REF!=0,"-",#REF!)</f>
        <v>#REF!</v>
      </c>
      <c r="CD4" s="17" t="s">
        <v>107</v>
      </c>
      <c r="CE4" s="39" t="e">
        <f>IF(#REF!=0,"-",#REF!)</f>
        <v>#REF!</v>
      </c>
      <c r="CF4" s="78" t="e">
        <f>IF(#REF!=0,"-",#REF!)</f>
        <v>#REF!</v>
      </c>
      <c r="CG4" s="78" t="e">
        <f>IF(#REF!=0,"-",#REF!)</f>
        <v>#REF!</v>
      </c>
      <c r="CH4" s="42" t="e">
        <f>IF(#REF!=0,"-",#REF!)</f>
        <v>#REF!</v>
      </c>
      <c r="CI4" s="42" t="e">
        <f>IF(#REF!=0,"-",#REF!)</f>
        <v>#REF!</v>
      </c>
      <c r="CJ4" s="119" t="e">
        <f>IF(#REF!=0,"-",#REF!)</f>
        <v>#REF!</v>
      </c>
      <c r="CK4" s="17" t="s">
        <v>108</v>
      </c>
      <c r="CL4" s="39" t="e">
        <f>IF(#REF!=0,"-",#REF!)</f>
        <v>#REF!</v>
      </c>
      <c r="CM4" s="78" t="e">
        <f>IF(#REF!=0,"-",#REF!)</f>
        <v>#REF!</v>
      </c>
      <c r="CN4" s="78" t="e">
        <f>IF(#REF!=0,"-",#REF!)</f>
        <v>#REF!</v>
      </c>
      <c r="CO4" s="42" t="e">
        <f>IF(#REF!=0,"-",#REF!)</f>
        <v>#REF!</v>
      </c>
      <c r="CP4" s="42" t="e">
        <f>IF(#REF!=0,"-",#REF!)</f>
        <v>#REF!</v>
      </c>
      <c r="CQ4" s="119" t="e">
        <f>IF(#REF!=0,"-",#REF!)</f>
        <v>#REF!</v>
      </c>
      <c r="CR4" s="17" t="s">
        <v>109</v>
      </c>
      <c r="CS4" s="39" t="e">
        <f>IF(#REF!=0,"-",#REF!)</f>
        <v>#REF!</v>
      </c>
      <c r="CT4" s="78" t="e">
        <f>IF(#REF!=0,"-",#REF!)</f>
        <v>#REF!</v>
      </c>
      <c r="CU4" s="78" t="e">
        <f>IF(#REF!=0,"-",#REF!)</f>
        <v>#REF!</v>
      </c>
      <c r="CV4" s="42" t="e">
        <f>IF(#REF!=0,"-",#REF!)</f>
        <v>#REF!</v>
      </c>
      <c r="CW4" s="42" t="e">
        <f>IF(#REF!=0,"-",#REF!)</f>
        <v>#REF!</v>
      </c>
      <c r="CX4" s="119" t="e">
        <f>IF(#REF!=0,"-",#REF!)</f>
        <v>#REF!</v>
      </c>
      <c r="CY4" s="17" t="s">
        <v>110</v>
      </c>
      <c r="CZ4" s="39" t="e">
        <f>IF(#REF!=0,"-",#REF!)</f>
        <v>#REF!</v>
      </c>
      <c r="DA4" s="78" t="e">
        <f>IF(#REF!=0,"-",#REF!)</f>
        <v>#REF!</v>
      </c>
      <c r="DB4" s="78" t="e">
        <f>IF(#REF!=0,"-",#REF!)</f>
        <v>#REF!</v>
      </c>
      <c r="DC4" s="42" t="e">
        <f>IF(#REF!=0,"-",#REF!)</f>
        <v>#REF!</v>
      </c>
      <c r="DD4" s="42" t="e">
        <f>IF(#REF!=0,"-",#REF!)</f>
        <v>#REF!</v>
      </c>
      <c r="DE4" s="119" t="e">
        <f>IF(#REF!=0,"-",#REF!)</f>
        <v>#REF!</v>
      </c>
      <c r="DF4" s="17" t="s">
        <v>111</v>
      </c>
      <c r="DG4" s="39" t="e">
        <f>IF(#REF!=0,"-",#REF!)</f>
        <v>#REF!</v>
      </c>
      <c r="DH4" s="78" t="e">
        <f>IF(#REF!=0,"-",#REF!)</f>
        <v>#REF!</v>
      </c>
      <c r="DI4" s="78" t="e">
        <f>IF(#REF!=0,"-",#REF!)</f>
        <v>#REF!</v>
      </c>
      <c r="DJ4" s="42" t="e">
        <f>IF(#REF!=0,"-",#REF!)</f>
        <v>#REF!</v>
      </c>
      <c r="DK4" s="42" t="e">
        <f>IF(#REF!=0,"-",#REF!)</f>
        <v>#REF!</v>
      </c>
      <c r="DL4" s="119" t="e">
        <f>IF(#REF!=0,"-",#REF!)</f>
        <v>#REF!</v>
      </c>
      <c r="DM4" s="17" t="s">
        <v>112</v>
      </c>
      <c r="DN4" s="39" t="e">
        <f>IF(#REF!=0,"-",#REF!)</f>
        <v>#REF!</v>
      </c>
      <c r="DO4" s="78" t="e">
        <f>IF(#REF!=0,"-",#REF!)</f>
        <v>#REF!</v>
      </c>
      <c r="DP4" s="78" t="e">
        <f>IF(#REF!=0,"-",#REF!)</f>
        <v>#REF!</v>
      </c>
      <c r="DQ4" s="42" t="e">
        <f>IF(#REF!=0,"-",#REF!)</f>
        <v>#REF!</v>
      </c>
      <c r="DR4" s="42" t="e">
        <f>IF(#REF!=0,"-",#REF!)</f>
        <v>#REF!</v>
      </c>
      <c r="DS4" s="119" t="e">
        <f>IF(#REF!=0,"-",#REF!)</f>
        <v>#REF!</v>
      </c>
      <c r="DT4" s="17" t="s">
        <v>113</v>
      </c>
      <c r="DU4" s="39" t="e">
        <f>IF(#REF!=0,"-",#REF!)</f>
        <v>#REF!</v>
      </c>
      <c r="DV4" s="78" t="e">
        <f>IF(#REF!=0,"-",#REF!)</f>
        <v>#REF!</v>
      </c>
      <c r="DW4" s="78" t="e">
        <f>IF(#REF!=0,"-",#REF!)</f>
        <v>#REF!</v>
      </c>
      <c r="DX4" s="42" t="e">
        <f>IF(#REF!=0,"-",#REF!)</f>
        <v>#REF!</v>
      </c>
      <c r="DY4" s="42" t="e">
        <f>IF(#REF!=0,"-",#REF!)</f>
        <v>#REF!</v>
      </c>
      <c r="DZ4" s="119" t="e">
        <f>IF(#REF!=0,"-",#REF!)</f>
        <v>#REF!</v>
      </c>
      <c r="EA4" s="17" t="s">
        <v>114</v>
      </c>
      <c r="EB4" s="39" t="e">
        <f>IF(#REF!=0,"-",#REF!)</f>
        <v>#REF!</v>
      </c>
      <c r="EC4" s="78" t="e">
        <f>IF(#REF!=0,"-",#REF!)</f>
        <v>#REF!</v>
      </c>
      <c r="ED4" s="78" t="e">
        <f>IF(#REF!=0,"-",#REF!)</f>
        <v>#REF!</v>
      </c>
      <c r="EE4" s="42" t="e">
        <f>IF(#REF!=0,"-",#REF!)</f>
        <v>#REF!</v>
      </c>
      <c r="EF4" s="42" t="e">
        <f>IF(#REF!=0,"-",#REF!)</f>
        <v>#REF!</v>
      </c>
      <c r="EG4" s="119" t="e">
        <f>IF(#REF!=0,"-",#REF!)</f>
        <v>#REF!</v>
      </c>
      <c r="EH4" s="17" t="s">
        <v>115</v>
      </c>
      <c r="EI4" s="39" t="e">
        <f>IF(#REF!=0,"-",#REF!)</f>
        <v>#REF!</v>
      </c>
      <c r="EJ4" s="78" t="e">
        <f>IF(#REF!=0,"-",#REF!)</f>
        <v>#REF!</v>
      </c>
      <c r="EK4" s="78" t="e">
        <f>IF(#REF!=0,"-",#REF!)</f>
        <v>#REF!</v>
      </c>
      <c r="EL4" s="42" t="e">
        <f>IF(#REF!=0,"-",#REF!)</f>
        <v>#REF!</v>
      </c>
      <c r="EM4" s="42" t="e">
        <f>IF(#REF!=0,"-",#REF!)</f>
        <v>#REF!</v>
      </c>
      <c r="EN4" s="119" t="e">
        <f>IF(#REF!=0,"-",#REF!)</f>
        <v>#REF!</v>
      </c>
      <c r="ES4" s="69" t="e">
        <f t="shared" ca="1" si="0"/>
        <v>#REF!</v>
      </c>
      <c r="ET4" s="155" t="s">
        <v>83</v>
      </c>
      <c r="EU4" s="39" t="e">
        <f>IF(#REF!=0,"",#REF!)</f>
        <v>#REF!</v>
      </c>
      <c r="EV4" s="78" t="e">
        <f>IF(OR(#REF!=0,#REF!=""),"",#REF!)</f>
        <v>#REF!</v>
      </c>
      <c r="EW4" s="78" t="e">
        <f t="shared" ref="EW4:EW11" si="2">EV4</f>
        <v>#REF!</v>
      </c>
      <c r="EX4" s="180"/>
      <c r="EY4" s="180"/>
      <c r="EZ4" s="119" t="e">
        <f>IF(#REF!=0,"",#REF!)</f>
        <v>#REF!</v>
      </c>
      <c r="FA4" s="155" t="s">
        <v>90</v>
      </c>
      <c r="FB4" s="39" t="e">
        <f>IF(#REF!=0,"",#REF!)</f>
        <v>#REF!</v>
      </c>
      <c r="FC4" s="78" t="e">
        <f>IF(OR(#REF!=0,#REF!=""),"",#REF!)</f>
        <v>#REF!</v>
      </c>
      <c r="FD4" s="78" t="e">
        <f t="shared" ref="FD4:FD11" si="3">FC4</f>
        <v>#REF!</v>
      </c>
      <c r="FE4" s="180" t="s">
        <v>152</v>
      </c>
      <c r="FF4" s="180" t="s">
        <v>152</v>
      </c>
      <c r="FG4" s="119" t="e">
        <f>IF(#REF!=0,"-",#REF!)</f>
        <v>#REF!</v>
      </c>
      <c r="FH4" s="155" t="s">
        <v>89</v>
      </c>
      <c r="FI4" s="39" t="e">
        <f>IF(#REF!=0,"-",#REF!)</f>
        <v>#REF!</v>
      </c>
      <c r="FJ4" s="78" t="e">
        <f>IF(#REF!=0,"-",#REF!)</f>
        <v>#REF!</v>
      </c>
      <c r="FK4" s="78" t="e">
        <f>IF(#REF!=0,"-",#REF!)</f>
        <v>#REF!</v>
      </c>
      <c r="FL4" s="180" t="s">
        <v>152</v>
      </c>
      <c r="FM4" s="180" t="s">
        <v>152</v>
      </c>
      <c r="FN4" s="119" t="e">
        <f>IF(#REF!=0,"-",#REF!)</f>
        <v>#REF!</v>
      </c>
      <c r="FO4" s="155" t="s">
        <v>92</v>
      </c>
      <c r="FP4" s="39" t="e">
        <f>IF(#REF!=0,"-",#REF!)</f>
        <v>#REF!</v>
      </c>
      <c r="FQ4" s="78" t="e">
        <f>IF(#REF!=0,"-",#REF!)</f>
        <v>#REF!</v>
      </c>
      <c r="FR4" s="78" t="e">
        <f>IF(#REF!=0,"-",#REF!)</f>
        <v>#REF!</v>
      </c>
      <c r="FS4" s="180" t="s">
        <v>152</v>
      </c>
      <c r="FT4" s="180" t="s">
        <v>152</v>
      </c>
      <c r="FU4" s="230" t="e">
        <f>IF(#REF!=0,"-",#REF!)</f>
        <v>#REF!</v>
      </c>
    </row>
    <row r="5" spans="1:177" ht="33.75" customHeight="1" x14ac:dyDescent="0.2">
      <c r="A5" s="115" t="e">
        <f>#REF!</f>
        <v>#REF!</v>
      </c>
      <c r="B5" s="69" t="str">
        <f t="shared" si="1"/>
        <v>Country_code</v>
      </c>
      <c r="C5" s="116" t="e" cm="1">
        <f t="array" aca="1" ref="C5" ca="1">MID(CELL("filename",#REF!),FIND("]",CELL("filename",#REF!))+1,255)</f>
        <v>#REF!</v>
      </c>
      <c r="D5" s="43" t="e">
        <f>#REF!</f>
        <v>#REF!</v>
      </c>
      <c r="E5" s="152" t="e">
        <f>#REF!</f>
        <v>#REF!</v>
      </c>
      <c r="F5" s="39" t="e">
        <f>IF(#REF!=0,"-",#REF!)</f>
        <v>#REF!</v>
      </c>
      <c r="G5" s="78" t="e">
        <f>IF(#REF!=0,"-",#REF!)</f>
        <v>#REF!</v>
      </c>
      <c r="H5" s="78" t="e">
        <f>IF(#REF!=0,"-",#REF!)</f>
        <v>#REF!</v>
      </c>
      <c r="I5" s="42" t="e">
        <f>IF(#REF!=0,"-",#REF!)</f>
        <v>#REF!</v>
      </c>
      <c r="J5" s="42" t="e">
        <f>IF(#REF!=0,"-",#REF!)</f>
        <v>#REF!</v>
      </c>
      <c r="K5" s="119" t="e">
        <f>IF(#REF!=0,"-",#REF!)</f>
        <v>#REF!</v>
      </c>
      <c r="L5" s="17" t="s">
        <v>97</v>
      </c>
      <c r="M5" s="39" t="e">
        <f>IF(#REF!=0,"-",#REF!)</f>
        <v>#REF!</v>
      </c>
      <c r="N5" s="78" t="e">
        <f>IF(#REF!=0,"-",#REF!)</f>
        <v>#REF!</v>
      </c>
      <c r="O5" s="78" t="e">
        <f>IF(#REF!=0,"-",#REF!)</f>
        <v>#REF!</v>
      </c>
      <c r="P5" s="42" t="e">
        <f>IF(#REF!=0,"-",#REF!)</f>
        <v>#REF!</v>
      </c>
      <c r="Q5" s="42" t="e">
        <f>IF(#REF!=0,"-",#REF!)</f>
        <v>#REF!</v>
      </c>
      <c r="R5" s="119" t="e">
        <f>IF(#REF!=0,"-",#REF!)</f>
        <v>#REF!</v>
      </c>
      <c r="S5" s="17" t="s">
        <v>98</v>
      </c>
      <c r="T5" s="39" t="e">
        <f>IF(#REF!=0,"-",#REF!)</f>
        <v>#REF!</v>
      </c>
      <c r="U5" s="78" t="e">
        <f>IF(#REF!=0,"-",#REF!)</f>
        <v>#REF!</v>
      </c>
      <c r="V5" s="78" t="e">
        <f>IF(#REF!=0,"-",#REF!)</f>
        <v>#REF!</v>
      </c>
      <c r="W5" s="42" t="e">
        <f>IF(#REF!=0,"-",#REF!)</f>
        <v>#REF!</v>
      </c>
      <c r="X5" s="42" t="e">
        <f>IF(#REF!=0,"-",#REF!)</f>
        <v>#REF!</v>
      </c>
      <c r="Y5" s="119" t="e">
        <f>IF(#REF!=0,"-",#REF!)</f>
        <v>#REF!</v>
      </c>
      <c r="Z5" s="17" t="s">
        <v>99</v>
      </c>
      <c r="AA5" s="157" t="e">
        <f>IF(#REF!=0,"-",#REF!)</f>
        <v>#REF!</v>
      </c>
      <c r="AB5" s="78" t="e">
        <f>IF(#REF!=0,"-",#REF!)</f>
        <v>#REF!</v>
      </c>
      <c r="AC5" s="78" t="e">
        <f>IF(#REF!=0,"-",#REF!)</f>
        <v>#REF!</v>
      </c>
      <c r="AD5" s="42" t="e">
        <f>IF(#REF!=0,"-",#REF!)</f>
        <v>#REF!</v>
      </c>
      <c r="AE5" s="42" t="e">
        <f>IF(#REF!=0,"-",#REF!)</f>
        <v>#REF!</v>
      </c>
      <c r="AF5" s="119" t="e">
        <f>IF(#REF!=0,"-",#REF!)</f>
        <v>#REF!</v>
      </c>
      <c r="AG5" s="17" t="s">
        <v>100</v>
      </c>
      <c r="AH5" s="39" t="e">
        <f>IF(#REF!=0,"-",#REF!)</f>
        <v>#REF!</v>
      </c>
      <c r="AI5" s="78" t="e">
        <f>IF(#REF!=0,"-",#REF!)</f>
        <v>#REF!</v>
      </c>
      <c r="AJ5" s="78" t="e">
        <f>IF(#REF!=0,"-",#REF!)</f>
        <v>#REF!</v>
      </c>
      <c r="AK5" s="42" t="e">
        <f>IF(#REF!=0,"-",#REF!)</f>
        <v>#REF!</v>
      </c>
      <c r="AL5" s="42" t="e">
        <f>IF(#REF!=0,"-",#REF!)</f>
        <v>#REF!</v>
      </c>
      <c r="AM5" s="119" t="e">
        <f>IF(#REF!=0,"-",#REF!)</f>
        <v>#REF!</v>
      </c>
      <c r="AN5" s="17" t="s">
        <v>101</v>
      </c>
      <c r="AO5" s="39" t="e">
        <f>IF(#REF!=0,"-",#REF!)</f>
        <v>#REF!</v>
      </c>
      <c r="AP5" s="78" t="e">
        <f>IF(#REF!=0,"-",#REF!)</f>
        <v>#REF!</v>
      </c>
      <c r="AQ5" s="78" t="e">
        <f>IF(#REF!=0,"-",#REF!)</f>
        <v>#REF!</v>
      </c>
      <c r="AR5" s="42" t="e">
        <f>IF(#REF!=0,"-",#REF!)</f>
        <v>#REF!</v>
      </c>
      <c r="AS5" s="42" t="e">
        <f>IF(#REF!=0,"-",#REF!)</f>
        <v>#REF!</v>
      </c>
      <c r="AT5" s="119" t="e">
        <f>IF(#REF!=0,"-",#REF!)</f>
        <v>#REF!</v>
      </c>
      <c r="AU5" s="17" t="s">
        <v>102</v>
      </c>
      <c r="AV5" s="39" t="e">
        <f>IF(#REF!=0,"-",#REF!)</f>
        <v>#REF!</v>
      </c>
      <c r="AW5" s="78" t="e">
        <f>IF(#REF!=0,"-",#REF!)</f>
        <v>#REF!</v>
      </c>
      <c r="AX5" s="78" t="e">
        <f>IF(#REF!=0,"-",#REF!)</f>
        <v>#REF!</v>
      </c>
      <c r="AY5" s="42" t="e">
        <f>IF(#REF!=0,"-",#REF!)</f>
        <v>#REF!</v>
      </c>
      <c r="AZ5" s="42" t="e">
        <f>IF(#REF!=0,"-",#REF!)</f>
        <v>#REF!</v>
      </c>
      <c r="BA5" s="119" t="e">
        <f>IF(#REF!=0,"-",#REF!)</f>
        <v>#REF!</v>
      </c>
      <c r="BB5" s="17" t="s">
        <v>103</v>
      </c>
      <c r="BC5" s="39" t="e">
        <f>IF(#REF!=0,"-",#REF!)</f>
        <v>#REF!</v>
      </c>
      <c r="BD5" s="78" t="e">
        <f>IF(#REF!=0,"-",#REF!)</f>
        <v>#REF!</v>
      </c>
      <c r="BE5" s="78" t="e">
        <f>IF(#REF!=0,"-",#REF!)</f>
        <v>#REF!</v>
      </c>
      <c r="BF5" s="42" t="e">
        <f>IF(#REF!=0,"-",#REF!)</f>
        <v>#REF!</v>
      </c>
      <c r="BG5" s="42" t="e">
        <f>IF(#REF!=0,"-",#REF!)</f>
        <v>#REF!</v>
      </c>
      <c r="BH5" s="119" t="e">
        <f>IF(#REF!=0,"-",#REF!)</f>
        <v>#REF!</v>
      </c>
      <c r="BI5" s="17" t="s">
        <v>104</v>
      </c>
      <c r="BJ5" s="39" t="e">
        <f>IF(#REF!=0,"-",#REF!)</f>
        <v>#REF!</v>
      </c>
      <c r="BK5" s="78" t="e">
        <f>IF(#REF!=0,"-",#REF!)</f>
        <v>#REF!</v>
      </c>
      <c r="BL5" s="78" t="e">
        <f>IF(#REF!=0,"-",#REF!)</f>
        <v>#REF!</v>
      </c>
      <c r="BM5" s="42" t="e">
        <f>IF(#REF!=0,"-",#REF!)</f>
        <v>#REF!</v>
      </c>
      <c r="BN5" s="42" t="e">
        <f>IF(#REF!=0,"-",#REF!)</f>
        <v>#REF!</v>
      </c>
      <c r="BO5" s="119" t="e">
        <f>IF(#REF!=0,"-",#REF!)</f>
        <v>#REF!</v>
      </c>
      <c r="BP5" s="17" t="s">
        <v>105</v>
      </c>
      <c r="BQ5" s="39" t="e">
        <f>IF(#REF!=0,"-",#REF!)</f>
        <v>#REF!</v>
      </c>
      <c r="BR5" s="78" t="e">
        <f>IF(#REF!="-",0,#REF!)</f>
        <v>#REF!</v>
      </c>
      <c r="BS5" s="78" t="e">
        <f>IF(#REF!=0,"-",#REF!)</f>
        <v>#REF!</v>
      </c>
      <c r="BT5" s="42" t="e">
        <f>IF(#REF!=0,"-",#REF!)</f>
        <v>#REF!</v>
      </c>
      <c r="BU5" s="42" t="e">
        <f>IF(#REF!=0,"-",#REF!)</f>
        <v>#REF!</v>
      </c>
      <c r="BV5" s="119" t="e">
        <f>IF(#REF!=0,"-",#REF!)</f>
        <v>#REF!</v>
      </c>
      <c r="BW5" s="17" t="s">
        <v>106</v>
      </c>
      <c r="BX5" s="39" t="e">
        <f>IF(#REF!=0,"-",#REF!)</f>
        <v>#REF!</v>
      </c>
      <c r="BY5" s="78" t="e">
        <f>IF(#REF!=0,"-",#REF!)</f>
        <v>#REF!</v>
      </c>
      <c r="BZ5" s="78" t="e">
        <f>IF(#REF!=0,"-",#REF!)</f>
        <v>#REF!</v>
      </c>
      <c r="CA5" s="42" t="e">
        <f>IF(#REF!=0,"-",#REF!)</f>
        <v>#REF!</v>
      </c>
      <c r="CB5" s="42" t="e">
        <f>IF(#REF!=0,"-",#REF!)</f>
        <v>#REF!</v>
      </c>
      <c r="CC5" s="119" t="e">
        <f>IF(#REF!=0,"-",#REF!)</f>
        <v>#REF!</v>
      </c>
      <c r="CD5" s="17" t="s">
        <v>107</v>
      </c>
      <c r="CE5" s="39" t="e">
        <f>IF(#REF!=0,"-",#REF!)</f>
        <v>#REF!</v>
      </c>
      <c r="CF5" s="78" t="e">
        <f>IF(#REF!=0,"-",#REF!)</f>
        <v>#REF!</v>
      </c>
      <c r="CG5" s="78" t="e">
        <f>IF(#REF!=0,"-",#REF!)</f>
        <v>#REF!</v>
      </c>
      <c r="CH5" s="42" t="e">
        <f>IF(#REF!=0,"-",#REF!)</f>
        <v>#REF!</v>
      </c>
      <c r="CI5" s="42" t="e">
        <f>IF(#REF!=0,"-",#REF!)</f>
        <v>#REF!</v>
      </c>
      <c r="CJ5" s="119" t="e">
        <f>IF(#REF!=0,"-",#REF!)</f>
        <v>#REF!</v>
      </c>
      <c r="CK5" s="17" t="s">
        <v>108</v>
      </c>
      <c r="CL5" s="39" t="e">
        <f>IF(#REF!=0,"-",#REF!)</f>
        <v>#REF!</v>
      </c>
      <c r="CM5" s="78" t="e">
        <f>IF(#REF!=0,"-",#REF!)</f>
        <v>#REF!</v>
      </c>
      <c r="CN5" s="78" t="e">
        <f>IF(#REF!=0,"-",#REF!)</f>
        <v>#REF!</v>
      </c>
      <c r="CO5" s="42" t="e">
        <f>IF(#REF!=0,"-",#REF!)</f>
        <v>#REF!</v>
      </c>
      <c r="CP5" s="42" t="e">
        <f>IF(#REF!=0,"-",#REF!)</f>
        <v>#REF!</v>
      </c>
      <c r="CQ5" s="119" t="e">
        <f>IF(#REF!=0,"-",#REF!)</f>
        <v>#REF!</v>
      </c>
      <c r="CR5" s="17" t="s">
        <v>109</v>
      </c>
      <c r="CS5" s="39" t="e">
        <f>IF(#REF!=0,"-",#REF!)</f>
        <v>#REF!</v>
      </c>
      <c r="CT5" s="78" t="e">
        <f>IF(#REF!=0,"-",#REF!)</f>
        <v>#REF!</v>
      </c>
      <c r="CU5" s="78" t="e">
        <f>IF(#REF!=0,"-",#REF!)</f>
        <v>#REF!</v>
      </c>
      <c r="CV5" s="42" t="e">
        <f>IF(#REF!=0,"-",#REF!)</f>
        <v>#REF!</v>
      </c>
      <c r="CW5" s="42" t="e">
        <f>IF(#REF!=0,"-",#REF!)</f>
        <v>#REF!</v>
      </c>
      <c r="CX5" s="119" t="e">
        <f>IF(#REF!=0,"-",#REF!)</f>
        <v>#REF!</v>
      </c>
      <c r="CY5" s="17" t="s">
        <v>110</v>
      </c>
      <c r="CZ5" s="39" t="e">
        <f>IF(#REF!=0,"-",#REF!)</f>
        <v>#REF!</v>
      </c>
      <c r="DA5" s="78" t="e">
        <f>IF(#REF!=0,"-",#REF!)</f>
        <v>#REF!</v>
      </c>
      <c r="DB5" s="78" t="e">
        <f>IF(#REF!=0,"-",#REF!)</f>
        <v>#REF!</v>
      </c>
      <c r="DC5" s="42" t="e">
        <f>IF(#REF!=0,"-",#REF!)</f>
        <v>#REF!</v>
      </c>
      <c r="DD5" s="42" t="e">
        <f>IF(#REF!=0,"-",#REF!)</f>
        <v>#REF!</v>
      </c>
      <c r="DE5" s="119" t="e">
        <f>IF(#REF!=0,"-",#REF!)</f>
        <v>#REF!</v>
      </c>
      <c r="DF5" s="17" t="s">
        <v>111</v>
      </c>
      <c r="DG5" s="39" t="e">
        <f>IF(#REF!=0,"-",#REF!)</f>
        <v>#REF!</v>
      </c>
      <c r="DH5" s="78" t="e">
        <f>IF(#REF!=0,"-",#REF!)</f>
        <v>#REF!</v>
      </c>
      <c r="DI5" s="78" t="e">
        <f>IF(#REF!=0,"-",#REF!)</f>
        <v>#REF!</v>
      </c>
      <c r="DJ5" s="42" t="e">
        <f>IF(#REF!=0,"-",#REF!)</f>
        <v>#REF!</v>
      </c>
      <c r="DK5" s="42" t="e">
        <f>IF(#REF!=0,"-",#REF!)</f>
        <v>#REF!</v>
      </c>
      <c r="DL5" s="119" t="e">
        <f>IF(#REF!=0,"-",#REF!)</f>
        <v>#REF!</v>
      </c>
      <c r="DM5" s="17" t="s">
        <v>112</v>
      </c>
      <c r="DN5" s="39" t="e">
        <f>IF(#REF!=0,"-",#REF!)</f>
        <v>#REF!</v>
      </c>
      <c r="DO5" s="78" t="e">
        <f>IF(#REF!=0,"-",#REF!)</f>
        <v>#REF!</v>
      </c>
      <c r="DP5" s="78" t="e">
        <f>IF(#REF!=0,"-",#REF!)</f>
        <v>#REF!</v>
      </c>
      <c r="DQ5" s="42" t="e">
        <f>IF(#REF!=0,"-",#REF!)</f>
        <v>#REF!</v>
      </c>
      <c r="DR5" s="42" t="e">
        <f>IF(#REF!=0,"-",#REF!)</f>
        <v>#REF!</v>
      </c>
      <c r="DS5" s="119" t="e">
        <f>IF(#REF!=0,"-",#REF!)</f>
        <v>#REF!</v>
      </c>
      <c r="DT5" s="17" t="s">
        <v>113</v>
      </c>
      <c r="DU5" s="39" t="e">
        <f>IF(#REF!=0,"-",#REF!)</f>
        <v>#REF!</v>
      </c>
      <c r="DV5" s="78" t="e">
        <f>IF(#REF!=0,"-",#REF!)</f>
        <v>#REF!</v>
      </c>
      <c r="DW5" s="78" t="e">
        <f>IF(#REF!=0,"-",#REF!)</f>
        <v>#REF!</v>
      </c>
      <c r="DX5" s="42" t="e">
        <f>IF(#REF!=0,"-",#REF!)</f>
        <v>#REF!</v>
      </c>
      <c r="DY5" s="42" t="e">
        <f>IF(#REF!=0,"-",#REF!)</f>
        <v>#REF!</v>
      </c>
      <c r="DZ5" s="119" t="e">
        <f>IF(#REF!=0,"-",#REF!)</f>
        <v>#REF!</v>
      </c>
      <c r="EA5" s="17" t="s">
        <v>114</v>
      </c>
      <c r="EB5" s="39" t="e">
        <f>IF(#REF!=0,"-",#REF!)</f>
        <v>#REF!</v>
      </c>
      <c r="EC5" s="78" t="e">
        <f>IF(#REF!=0,"-",#REF!)</f>
        <v>#REF!</v>
      </c>
      <c r="ED5" s="78" t="e">
        <f>IF(#REF!=0,"-",#REF!)</f>
        <v>#REF!</v>
      </c>
      <c r="EE5" s="42" t="e">
        <f>IF(#REF!=0,"-",#REF!)</f>
        <v>#REF!</v>
      </c>
      <c r="EF5" s="42" t="e">
        <f>IF(#REF!=0,"-",#REF!)</f>
        <v>#REF!</v>
      </c>
      <c r="EG5" s="119" t="e">
        <f>IF(#REF!=0,"-",#REF!)</f>
        <v>#REF!</v>
      </c>
      <c r="EH5" s="17" t="s">
        <v>115</v>
      </c>
      <c r="EI5" s="39" t="e">
        <f>IF(#REF!=0,"-",#REF!)</f>
        <v>#REF!</v>
      </c>
      <c r="EJ5" s="78" t="e">
        <f>IF(#REF!=0,"-",#REF!)</f>
        <v>#REF!</v>
      </c>
      <c r="EK5" s="78" t="e">
        <f>IF(#REF!=0,"-",#REF!)</f>
        <v>#REF!</v>
      </c>
      <c r="EL5" s="42" t="e">
        <f>IF(#REF!=0,"-",#REF!)</f>
        <v>#REF!</v>
      </c>
      <c r="EM5" s="42" t="e">
        <f>IF(#REF!=0,"-",#REF!)</f>
        <v>#REF!</v>
      </c>
      <c r="EN5" s="119" t="e">
        <f>IF(#REF!=0,"-",#REF!)</f>
        <v>#REF!</v>
      </c>
      <c r="ES5" s="69" t="e">
        <f t="shared" ca="1" si="0"/>
        <v>#REF!</v>
      </c>
      <c r="ET5" s="155" t="s">
        <v>83</v>
      </c>
      <c r="EU5" s="39" t="e">
        <f>IF(#REF!=0,"",#REF!)</f>
        <v>#REF!</v>
      </c>
      <c r="EV5" s="78" t="e">
        <f>IF(OR(#REF!=0,#REF!=""),"",#REF!)</f>
        <v>#REF!</v>
      </c>
      <c r="EW5" s="78" t="e">
        <f t="shared" si="2"/>
        <v>#REF!</v>
      </c>
      <c r="EX5" s="180"/>
      <c r="EY5" s="180"/>
      <c r="EZ5" s="119" t="e">
        <f>IF(#REF!=0,"",#REF!)</f>
        <v>#REF!</v>
      </c>
      <c r="FA5" s="155" t="s">
        <v>90</v>
      </c>
      <c r="FB5" s="39" t="e">
        <f>IF(#REF!=0,"",#REF!)</f>
        <v>#REF!</v>
      </c>
      <c r="FC5" s="78" t="e">
        <f>IF(OR(#REF!=0,#REF!=""),"",#REF!)</f>
        <v>#REF!</v>
      </c>
      <c r="FD5" s="78" t="e">
        <f t="shared" si="3"/>
        <v>#REF!</v>
      </c>
      <c r="FE5" s="180" t="s">
        <v>152</v>
      </c>
      <c r="FF5" s="180" t="s">
        <v>152</v>
      </c>
      <c r="FG5" s="119" t="e">
        <f>IF(#REF!=0,"-",#REF!)</f>
        <v>#REF!</v>
      </c>
      <c r="FH5" s="155" t="s">
        <v>89</v>
      </c>
      <c r="FI5" s="39" t="e">
        <f>IF(#REF!=0,"-",#REF!)</f>
        <v>#REF!</v>
      </c>
      <c r="FJ5" s="78" t="e">
        <f>IF(#REF!=0,"-",#REF!)</f>
        <v>#REF!</v>
      </c>
      <c r="FK5" s="78" t="e">
        <f>IF(#REF!=0,"-",#REF!)</f>
        <v>#REF!</v>
      </c>
      <c r="FL5" s="180" t="s">
        <v>152</v>
      </c>
      <c r="FM5" s="180" t="s">
        <v>152</v>
      </c>
      <c r="FN5" s="119" t="e">
        <f>IF(#REF!=0,"-",#REF!)</f>
        <v>#REF!</v>
      </c>
      <c r="FO5" s="155" t="s">
        <v>92</v>
      </c>
      <c r="FP5" s="39" t="e">
        <f>IF(#REF!=0,"-",#REF!)</f>
        <v>#REF!</v>
      </c>
      <c r="FQ5" s="78" t="e">
        <f>IF(#REF!=0,"-",#REF!)</f>
        <v>#REF!</v>
      </c>
      <c r="FR5" s="78" t="e">
        <f>IF(#REF!=0,"-",#REF!)</f>
        <v>#REF!</v>
      </c>
      <c r="FS5" s="180" t="s">
        <v>152</v>
      </c>
      <c r="FT5" s="180" t="s">
        <v>152</v>
      </c>
      <c r="FU5" s="230" t="e">
        <f>IF(#REF!=0,"-",#REF!)</f>
        <v>#REF!</v>
      </c>
    </row>
    <row r="6" spans="1:177" ht="33.75" customHeight="1" x14ac:dyDescent="0.2">
      <c r="A6" s="115" t="e">
        <f>#REF!</f>
        <v>#REF!</v>
      </c>
      <c r="B6" s="69" t="str">
        <f t="shared" si="1"/>
        <v>Country_code</v>
      </c>
      <c r="C6" s="116" t="e" cm="1">
        <f t="array" aca="1" ref="C6" ca="1">MID(CELL("filename",#REF!),FIND("]",CELL("filename",#REF!))+1,255)</f>
        <v>#REF!</v>
      </c>
      <c r="D6" s="43" t="e">
        <f>#REF!</f>
        <v>#REF!</v>
      </c>
      <c r="E6" s="152" t="e">
        <f>#REF!</f>
        <v>#REF!</v>
      </c>
      <c r="F6" s="39" t="e">
        <f>IF(#REF!=0,"-",#REF!)</f>
        <v>#REF!</v>
      </c>
      <c r="G6" s="78" t="e">
        <f>IF(#REF!=0,"-",#REF!)</f>
        <v>#REF!</v>
      </c>
      <c r="H6" s="78" t="e">
        <f>IF(#REF!=0,"-",#REF!)</f>
        <v>#REF!</v>
      </c>
      <c r="I6" s="42" t="e">
        <f>IF(#REF!=0,"-",#REF!)</f>
        <v>#REF!</v>
      </c>
      <c r="J6" s="42" t="e">
        <f>IF(#REF!=0,"-",#REF!)</f>
        <v>#REF!</v>
      </c>
      <c r="K6" s="119" t="e">
        <f>IF(#REF!=0,"-",#REF!)</f>
        <v>#REF!</v>
      </c>
      <c r="L6" s="17" t="s">
        <v>97</v>
      </c>
      <c r="M6" s="39" t="e">
        <f>IF(#REF!=0,"-",#REF!)</f>
        <v>#REF!</v>
      </c>
      <c r="N6" s="78" t="e">
        <f>IF(#REF!=0,"-",#REF!)</f>
        <v>#REF!</v>
      </c>
      <c r="O6" s="78" t="e">
        <f>IF(#REF!=0,"-",#REF!)</f>
        <v>#REF!</v>
      </c>
      <c r="P6" s="42" t="e">
        <f>IF(#REF!=0,"-",#REF!)</f>
        <v>#REF!</v>
      </c>
      <c r="Q6" s="42" t="e">
        <f>IF(#REF!=0,"-",#REF!)</f>
        <v>#REF!</v>
      </c>
      <c r="R6" s="119" t="e">
        <f>IF(#REF!=0,"-",#REF!)</f>
        <v>#REF!</v>
      </c>
      <c r="S6" s="17" t="s">
        <v>98</v>
      </c>
      <c r="T6" s="39" t="e">
        <f>IF(#REF!=0,"-",#REF!)</f>
        <v>#REF!</v>
      </c>
      <c r="U6" s="78" t="e">
        <f>IF(#REF!=0,"-",#REF!)</f>
        <v>#REF!</v>
      </c>
      <c r="V6" s="78" t="e">
        <f>IF(#REF!=0,"-",#REF!)</f>
        <v>#REF!</v>
      </c>
      <c r="W6" s="42" t="e">
        <f>IF(#REF!=0,"-",#REF!)</f>
        <v>#REF!</v>
      </c>
      <c r="X6" s="42" t="e">
        <f>IF(#REF!=0,"-",#REF!)</f>
        <v>#REF!</v>
      </c>
      <c r="Y6" s="119" t="e">
        <f>IF(#REF!=0,"-",#REF!)</f>
        <v>#REF!</v>
      </c>
      <c r="Z6" s="17" t="s">
        <v>99</v>
      </c>
      <c r="AA6" s="157" t="e">
        <f>IF(#REF!=0,"-",#REF!)</f>
        <v>#REF!</v>
      </c>
      <c r="AB6" s="78" t="e">
        <f>IF(#REF!=0,"-",#REF!)</f>
        <v>#REF!</v>
      </c>
      <c r="AC6" s="78" t="e">
        <f>IF(#REF!=0,"-",#REF!)</f>
        <v>#REF!</v>
      </c>
      <c r="AD6" s="42" t="e">
        <f>IF(#REF!=0,"-",#REF!)</f>
        <v>#REF!</v>
      </c>
      <c r="AE6" s="42" t="e">
        <f>IF(#REF!=0,"-",#REF!)</f>
        <v>#REF!</v>
      </c>
      <c r="AF6" s="119" t="e">
        <f>IF(#REF!=0,"-",#REF!)</f>
        <v>#REF!</v>
      </c>
      <c r="AG6" s="17" t="s">
        <v>100</v>
      </c>
      <c r="AH6" s="39" t="e">
        <f>IF(#REF!=0,"-",#REF!)</f>
        <v>#REF!</v>
      </c>
      <c r="AI6" s="78" t="e">
        <f>IF(#REF!=0,"-",#REF!)</f>
        <v>#REF!</v>
      </c>
      <c r="AJ6" s="78" t="e">
        <f>IF(#REF!=0,"-",#REF!)</f>
        <v>#REF!</v>
      </c>
      <c r="AK6" s="42" t="e">
        <f>IF(#REF!=0,"-",#REF!)</f>
        <v>#REF!</v>
      </c>
      <c r="AL6" s="42" t="e">
        <f>IF(#REF!=0,"-",#REF!)</f>
        <v>#REF!</v>
      </c>
      <c r="AM6" s="119" t="e">
        <f>IF(#REF!=0,"-",#REF!)</f>
        <v>#REF!</v>
      </c>
      <c r="AN6" s="17" t="s">
        <v>101</v>
      </c>
      <c r="AO6" s="39" t="e">
        <f>IF(#REF!=0,"-",#REF!)</f>
        <v>#REF!</v>
      </c>
      <c r="AP6" s="78" t="e">
        <f>IF(#REF!=0,"-",#REF!)</f>
        <v>#REF!</v>
      </c>
      <c r="AQ6" s="78" t="e">
        <f>IF(#REF!=0,"-",#REF!)</f>
        <v>#REF!</v>
      </c>
      <c r="AR6" s="42" t="e">
        <f>IF(#REF!=0,"-",#REF!)</f>
        <v>#REF!</v>
      </c>
      <c r="AS6" s="42" t="e">
        <f>IF(#REF!=0,"-",#REF!)</f>
        <v>#REF!</v>
      </c>
      <c r="AT6" s="119" t="e">
        <f>IF(#REF!=0,"-",#REF!)</f>
        <v>#REF!</v>
      </c>
      <c r="AU6" s="17" t="s">
        <v>102</v>
      </c>
      <c r="AV6" s="39" t="e">
        <f>IF(#REF!=0,"-",#REF!)</f>
        <v>#REF!</v>
      </c>
      <c r="AW6" s="78" t="e">
        <f>IF(#REF!=0,"-",#REF!)</f>
        <v>#REF!</v>
      </c>
      <c r="AX6" s="78" t="e">
        <f>IF(#REF!=0,"-",#REF!)</f>
        <v>#REF!</v>
      </c>
      <c r="AY6" s="42" t="e">
        <f>IF(#REF!=0,"-",#REF!)</f>
        <v>#REF!</v>
      </c>
      <c r="AZ6" s="42" t="e">
        <f>IF(#REF!=0,"-",#REF!)</f>
        <v>#REF!</v>
      </c>
      <c r="BA6" s="119" t="e">
        <f>IF(#REF!=0,"-",#REF!)</f>
        <v>#REF!</v>
      </c>
      <c r="BB6" s="17" t="s">
        <v>103</v>
      </c>
      <c r="BC6" s="39" t="e">
        <f>IF(#REF!=0,"-",#REF!)</f>
        <v>#REF!</v>
      </c>
      <c r="BD6" s="78" t="e">
        <f>IF(#REF!=0,"-",#REF!)</f>
        <v>#REF!</v>
      </c>
      <c r="BE6" s="78" t="e">
        <f>IF(#REF!=0,"-",#REF!)</f>
        <v>#REF!</v>
      </c>
      <c r="BF6" s="42" t="e">
        <f>IF(#REF!=0,"-",#REF!)</f>
        <v>#REF!</v>
      </c>
      <c r="BG6" s="42" t="e">
        <f>IF(#REF!=0,"-",#REF!)</f>
        <v>#REF!</v>
      </c>
      <c r="BH6" s="119" t="e">
        <f>IF(#REF!=0,"-",#REF!)</f>
        <v>#REF!</v>
      </c>
      <c r="BI6" s="17" t="s">
        <v>104</v>
      </c>
      <c r="BJ6" s="39" t="e">
        <f>IF(#REF!=0,"-",#REF!)</f>
        <v>#REF!</v>
      </c>
      <c r="BK6" s="78" t="e">
        <f>IF(#REF!=0,"-",#REF!)</f>
        <v>#REF!</v>
      </c>
      <c r="BL6" s="78" t="e">
        <f>IF(#REF!=0,"-",#REF!)</f>
        <v>#REF!</v>
      </c>
      <c r="BM6" s="42" t="e">
        <f>IF(#REF!=0,"-",#REF!)</f>
        <v>#REF!</v>
      </c>
      <c r="BN6" s="42" t="e">
        <f>IF(#REF!=0,"-",#REF!)</f>
        <v>#REF!</v>
      </c>
      <c r="BO6" s="119" t="e">
        <f>IF(#REF!=0,"-",#REF!)</f>
        <v>#REF!</v>
      </c>
      <c r="BP6" s="17" t="s">
        <v>105</v>
      </c>
      <c r="BQ6" s="39" t="e">
        <f>IF(#REF!=0,"-",#REF!)</f>
        <v>#REF!</v>
      </c>
      <c r="BR6" s="78" t="e">
        <f>IF(#REF!="-",0,#REF!)</f>
        <v>#REF!</v>
      </c>
      <c r="BS6" s="78" t="e">
        <f>IF(#REF!=0,"-",#REF!)</f>
        <v>#REF!</v>
      </c>
      <c r="BT6" s="42" t="e">
        <f>IF(#REF!=0,"-",#REF!)</f>
        <v>#REF!</v>
      </c>
      <c r="BU6" s="42" t="e">
        <f>IF(#REF!=0,"-",#REF!)</f>
        <v>#REF!</v>
      </c>
      <c r="BV6" s="119" t="e">
        <f>IF(#REF!=0,"-",#REF!)</f>
        <v>#REF!</v>
      </c>
      <c r="BW6" s="17" t="s">
        <v>106</v>
      </c>
      <c r="BX6" s="39" t="e">
        <f>IF(#REF!=0,"-",#REF!)</f>
        <v>#REF!</v>
      </c>
      <c r="BY6" s="78" t="e">
        <f>IF(#REF!=0,"-",#REF!)</f>
        <v>#REF!</v>
      </c>
      <c r="BZ6" s="78" t="e">
        <f>IF(#REF!=0,"-",#REF!)</f>
        <v>#REF!</v>
      </c>
      <c r="CA6" s="42" t="e">
        <f>IF(#REF!=0,"-",#REF!)</f>
        <v>#REF!</v>
      </c>
      <c r="CB6" s="42" t="e">
        <f>IF(#REF!=0,"-",#REF!)</f>
        <v>#REF!</v>
      </c>
      <c r="CC6" s="119" t="e">
        <f>IF(#REF!=0,"-",#REF!)</f>
        <v>#REF!</v>
      </c>
      <c r="CD6" s="17" t="s">
        <v>107</v>
      </c>
      <c r="CE6" s="39" t="e">
        <f>IF(#REF!=0,"-",#REF!)</f>
        <v>#REF!</v>
      </c>
      <c r="CF6" s="78" t="e">
        <f>IF(#REF!=0,"-",#REF!)</f>
        <v>#REF!</v>
      </c>
      <c r="CG6" s="78" t="e">
        <f>IF(#REF!=0,"-",#REF!)</f>
        <v>#REF!</v>
      </c>
      <c r="CH6" s="42" t="e">
        <f>IF(#REF!=0,"-",#REF!)</f>
        <v>#REF!</v>
      </c>
      <c r="CI6" s="42" t="e">
        <f>IF(#REF!=0,"-",#REF!)</f>
        <v>#REF!</v>
      </c>
      <c r="CJ6" s="119" t="e">
        <f>IF(#REF!=0,"-",#REF!)</f>
        <v>#REF!</v>
      </c>
      <c r="CK6" s="17" t="s">
        <v>108</v>
      </c>
      <c r="CL6" s="39" t="e">
        <f>IF(#REF!=0,"-",#REF!)</f>
        <v>#REF!</v>
      </c>
      <c r="CM6" s="78" t="e">
        <f>IF(#REF!=0,"-",#REF!)</f>
        <v>#REF!</v>
      </c>
      <c r="CN6" s="78" t="e">
        <f>IF(#REF!=0,"-",#REF!)</f>
        <v>#REF!</v>
      </c>
      <c r="CO6" s="42" t="e">
        <f>IF(#REF!=0,"-",#REF!)</f>
        <v>#REF!</v>
      </c>
      <c r="CP6" s="42" t="e">
        <f>IF(#REF!=0,"-",#REF!)</f>
        <v>#REF!</v>
      </c>
      <c r="CQ6" s="119" t="e">
        <f>IF(#REF!=0,"-",#REF!)</f>
        <v>#REF!</v>
      </c>
      <c r="CR6" s="17" t="s">
        <v>109</v>
      </c>
      <c r="CS6" s="39" t="e">
        <f>IF(#REF!=0,"-",#REF!)</f>
        <v>#REF!</v>
      </c>
      <c r="CT6" s="78" t="e">
        <f>IF(#REF!=0,"-",#REF!)</f>
        <v>#REF!</v>
      </c>
      <c r="CU6" s="78" t="e">
        <f>IF(#REF!=0,"-",#REF!)</f>
        <v>#REF!</v>
      </c>
      <c r="CV6" s="42" t="e">
        <f>IF(#REF!=0,"-",#REF!)</f>
        <v>#REF!</v>
      </c>
      <c r="CW6" s="42" t="e">
        <f>IF(#REF!=0,"-",#REF!)</f>
        <v>#REF!</v>
      </c>
      <c r="CX6" s="119" t="e">
        <f>IF(#REF!=0,"-",#REF!)</f>
        <v>#REF!</v>
      </c>
      <c r="CY6" s="17" t="s">
        <v>110</v>
      </c>
      <c r="CZ6" s="39" t="e">
        <f>IF(#REF!=0,"-",#REF!)</f>
        <v>#REF!</v>
      </c>
      <c r="DA6" s="78" t="e">
        <f>IF(#REF!=0,"-",#REF!)</f>
        <v>#REF!</v>
      </c>
      <c r="DB6" s="78" t="e">
        <f>IF(#REF!=0,"-",#REF!)</f>
        <v>#REF!</v>
      </c>
      <c r="DC6" s="42" t="e">
        <f>IF(#REF!=0,"-",#REF!)</f>
        <v>#REF!</v>
      </c>
      <c r="DD6" s="42" t="e">
        <f>IF(#REF!=0,"-",#REF!)</f>
        <v>#REF!</v>
      </c>
      <c r="DE6" s="119" t="e">
        <f>IF(#REF!=0,"-",#REF!)</f>
        <v>#REF!</v>
      </c>
      <c r="DF6" s="17" t="s">
        <v>111</v>
      </c>
      <c r="DG6" s="39" t="e">
        <f>IF(#REF!=0,"-",#REF!)</f>
        <v>#REF!</v>
      </c>
      <c r="DH6" s="78" t="e">
        <f>IF(#REF!=0,"-",#REF!)</f>
        <v>#REF!</v>
      </c>
      <c r="DI6" s="78" t="e">
        <f>IF(#REF!=0,"-",#REF!)</f>
        <v>#REF!</v>
      </c>
      <c r="DJ6" s="42" t="e">
        <f>IF(#REF!=0,"-",#REF!)</f>
        <v>#REF!</v>
      </c>
      <c r="DK6" s="42" t="e">
        <f>IF(#REF!=0,"-",#REF!)</f>
        <v>#REF!</v>
      </c>
      <c r="DL6" s="119" t="e">
        <f>IF(#REF!=0,"-",#REF!)</f>
        <v>#REF!</v>
      </c>
      <c r="DM6" s="17" t="s">
        <v>112</v>
      </c>
      <c r="DN6" s="39" t="e">
        <f>IF(#REF!=0,"-",#REF!)</f>
        <v>#REF!</v>
      </c>
      <c r="DO6" s="78" t="e">
        <f>IF(#REF!=0,"-",#REF!)</f>
        <v>#REF!</v>
      </c>
      <c r="DP6" s="78" t="e">
        <f>IF(#REF!=0,"-",#REF!)</f>
        <v>#REF!</v>
      </c>
      <c r="DQ6" s="42" t="e">
        <f>IF(#REF!=0,"-",#REF!)</f>
        <v>#REF!</v>
      </c>
      <c r="DR6" s="42" t="e">
        <f>IF(#REF!=0,"-",#REF!)</f>
        <v>#REF!</v>
      </c>
      <c r="DS6" s="119" t="e">
        <f>IF(#REF!=0,"-",#REF!)</f>
        <v>#REF!</v>
      </c>
      <c r="DT6" s="17" t="s">
        <v>113</v>
      </c>
      <c r="DU6" s="39" t="e">
        <f>IF(#REF!=0,"-",#REF!)</f>
        <v>#REF!</v>
      </c>
      <c r="DV6" s="78" t="e">
        <f>IF(#REF!=0,"-",#REF!)</f>
        <v>#REF!</v>
      </c>
      <c r="DW6" s="78" t="e">
        <f>IF(#REF!=0,"-",#REF!)</f>
        <v>#REF!</v>
      </c>
      <c r="DX6" s="42" t="e">
        <f>IF(#REF!=0,"-",#REF!)</f>
        <v>#REF!</v>
      </c>
      <c r="DY6" s="42" t="e">
        <f>IF(#REF!=0,"-",#REF!)</f>
        <v>#REF!</v>
      </c>
      <c r="DZ6" s="119" t="e">
        <f>IF(#REF!=0,"-",#REF!)</f>
        <v>#REF!</v>
      </c>
      <c r="EA6" s="17" t="s">
        <v>114</v>
      </c>
      <c r="EB6" s="39" t="e">
        <f>IF(#REF!=0,"-",#REF!)</f>
        <v>#REF!</v>
      </c>
      <c r="EC6" s="78" t="e">
        <f>IF(#REF!=0,"-",#REF!)</f>
        <v>#REF!</v>
      </c>
      <c r="ED6" s="78" t="e">
        <f>IF(#REF!=0,"-",#REF!)</f>
        <v>#REF!</v>
      </c>
      <c r="EE6" s="42" t="e">
        <f>IF(#REF!=0,"-",#REF!)</f>
        <v>#REF!</v>
      </c>
      <c r="EF6" s="42" t="e">
        <f>IF(#REF!=0,"-",#REF!)</f>
        <v>#REF!</v>
      </c>
      <c r="EG6" s="119" t="e">
        <f>IF(#REF!=0,"-",#REF!)</f>
        <v>#REF!</v>
      </c>
      <c r="EH6" s="17" t="s">
        <v>115</v>
      </c>
      <c r="EI6" s="39" t="e">
        <f>IF(#REF!=0,"-",#REF!)</f>
        <v>#REF!</v>
      </c>
      <c r="EJ6" s="78" t="e">
        <f>IF(#REF!=0,"-",#REF!)</f>
        <v>#REF!</v>
      </c>
      <c r="EK6" s="78" t="e">
        <f>IF(#REF!=0,"-",#REF!)</f>
        <v>#REF!</v>
      </c>
      <c r="EL6" s="42" t="e">
        <f>IF(#REF!=0,"-",#REF!)</f>
        <v>#REF!</v>
      </c>
      <c r="EM6" s="42" t="e">
        <f>IF(#REF!=0,"-",#REF!)</f>
        <v>#REF!</v>
      </c>
      <c r="EN6" s="119" t="e">
        <f>IF(#REF!=0,"-",#REF!)</f>
        <v>#REF!</v>
      </c>
      <c r="ES6" s="69" t="e">
        <f t="shared" ca="1" si="0"/>
        <v>#REF!</v>
      </c>
      <c r="ET6" s="155" t="s">
        <v>83</v>
      </c>
      <c r="EU6" s="39" t="e">
        <f>IF(#REF!=0,"",#REF!)</f>
        <v>#REF!</v>
      </c>
      <c r="EV6" s="78" t="e">
        <f>IF(OR(#REF!=0,#REF!=""),"",#REF!)</f>
        <v>#REF!</v>
      </c>
      <c r="EW6" s="78" t="e">
        <f t="shared" si="2"/>
        <v>#REF!</v>
      </c>
      <c r="EX6" s="180"/>
      <c r="EY6" s="180"/>
      <c r="EZ6" s="119" t="e">
        <f>IF(#REF!=0,"",#REF!)</f>
        <v>#REF!</v>
      </c>
      <c r="FA6" s="155" t="s">
        <v>90</v>
      </c>
      <c r="FB6" s="39" t="e">
        <f>IF(#REF!=0,"",#REF!)</f>
        <v>#REF!</v>
      </c>
      <c r="FC6" s="78" t="e">
        <f>IF(OR(#REF!=0,#REF!=""),"",#REF!)</f>
        <v>#REF!</v>
      </c>
      <c r="FD6" s="78" t="e">
        <f t="shared" si="3"/>
        <v>#REF!</v>
      </c>
      <c r="FE6" s="180" t="s">
        <v>152</v>
      </c>
      <c r="FF6" s="180" t="s">
        <v>152</v>
      </c>
      <c r="FG6" s="119" t="e">
        <f>IF(#REF!=0,"-",#REF!)</f>
        <v>#REF!</v>
      </c>
      <c r="FH6" s="155" t="s">
        <v>89</v>
      </c>
      <c r="FI6" s="39" t="e">
        <f>IF(#REF!=0,"-",#REF!)</f>
        <v>#REF!</v>
      </c>
      <c r="FJ6" s="78" t="e">
        <f>IF(#REF!=0,"-",#REF!)</f>
        <v>#REF!</v>
      </c>
      <c r="FK6" s="78" t="e">
        <f>IF(#REF!=0,"-",#REF!)</f>
        <v>#REF!</v>
      </c>
      <c r="FL6" s="180" t="s">
        <v>152</v>
      </c>
      <c r="FM6" s="180" t="s">
        <v>152</v>
      </c>
      <c r="FN6" s="119" t="e">
        <f>IF(#REF!=0,"-",#REF!)</f>
        <v>#REF!</v>
      </c>
      <c r="FO6" s="155" t="s">
        <v>92</v>
      </c>
      <c r="FP6" s="39" t="e">
        <f>IF(#REF!=0,"-",#REF!)</f>
        <v>#REF!</v>
      </c>
      <c r="FQ6" s="78" t="e">
        <f>IF(#REF!=0,"-",#REF!)</f>
        <v>#REF!</v>
      </c>
      <c r="FR6" s="78" t="e">
        <f>IF(#REF!=0,"-",#REF!)</f>
        <v>#REF!</v>
      </c>
      <c r="FS6" s="180" t="s">
        <v>152</v>
      </c>
      <c r="FT6" s="180" t="s">
        <v>152</v>
      </c>
      <c r="FU6" s="230" t="e">
        <f>IF(#REF!=0,"-",#REF!)</f>
        <v>#REF!</v>
      </c>
    </row>
    <row r="7" spans="1:177" ht="33.75" customHeight="1" x14ac:dyDescent="0.2">
      <c r="A7" s="115" t="e">
        <f>#REF!</f>
        <v>#REF!</v>
      </c>
      <c r="B7" s="69" t="str">
        <f t="shared" si="1"/>
        <v>Country_code</v>
      </c>
      <c r="C7" s="116" t="e" cm="1">
        <f t="array" aca="1" ref="C7" ca="1">MID(CELL("filename",#REF!),FIND("]",CELL("filename",#REF!))+1,255)</f>
        <v>#REF!</v>
      </c>
      <c r="D7" s="43" t="e">
        <f>#REF!</f>
        <v>#REF!</v>
      </c>
      <c r="E7" s="152" t="e">
        <f>#REF!</f>
        <v>#REF!</v>
      </c>
      <c r="F7" s="39" t="e">
        <f>IF(#REF!=0,"-",#REF!)</f>
        <v>#REF!</v>
      </c>
      <c r="G7" s="78" t="e">
        <f>IF(#REF!=0,"-",#REF!)</f>
        <v>#REF!</v>
      </c>
      <c r="H7" s="78" t="e">
        <f>IF(#REF!=0,"-",#REF!)</f>
        <v>#REF!</v>
      </c>
      <c r="I7" s="42" t="e">
        <f>IF(#REF!=0,"-",#REF!)</f>
        <v>#REF!</v>
      </c>
      <c r="J7" s="42" t="e">
        <f>IF(#REF!=0,"-",#REF!)</f>
        <v>#REF!</v>
      </c>
      <c r="K7" s="119" t="e">
        <f>IF(#REF!=0,"-",#REF!)</f>
        <v>#REF!</v>
      </c>
      <c r="L7" s="17" t="s">
        <v>97</v>
      </c>
      <c r="M7" s="39" t="e">
        <f>IF(#REF!=0,"-",#REF!)</f>
        <v>#REF!</v>
      </c>
      <c r="N7" s="78" t="e">
        <f>IF(#REF!=0,"-",#REF!)</f>
        <v>#REF!</v>
      </c>
      <c r="O7" s="78" t="e">
        <f>IF(#REF!=0,"-",#REF!)</f>
        <v>#REF!</v>
      </c>
      <c r="P7" s="42" t="e">
        <f>IF(#REF!=0,"-",#REF!)</f>
        <v>#REF!</v>
      </c>
      <c r="Q7" s="42" t="e">
        <f>IF(#REF!=0,"-",#REF!)</f>
        <v>#REF!</v>
      </c>
      <c r="R7" s="119" t="e">
        <f>IF(#REF!=0,"-",#REF!)</f>
        <v>#REF!</v>
      </c>
      <c r="S7" s="17" t="s">
        <v>98</v>
      </c>
      <c r="T7" s="39" t="e">
        <f>IF(#REF!=0,"-",#REF!)</f>
        <v>#REF!</v>
      </c>
      <c r="U7" s="78" t="e">
        <f>IF(#REF!=0,"-",#REF!)</f>
        <v>#REF!</v>
      </c>
      <c r="V7" s="78" t="e">
        <f>IF(#REF!=0,"-",#REF!)</f>
        <v>#REF!</v>
      </c>
      <c r="W7" s="42" t="e">
        <f>IF(#REF!=0,"-",#REF!)</f>
        <v>#REF!</v>
      </c>
      <c r="X7" s="42" t="e">
        <f>IF(#REF!=0,"-",#REF!)</f>
        <v>#REF!</v>
      </c>
      <c r="Y7" s="119" t="e">
        <f>IF(#REF!=0,"-",#REF!)</f>
        <v>#REF!</v>
      </c>
      <c r="Z7" s="17" t="s">
        <v>99</v>
      </c>
      <c r="AA7" s="157" t="e">
        <f>IF(#REF!=0,"-",#REF!)</f>
        <v>#REF!</v>
      </c>
      <c r="AB7" s="78" t="e">
        <f>IF(#REF!=0,"-",#REF!)</f>
        <v>#REF!</v>
      </c>
      <c r="AC7" s="78" t="e">
        <f>IF(#REF!=0,"-",#REF!)</f>
        <v>#REF!</v>
      </c>
      <c r="AD7" s="42" t="e">
        <f>IF(#REF!=0,"-",#REF!)</f>
        <v>#REF!</v>
      </c>
      <c r="AE7" s="42" t="e">
        <f>IF(#REF!=0,"-",#REF!)</f>
        <v>#REF!</v>
      </c>
      <c r="AF7" s="119" t="e">
        <f>IF(#REF!=0,"-",#REF!)</f>
        <v>#REF!</v>
      </c>
      <c r="AG7" s="17" t="s">
        <v>100</v>
      </c>
      <c r="AH7" s="39" t="e">
        <f>IF(#REF!=0,"-",#REF!)</f>
        <v>#REF!</v>
      </c>
      <c r="AI7" s="78" t="e">
        <f>IF(#REF!=0,"-",#REF!)</f>
        <v>#REF!</v>
      </c>
      <c r="AJ7" s="78" t="e">
        <f>IF(#REF!=0,"-",#REF!)</f>
        <v>#REF!</v>
      </c>
      <c r="AK7" s="42" t="e">
        <f>IF(#REF!=0,"-",#REF!)</f>
        <v>#REF!</v>
      </c>
      <c r="AL7" s="42" t="e">
        <f>IF(#REF!=0,"-",#REF!)</f>
        <v>#REF!</v>
      </c>
      <c r="AM7" s="119" t="e">
        <f>IF(#REF!=0,"-",#REF!)</f>
        <v>#REF!</v>
      </c>
      <c r="AN7" s="17" t="s">
        <v>101</v>
      </c>
      <c r="AO7" s="39" t="e">
        <f>IF(#REF!=0,"-",#REF!)</f>
        <v>#REF!</v>
      </c>
      <c r="AP7" s="78" t="e">
        <f>IF(#REF!=0,"-",#REF!)</f>
        <v>#REF!</v>
      </c>
      <c r="AQ7" s="78" t="e">
        <f>IF(#REF!=0,"-",#REF!)</f>
        <v>#REF!</v>
      </c>
      <c r="AR7" s="42" t="e">
        <f>IF(#REF!=0,"-",#REF!)</f>
        <v>#REF!</v>
      </c>
      <c r="AS7" s="42" t="e">
        <f>IF(#REF!=0,"-",#REF!)</f>
        <v>#REF!</v>
      </c>
      <c r="AT7" s="119" t="e">
        <f>IF(#REF!=0,"-",#REF!)</f>
        <v>#REF!</v>
      </c>
      <c r="AU7" s="17" t="s">
        <v>102</v>
      </c>
      <c r="AV7" s="39" t="e">
        <f>IF(#REF!=0,"-",#REF!)</f>
        <v>#REF!</v>
      </c>
      <c r="AW7" s="78" t="e">
        <f>IF(#REF!=0,"-",#REF!)</f>
        <v>#REF!</v>
      </c>
      <c r="AX7" s="78" t="e">
        <f>IF(#REF!=0,"-",#REF!)</f>
        <v>#REF!</v>
      </c>
      <c r="AY7" s="42" t="e">
        <f>IF(#REF!=0,"-",#REF!)</f>
        <v>#REF!</v>
      </c>
      <c r="AZ7" s="42" t="e">
        <f>IF(#REF!=0,"-",#REF!)</f>
        <v>#REF!</v>
      </c>
      <c r="BA7" s="119" t="e">
        <f>IF(#REF!=0,"-",#REF!)</f>
        <v>#REF!</v>
      </c>
      <c r="BB7" s="17" t="s">
        <v>103</v>
      </c>
      <c r="BC7" s="39" t="e">
        <f>IF(#REF!=0,"-",#REF!)</f>
        <v>#REF!</v>
      </c>
      <c r="BD7" s="78" t="e">
        <f>IF(#REF!=0,"-",#REF!)</f>
        <v>#REF!</v>
      </c>
      <c r="BE7" s="78" t="e">
        <f>IF(#REF!=0,"-",#REF!)</f>
        <v>#REF!</v>
      </c>
      <c r="BF7" s="42" t="e">
        <f>IF(#REF!=0,"-",#REF!)</f>
        <v>#REF!</v>
      </c>
      <c r="BG7" s="42" t="e">
        <f>IF(#REF!=0,"-",#REF!)</f>
        <v>#REF!</v>
      </c>
      <c r="BH7" s="119" t="e">
        <f>IF(#REF!=0,"-",#REF!)</f>
        <v>#REF!</v>
      </c>
      <c r="BI7" s="17" t="s">
        <v>104</v>
      </c>
      <c r="BJ7" s="39" t="e">
        <f>IF(#REF!=0,"-",#REF!)</f>
        <v>#REF!</v>
      </c>
      <c r="BK7" s="78" t="e">
        <f>IF(#REF!=0,"-",#REF!)</f>
        <v>#REF!</v>
      </c>
      <c r="BL7" s="78" t="e">
        <f>IF(#REF!=0,"-",#REF!)</f>
        <v>#REF!</v>
      </c>
      <c r="BM7" s="42" t="e">
        <f>IF(#REF!=0,"-",#REF!)</f>
        <v>#REF!</v>
      </c>
      <c r="BN7" s="42" t="e">
        <f>IF(#REF!=0,"-",#REF!)</f>
        <v>#REF!</v>
      </c>
      <c r="BO7" s="119" t="e">
        <f>IF(#REF!=0,"-",#REF!)</f>
        <v>#REF!</v>
      </c>
      <c r="BP7" s="17" t="s">
        <v>105</v>
      </c>
      <c r="BQ7" s="39" t="e">
        <f>IF(#REF!=0,"-",#REF!)</f>
        <v>#REF!</v>
      </c>
      <c r="BR7" s="78" t="e">
        <f>IF(#REF!="-",0,#REF!)</f>
        <v>#REF!</v>
      </c>
      <c r="BS7" s="78" t="e">
        <f>IF(#REF!=0,"-",#REF!)</f>
        <v>#REF!</v>
      </c>
      <c r="BT7" s="42" t="e">
        <f>IF(#REF!=0,"-",#REF!)</f>
        <v>#REF!</v>
      </c>
      <c r="BU7" s="42" t="e">
        <f>IF(#REF!=0,"-",#REF!)</f>
        <v>#REF!</v>
      </c>
      <c r="BV7" s="119" t="e">
        <f>IF(#REF!=0,"-",#REF!)</f>
        <v>#REF!</v>
      </c>
      <c r="BW7" s="17" t="s">
        <v>106</v>
      </c>
      <c r="BX7" s="39" t="e">
        <f>IF(#REF!=0,"-",#REF!)</f>
        <v>#REF!</v>
      </c>
      <c r="BY7" s="78" t="e">
        <f>IF(#REF!=0,"-",#REF!)</f>
        <v>#REF!</v>
      </c>
      <c r="BZ7" s="78" t="e">
        <f>IF(#REF!=0,"-",#REF!)</f>
        <v>#REF!</v>
      </c>
      <c r="CA7" s="42" t="e">
        <f>IF(#REF!=0,"-",#REF!)</f>
        <v>#REF!</v>
      </c>
      <c r="CB7" s="42" t="e">
        <f>IF(#REF!=0,"-",#REF!)</f>
        <v>#REF!</v>
      </c>
      <c r="CC7" s="119" t="e">
        <f>IF(#REF!=0,"-",#REF!)</f>
        <v>#REF!</v>
      </c>
      <c r="CD7" s="17" t="s">
        <v>107</v>
      </c>
      <c r="CE7" s="39" t="e">
        <f>IF(#REF!=0,"-",#REF!)</f>
        <v>#REF!</v>
      </c>
      <c r="CF7" s="78" t="e">
        <f>IF(#REF!=0,"-",#REF!)</f>
        <v>#REF!</v>
      </c>
      <c r="CG7" s="78" t="e">
        <f>IF(#REF!=0,"-",#REF!)</f>
        <v>#REF!</v>
      </c>
      <c r="CH7" s="42" t="e">
        <f>IF(#REF!=0,"-",#REF!)</f>
        <v>#REF!</v>
      </c>
      <c r="CI7" s="42" t="e">
        <f>IF(#REF!=0,"-",#REF!)</f>
        <v>#REF!</v>
      </c>
      <c r="CJ7" s="119" t="e">
        <f>IF(#REF!=0,"-",#REF!)</f>
        <v>#REF!</v>
      </c>
      <c r="CK7" s="17" t="s">
        <v>108</v>
      </c>
      <c r="CL7" s="39" t="e">
        <f>IF(#REF!=0,"-",#REF!)</f>
        <v>#REF!</v>
      </c>
      <c r="CM7" s="78" t="e">
        <f>IF(#REF!=0,"-",#REF!)</f>
        <v>#REF!</v>
      </c>
      <c r="CN7" s="78" t="e">
        <f>IF(#REF!=0,"-",#REF!)</f>
        <v>#REF!</v>
      </c>
      <c r="CO7" s="42" t="e">
        <f>IF(#REF!=0,"-",#REF!)</f>
        <v>#REF!</v>
      </c>
      <c r="CP7" s="42" t="e">
        <f>IF(#REF!=0,"-",#REF!)</f>
        <v>#REF!</v>
      </c>
      <c r="CQ7" s="119" t="e">
        <f>IF(#REF!=0,"-",#REF!)</f>
        <v>#REF!</v>
      </c>
      <c r="CR7" s="17" t="s">
        <v>109</v>
      </c>
      <c r="CS7" s="39" t="e">
        <f>IF(#REF!=0,"-",#REF!)</f>
        <v>#REF!</v>
      </c>
      <c r="CT7" s="78" t="e">
        <f>IF(#REF!=0,"-",#REF!)</f>
        <v>#REF!</v>
      </c>
      <c r="CU7" s="78" t="e">
        <f>IF(#REF!=0,"-",#REF!)</f>
        <v>#REF!</v>
      </c>
      <c r="CV7" s="42" t="e">
        <f>IF(#REF!=0,"-",#REF!)</f>
        <v>#REF!</v>
      </c>
      <c r="CW7" s="42" t="e">
        <f>IF(#REF!=0,"-",#REF!)</f>
        <v>#REF!</v>
      </c>
      <c r="CX7" s="119" t="e">
        <f>IF(#REF!=0,"-",#REF!)</f>
        <v>#REF!</v>
      </c>
      <c r="CY7" s="17" t="s">
        <v>110</v>
      </c>
      <c r="CZ7" s="39" t="e">
        <f>IF(#REF!=0,"-",#REF!)</f>
        <v>#REF!</v>
      </c>
      <c r="DA7" s="78" t="e">
        <f>IF(#REF!=0,"-",#REF!)</f>
        <v>#REF!</v>
      </c>
      <c r="DB7" s="78" t="e">
        <f>IF(#REF!=0,"-",#REF!)</f>
        <v>#REF!</v>
      </c>
      <c r="DC7" s="42" t="e">
        <f>IF(#REF!=0,"-",#REF!)</f>
        <v>#REF!</v>
      </c>
      <c r="DD7" s="42" t="e">
        <f>IF(#REF!=0,"-",#REF!)</f>
        <v>#REF!</v>
      </c>
      <c r="DE7" s="119" t="e">
        <f>IF(#REF!=0,"-",#REF!)</f>
        <v>#REF!</v>
      </c>
      <c r="DF7" s="17" t="s">
        <v>111</v>
      </c>
      <c r="DG7" s="39" t="e">
        <f>IF(#REF!=0,"-",#REF!)</f>
        <v>#REF!</v>
      </c>
      <c r="DH7" s="78" t="e">
        <f>IF(#REF!=0,"-",#REF!)</f>
        <v>#REF!</v>
      </c>
      <c r="DI7" s="78" t="e">
        <f>IF(#REF!=0,"-",#REF!)</f>
        <v>#REF!</v>
      </c>
      <c r="DJ7" s="42" t="e">
        <f>IF(#REF!=0,"-",#REF!)</f>
        <v>#REF!</v>
      </c>
      <c r="DK7" s="42" t="e">
        <f>IF(#REF!=0,"-",#REF!)</f>
        <v>#REF!</v>
      </c>
      <c r="DL7" s="119" t="e">
        <f>IF(#REF!=0,"-",#REF!)</f>
        <v>#REF!</v>
      </c>
      <c r="DM7" s="17" t="s">
        <v>112</v>
      </c>
      <c r="DN7" s="39" t="e">
        <f>IF(#REF!=0,"-",#REF!)</f>
        <v>#REF!</v>
      </c>
      <c r="DO7" s="78" t="e">
        <f>IF(#REF!=0,"-",#REF!)</f>
        <v>#REF!</v>
      </c>
      <c r="DP7" s="78" t="e">
        <f>IF(#REF!=0,"-",#REF!)</f>
        <v>#REF!</v>
      </c>
      <c r="DQ7" s="42" t="e">
        <f>IF(#REF!=0,"-",#REF!)</f>
        <v>#REF!</v>
      </c>
      <c r="DR7" s="42" t="e">
        <f>IF(#REF!=0,"-",#REF!)</f>
        <v>#REF!</v>
      </c>
      <c r="DS7" s="119" t="e">
        <f>IF(#REF!=0,"-",#REF!)</f>
        <v>#REF!</v>
      </c>
      <c r="DT7" s="17" t="s">
        <v>113</v>
      </c>
      <c r="DU7" s="39" t="e">
        <f>IF(#REF!=0,"-",#REF!)</f>
        <v>#REF!</v>
      </c>
      <c r="DV7" s="78" t="e">
        <f>IF(#REF!=0,"-",#REF!)</f>
        <v>#REF!</v>
      </c>
      <c r="DW7" s="78" t="e">
        <f>IF(#REF!=0,"-",#REF!)</f>
        <v>#REF!</v>
      </c>
      <c r="DX7" s="42" t="e">
        <f>IF(#REF!=0,"-",#REF!)</f>
        <v>#REF!</v>
      </c>
      <c r="DY7" s="42" t="e">
        <f>IF(#REF!=0,"-",#REF!)</f>
        <v>#REF!</v>
      </c>
      <c r="DZ7" s="119" t="e">
        <f>IF(#REF!=0,"-",#REF!)</f>
        <v>#REF!</v>
      </c>
      <c r="EA7" s="17" t="s">
        <v>114</v>
      </c>
      <c r="EB7" s="39" t="e">
        <f>IF(#REF!=0,"-",#REF!)</f>
        <v>#REF!</v>
      </c>
      <c r="EC7" s="78" t="e">
        <f>IF(#REF!=0,"-",#REF!)</f>
        <v>#REF!</v>
      </c>
      <c r="ED7" s="78" t="e">
        <f>IF(#REF!=0,"-",#REF!)</f>
        <v>#REF!</v>
      </c>
      <c r="EE7" s="42" t="e">
        <f>IF(#REF!=0,"-",#REF!)</f>
        <v>#REF!</v>
      </c>
      <c r="EF7" s="42" t="e">
        <f>IF(#REF!=0,"-",#REF!)</f>
        <v>#REF!</v>
      </c>
      <c r="EG7" s="119" t="e">
        <f>IF(#REF!=0,"-",#REF!)</f>
        <v>#REF!</v>
      </c>
      <c r="EH7" s="17" t="s">
        <v>115</v>
      </c>
      <c r="EI7" s="39" t="e">
        <f>IF(#REF!=0,"-",#REF!)</f>
        <v>#REF!</v>
      </c>
      <c r="EJ7" s="78" t="e">
        <f>IF(#REF!=0,"-",#REF!)</f>
        <v>#REF!</v>
      </c>
      <c r="EK7" s="78" t="e">
        <f>IF(#REF!=0,"-",#REF!)</f>
        <v>#REF!</v>
      </c>
      <c r="EL7" s="42" t="e">
        <f>IF(#REF!=0,"-",#REF!)</f>
        <v>#REF!</v>
      </c>
      <c r="EM7" s="42" t="e">
        <f>IF(#REF!=0,"-",#REF!)</f>
        <v>#REF!</v>
      </c>
      <c r="EN7" s="119" t="e">
        <f>IF(#REF!=0,"-",#REF!)</f>
        <v>#REF!</v>
      </c>
      <c r="ES7" s="69" t="e">
        <f t="shared" ca="1" si="0"/>
        <v>#REF!</v>
      </c>
      <c r="ET7" s="155" t="s">
        <v>83</v>
      </c>
      <c r="EU7" s="39" t="e">
        <f>IF(#REF!=0,"",#REF!)</f>
        <v>#REF!</v>
      </c>
      <c r="EV7" s="78" t="e">
        <f>IF(OR(#REF!=0,#REF!=""),"",#REF!)</f>
        <v>#REF!</v>
      </c>
      <c r="EW7" s="78" t="e">
        <f t="shared" si="2"/>
        <v>#REF!</v>
      </c>
      <c r="EX7" s="180"/>
      <c r="EY7" s="180"/>
      <c r="EZ7" s="119" t="e">
        <f>IF(#REF!=0,"",#REF!)</f>
        <v>#REF!</v>
      </c>
      <c r="FA7" s="155" t="s">
        <v>90</v>
      </c>
      <c r="FB7" s="39" t="e">
        <f>IF(#REF!=0,"",#REF!)</f>
        <v>#REF!</v>
      </c>
      <c r="FC7" s="78" t="e">
        <f>IF(OR(#REF!=0,#REF!=""),"",#REF!)</f>
        <v>#REF!</v>
      </c>
      <c r="FD7" s="78" t="e">
        <f t="shared" si="3"/>
        <v>#REF!</v>
      </c>
      <c r="FE7" s="180" t="s">
        <v>152</v>
      </c>
      <c r="FF7" s="180" t="s">
        <v>152</v>
      </c>
      <c r="FG7" s="119" t="e">
        <f>IF(#REF!=0,"-",#REF!)</f>
        <v>#REF!</v>
      </c>
      <c r="FH7" s="155" t="s">
        <v>89</v>
      </c>
      <c r="FI7" s="39" t="e">
        <f>IF(#REF!=0,"-",#REF!)</f>
        <v>#REF!</v>
      </c>
      <c r="FJ7" s="78" t="e">
        <f>IF(#REF!=0,"-",#REF!)</f>
        <v>#REF!</v>
      </c>
      <c r="FK7" s="78" t="e">
        <f>IF(#REF!=0,"-",#REF!)</f>
        <v>#REF!</v>
      </c>
      <c r="FL7" s="180" t="s">
        <v>152</v>
      </c>
      <c r="FM7" s="180" t="s">
        <v>152</v>
      </c>
      <c r="FN7" s="119" t="e">
        <f>IF(#REF!=0,"-",#REF!)</f>
        <v>#REF!</v>
      </c>
      <c r="FO7" s="155" t="s">
        <v>92</v>
      </c>
      <c r="FP7" s="39" t="e">
        <f>IF(#REF!=0,"-",#REF!)</f>
        <v>#REF!</v>
      </c>
      <c r="FQ7" s="78" t="e">
        <f>IF(#REF!=0,"-",#REF!)</f>
        <v>#REF!</v>
      </c>
      <c r="FR7" s="78" t="e">
        <f>IF(#REF!=0,"-",#REF!)</f>
        <v>#REF!</v>
      </c>
      <c r="FS7" s="180" t="s">
        <v>152</v>
      </c>
      <c r="FT7" s="180" t="s">
        <v>152</v>
      </c>
      <c r="FU7" s="230" t="e">
        <f>IF(#REF!=0,"-",#REF!)</f>
        <v>#REF!</v>
      </c>
    </row>
    <row r="8" spans="1:177" ht="33.75" customHeight="1" x14ac:dyDescent="0.2">
      <c r="A8" s="115" t="e">
        <f>#REF!</f>
        <v>#REF!</v>
      </c>
      <c r="B8" s="69" t="str">
        <f t="shared" si="1"/>
        <v>Country_code</v>
      </c>
      <c r="C8" s="116" t="e" cm="1">
        <f t="array" aca="1" ref="C8" ca="1">MID(CELL("filename",#REF!),FIND("]",CELL("filename",#REF!))+1,255)</f>
        <v>#REF!</v>
      </c>
      <c r="D8" s="43" t="e">
        <f>#REF!</f>
        <v>#REF!</v>
      </c>
      <c r="E8" s="152" t="e">
        <f>#REF!</f>
        <v>#REF!</v>
      </c>
      <c r="F8" s="39" t="e">
        <f>IF(#REF!=0,"-",#REF!)</f>
        <v>#REF!</v>
      </c>
      <c r="G8" s="78" t="e">
        <f>IF(#REF!=0,"-",#REF!)</f>
        <v>#REF!</v>
      </c>
      <c r="H8" s="78" t="e">
        <f>IF(#REF!=0,"-",#REF!)</f>
        <v>#REF!</v>
      </c>
      <c r="I8" s="42" t="e">
        <f>IF(#REF!=0,"-",#REF!)</f>
        <v>#REF!</v>
      </c>
      <c r="J8" s="42" t="e">
        <f>IF(#REF!=0,"-",#REF!)</f>
        <v>#REF!</v>
      </c>
      <c r="K8" s="119" t="e">
        <f>IF(#REF!=0,"-",#REF!)</f>
        <v>#REF!</v>
      </c>
      <c r="L8" s="17" t="s">
        <v>97</v>
      </c>
      <c r="M8" s="39" t="e">
        <f>IF(#REF!=0,"-",#REF!)</f>
        <v>#REF!</v>
      </c>
      <c r="N8" s="78" t="e">
        <f>IF(#REF!=0,"-",#REF!)</f>
        <v>#REF!</v>
      </c>
      <c r="O8" s="78" t="e">
        <f>IF(#REF!=0,"-",#REF!)</f>
        <v>#REF!</v>
      </c>
      <c r="P8" s="42" t="e">
        <f>IF(#REF!=0,"-",#REF!)</f>
        <v>#REF!</v>
      </c>
      <c r="Q8" s="42" t="e">
        <f>IF(#REF!=0,"-",#REF!)</f>
        <v>#REF!</v>
      </c>
      <c r="R8" s="119" t="e">
        <f>IF(#REF!=0,"-",#REF!)</f>
        <v>#REF!</v>
      </c>
      <c r="S8" s="17" t="s">
        <v>98</v>
      </c>
      <c r="T8" s="39" t="e">
        <f>IF(#REF!=0,"-",#REF!)</f>
        <v>#REF!</v>
      </c>
      <c r="U8" s="78" t="e">
        <f>IF(#REF!=0,"-",#REF!)</f>
        <v>#REF!</v>
      </c>
      <c r="V8" s="78" t="e">
        <f>IF(#REF!=0,"-",#REF!)</f>
        <v>#REF!</v>
      </c>
      <c r="W8" s="42" t="e">
        <f>IF(#REF!=0,"-",#REF!)</f>
        <v>#REF!</v>
      </c>
      <c r="X8" s="42" t="e">
        <f>IF(#REF!=0,"-",#REF!)</f>
        <v>#REF!</v>
      </c>
      <c r="Y8" s="119" t="e">
        <f>IF(#REF!=0,"-",#REF!)</f>
        <v>#REF!</v>
      </c>
      <c r="Z8" s="17" t="s">
        <v>99</v>
      </c>
      <c r="AA8" s="157" t="e">
        <f>IF(#REF!=0,"-",#REF!)</f>
        <v>#REF!</v>
      </c>
      <c r="AB8" s="78" t="e">
        <f>IF(#REF!=0,"-",#REF!)</f>
        <v>#REF!</v>
      </c>
      <c r="AC8" s="78" t="e">
        <f>IF(#REF!=0,"-",#REF!)</f>
        <v>#REF!</v>
      </c>
      <c r="AD8" s="42" t="e">
        <f>IF(#REF!=0,"-",#REF!)</f>
        <v>#REF!</v>
      </c>
      <c r="AE8" s="42" t="e">
        <f>IF(#REF!=0,"-",#REF!)</f>
        <v>#REF!</v>
      </c>
      <c r="AF8" s="119" t="e">
        <f>IF(#REF!=0,"-",#REF!)</f>
        <v>#REF!</v>
      </c>
      <c r="AG8" s="17" t="s">
        <v>100</v>
      </c>
      <c r="AH8" s="39" t="e">
        <f>IF(#REF!=0,"-",#REF!)</f>
        <v>#REF!</v>
      </c>
      <c r="AI8" s="78" t="e">
        <f>IF(#REF!=0,"-",#REF!)</f>
        <v>#REF!</v>
      </c>
      <c r="AJ8" s="78" t="e">
        <f>IF(#REF!=0,"-",#REF!)</f>
        <v>#REF!</v>
      </c>
      <c r="AK8" s="42" t="e">
        <f>IF(#REF!=0,"-",#REF!)</f>
        <v>#REF!</v>
      </c>
      <c r="AL8" s="42" t="e">
        <f>IF(#REF!=0,"-",#REF!)</f>
        <v>#REF!</v>
      </c>
      <c r="AM8" s="119" t="e">
        <f>IF(#REF!=0,"-",#REF!)</f>
        <v>#REF!</v>
      </c>
      <c r="AN8" s="17" t="s">
        <v>101</v>
      </c>
      <c r="AO8" s="39" t="e">
        <f>IF(#REF!=0,"-",#REF!)</f>
        <v>#REF!</v>
      </c>
      <c r="AP8" s="78" t="e">
        <f>IF(#REF!=0,"-",#REF!)</f>
        <v>#REF!</v>
      </c>
      <c r="AQ8" s="78" t="e">
        <f>IF(#REF!=0,"-",#REF!)</f>
        <v>#REF!</v>
      </c>
      <c r="AR8" s="42" t="e">
        <f>IF(#REF!=0,"-",#REF!)</f>
        <v>#REF!</v>
      </c>
      <c r="AS8" s="42" t="e">
        <f>IF(#REF!=0,"-",#REF!)</f>
        <v>#REF!</v>
      </c>
      <c r="AT8" s="119" t="e">
        <f>IF(#REF!=0,"-",#REF!)</f>
        <v>#REF!</v>
      </c>
      <c r="AU8" s="17" t="s">
        <v>102</v>
      </c>
      <c r="AV8" s="39" t="e">
        <f>IF(#REF!=0,"-",#REF!)</f>
        <v>#REF!</v>
      </c>
      <c r="AW8" s="78" t="e">
        <f>IF(#REF!=0,"-",#REF!)</f>
        <v>#REF!</v>
      </c>
      <c r="AX8" s="78" t="e">
        <f>IF(#REF!=0,"-",#REF!)</f>
        <v>#REF!</v>
      </c>
      <c r="AY8" s="42" t="e">
        <f>IF(#REF!=0,"-",#REF!)</f>
        <v>#REF!</v>
      </c>
      <c r="AZ8" s="42" t="e">
        <f>IF(#REF!=0,"-",#REF!)</f>
        <v>#REF!</v>
      </c>
      <c r="BA8" s="119" t="e">
        <f>IF(#REF!=0,"-",#REF!)</f>
        <v>#REF!</v>
      </c>
      <c r="BB8" s="17" t="s">
        <v>103</v>
      </c>
      <c r="BC8" s="39" t="e">
        <f>IF(#REF!=0,"-",#REF!)</f>
        <v>#REF!</v>
      </c>
      <c r="BD8" s="78" t="e">
        <f>IF(#REF!=0,"-",#REF!)</f>
        <v>#REF!</v>
      </c>
      <c r="BE8" s="78" t="e">
        <f>IF(#REF!=0,"-",#REF!)</f>
        <v>#REF!</v>
      </c>
      <c r="BF8" s="42" t="e">
        <f>IF(#REF!=0,"-",#REF!)</f>
        <v>#REF!</v>
      </c>
      <c r="BG8" s="42" t="e">
        <f>IF(#REF!=0,"-",#REF!)</f>
        <v>#REF!</v>
      </c>
      <c r="BH8" s="119" t="e">
        <f>IF(#REF!=0,"-",#REF!)</f>
        <v>#REF!</v>
      </c>
      <c r="BI8" s="17" t="s">
        <v>104</v>
      </c>
      <c r="BJ8" s="39" t="e">
        <f>IF(#REF!=0,"-",#REF!)</f>
        <v>#REF!</v>
      </c>
      <c r="BK8" s="78" t="e">
        <f>IF(#REF!=0,"-",#REF!)</f>
        <v>#REF!</v>
      </c>
      <c r="BL8" s="78" t="e">
        <f>IF(#REF!=0,"-",#REF!)</f>
        <v>#REF!</v>
      </c>
      <c r="BM8" s="42" t="e">
        <f>IF(#REF!=0,"-",#REF!)</f>
        <v>#REF!</v>
      </c>
      <c r="BN8" s="42" t="e">
        <f>IF(#REF!=0,"-",#REF!)</f>
        <v>#REF!</v>
      </c>
      <c r="BO8" s="119" t="e">
        <f>IF(#REF!=0,"-",#REF!)</f>
        <v>#REF!</v>
      </c>
      <c r="BP8" s="17" t="s">
        <v>105</v>
      </c>
      <c r="BQ8" s="39" t="e">
        <f>IF(#REF!=0,"-",#REF!)</f>
        <v>#REF!</v>
      </c>
      <c r="BR8" s="78" t="e">
        <f>IF(#REF!="-",0,#REF!)</f>
        <v>#REF!</v>
      </c>
      <c r="BS8" s="78" t="e">
        <f>IF(#REF!=0,"-",#REF!)</f>
        <v>#REF!</v>
      </c>
      <c r="BT8" s="42" t="e">
        <f>IF(#REF!=0,"-",#REF!)</f>
        <v>#REF!</v>
      </c>
      <c r="BU8" s="42" t="e">
        <f>IF(#REF!=0,"-",#REF!)</f>
        <v>#REF!</v>
      </c>
      <c r="BV8" s="119" t="e">
        <f>IF(#REF!=0,"-",#REF!)</f>
        <v>#REF!</v>
      </c>
      <c r="BW8" s="17" t="s">
        <v>106</v>
      </c>
      <c r="BX8" s="39" t="e">
        <f>IF(#REF!=0,"-",#REF!)</f>
        <v>#REF!</v>
      </c>
      <c r="BY8" s="78" t="e">
        <f>IF(#REF!=0,"-",#REF!)</f>
        <v>#REF!</v>
      </c>
      <c r="BZ8" s="78" t="e">
        <f>IF(#REF!=0,"-",#REF!)</f>
        <v>#REF!</v>
      </c>
      <c r="CA8" s="42" t="e">
        <f>IF(#REF!=0,"-",#REF!)</f>
        <v>#REF!</v>
      </c>
      <c r="CB8" s="42" t="e">
        <f>IF(#REF!=0,"-",#REF!)</f>
        <v>#REF!</v>
      </c>
      <c r="CC8" s="119" t="e">
        <f>IF(#REF!=0,"-",#REF!)</f>
        <v>#REF!</v>
      </c>
      <c r="CD8" s="17" t="s">
        <v>107</v>
      </c>
      <c r="CE8" s="39" t="e">
        <f>IF(#REF!=0,"-",#REF!)</f>
        <v>#REF!</v>
      </c>
      <c r="CF8" s="78" t="e">
        <f>IF(#REF!=0,"-",#REF!)</f>
        <v>#REF!</v>
      </c>
      <c r="CG8" s="78" t="e">
        <f>IF(#REF!=0,"-",#REF!)</f>
        <v>#REF!</v>
      </c>
      <c r="CH8" s="42" t="e">
        <f>IF(#REF!=0,"-",#REF!)</f>
        <v>#REF!</v>
      </c>
      <c r="CI8" s="42" t="e">
        <f>IF(#REF!=0,"-",#REF!)</f>
        <v>#REF!</v>
      </c>
      <c r="CJ8" s="119" t="e">
        <f>IF(#REF!=0,"-",#REF!)</f>
        <v>#REF!</v>
      </c>
      <c r="CK8" s="17" t="s">
        <v>108</v>
      </c>
      <c r="CL8" s="39" t="e">
        <f>IF(#REF!=0,"-",#REF!)</f>
        <v>#REF!</v>
      </c>
      <c r="CM8" s="78" t="e">
        <f>IF(#REF!=0,"-",#REF!)</f>
        <v>#REF!</v>
      </c>
      <c r="CN8" s="78" t="e">
        <f>IF(#REF!=0,"-",#REF!)</f>
        <v>#REF!</v>
      </c>
      <c r="CO8" s="42" t="e">
        <f>IF(#REF!=0,"-",#REF!)</f>
        <v>#REF!</v>
      </c>
      <c r="CP8" s="42" t="e">
        <f>IF(#REF!=0,"-",#REF!)</f>
        <v>#REF!</v>
      </c>
      <c r="CQ8" s="119" t="e">
        <f>IF(#REF!=0,"-",#REF!)</f>
        <v>#REF!</v>
      </c>
      <c r="CR8" s="17" t="s">
        <v>109</v>
      </c>
      <c r="CS8" s="39" t="e">
        <f>IF(#REF!=0,"-",#REF!)</f>
        <v>#REF!</v>
      </c>
      <c r="CT8" s="78" t="e">
        <f>IF(#REF!=0,"-",#REF!)</f>
        <v>#REF!</v>
      </c>
      <c r="CU8" s="78" t="e">
        <f>IF(#REF!=0,"-",#REF!)</f>
        <v>#REF!</v>
      </c>
      <c r="CV8" s="42" t="e">
        <f>IF(#REF!=0,"-",#REF!)</f>
        <v>#REF!</v>
      </c>
      <c r="CW8" s="42" t="e">
        <f>IF(#REF!=0,"-",#REF!)</f>
        <v>#REF!</v>
      </c>
      <c r="CX8" s="119" t="e">
        <f>IF(#REF!=0,"-",#REF!)</f>
        <v>#REF!</v>
      </c>
      <c r="CY8" s="17" t="s">
        <v>110</v>
      </c>
      <c r="CZ8" s="39" t="e">
        <f>IF(#REF!=0,"-",#REF!)</f>
        <v>#REF!</v>
      </c>
      <c r="DA8" s="78" t="e">
        <f>IF(#REF!=0,"-",#REF!)</f>
        <v>#REF!</v>
      </c>
      <c r="DB8" s="78" t="e">
        <f>IF(#REF!=0,"-",#REF!)</f>
        <v>#REF!</v>
      </c>
      <c r="DC8" s="42" t="e">
        <f>IF(#REF!=0,"-",#REF!)</f>
        <v>#REF!</v>
      </c>
      <c r="DD8" s="42" t="e">
        <f>IF(#REF!=0,"-",#REF!)</f>
        <v>#REF!</v>
      </c>
      <c r="DE8" s="119" t="e">
        <f>IF(#REF!=0,"-",#REF!)</f>
        <v>#REF!</v>
      </c>
      <c r="DF8" s="17" t="s">
        <v>111</v>
      </c>
      <c r="DG8" s="39" t="e">
        <f>IF(#REF!=0,"-",#REF!)</f>
        <v>#REF!</v>
      </c>
      <c r="DH8" s="78" t="e">
        <f>IF(#REF!=0,"-",#REF!)</f>
        <v>#REF!</v>
      </c>
      <c r="DI8" s="78" t="e">
        <f>IF(#REF!=0,"-",#REF!)</f>
        <v>#REF!</v>
      </c>
      <c r="DJ8" s="42" t="e">
        <f>IF(#REF!=0,"-",#REF!)</f>
        <v>#REF!</v>
      </c>
      <c r="DK8" s="42" t="e">
        <f>IF(#REF!=0,"-",#REF!)</f>
        <v>#REF!</v>
      </c>
      <c r="DL8" s="119" t="e">
        <f>IF(#REF!=0,"-",#REF!)</f>
        <v>#REF!</v>
      </c>
      <c r="DM8" s="17" t="s">
        <v>112</v>
      </c>
      <c r="DN8" s="39" t="e">
        <f>IF(#REF!=0,"-",#REF!)</f>
        <v>#REF!</v>
      </c>
      <c r="DO8" s="78" t="e">
        <f>IF(#REF!=0,"-",#REF!)</f>
        <v>#REF!</v>
      </c>
      <c r="DP8" s="78" t="e">
        <f>IF(#REF!=0,"-",#REF!)</f>
        <v>#REF!</v>
      </c>
      <c r="DQ8" s="42" t="e">
        <f>IF(#REF!=0,"-",#REF!)</f>
        <v>#REF!</v>
      </c>
      <c r="DR8" s="42" t="e">
        <f>IF(#REF!=0,"-",#REF!)</f>
        <v>#REF!</v>
      </c>
      <c r="DS8" s="119" t="e">
        <f>IF(#REF!=0,"-",#REF!)</f>
        <v>#REF!</v>
      </c>
      <c r="DT8" s="17" t="s">
        <v>113</v>
      </c>
      <c r="DU8" s="39" t="e">
        <f>IF(#REF!=0,"-",#REF!)</f>
        <v>#REF!</v>
      </c>
      <c r="DV8" s="78" t="e">
        <f>IF(#REF!=0,"-",#REF!)</f>
        <v>#REF!</v>
      </c>
      <c r="DW8" s="78" t="e">
        <f>IF(#REF!=0,"-",#REF!)</f>
        <v>#REF!</v>
      </c>
      <c r="DX8" s="42" t="e">
        <f>IF(#REF!=0,"-",#REF!)</f>
        <v>#REF!</v>
      </c>
      <c r="DY8" s="42" t="e">
        <f>IF(#REF!=0,"-",#REF!)</f>
        <v>#REF!</v>
      </c>
      <c r="DZ8" s="119" t="e">
        <f>IF(#REF!=0,"-",#REF!)</f>
        <v>#REF!</v>
      </c>
      <c r="EA8" s="17" t="s">
        <v>114</v>
      </c>
      <c r="EB8" s="39" t="e">
        <f>IF(#REF!=0,"-",#REF!)</f>
        <v>#REF!</v>
      </c>
      <c r="EC8" s="78" t="e">
        <f>IF(#REF!=0,"-",#REF!)</f>
        <v>#REF!</v>
      </c>
      <c r="ED8" s="78" t="e">
        <f>IF(#REF!=0,"-",#REF!)</f>
        <v>#REF!</v>
      </c>
      <c r="EE8" s="42" t="e">
        <f>IF(#REF!=0,"-",#REF!)</f>
        <v>#REF!</v>
      </c>
      <c r="EF8" s="42" t="e">
        <f>IF(#REF!=0,"-",#REF!)</f>
        <v>#REF!</v>
      </c>
      <c r="EG8" s="119" t="e">
        <f>IF(#REF!=0,"-",#REF!)</f>
        <v>#REF!</v>
      </c>
      <c r="EH8" s="17" t="s">
        <v>115</v>
      </c>
      <c r="EI8" s="39" t="e">
        <f>IF(#REF!=0,"-",#REF!)</f>
        <v>#REF!</v>
      </c>
      <c r="EJ8" s="78" t="e">
        <f>IF(#REF!=0,"-",#REF!)</f>
        <v>#REF!</v>
      </c>
      <c r="EK8" s="78" t="e">
        <f>IF(#REF!=0,"-",#REF!)</f>
        <v>#REF!</v>
      </c>
      <c r="EL8" s="42" t="e">
        <f>IF(#REF!=0,"-",#REF!)</f>
        <v>#REF!</v>
      </c>
      <c r="EM8" s="42" t="e">
        <f>IF(#REF!=0,"-",#REF!)</f>
        <v>#REF!</v>
      </c>
      <c r="EN8" s="119" t="e">
        <f>IF(#REF!=0,"-",#REF!)</f>
        <v>#REF!</v>
      </c>
      <c r="ES8" s="69" t="e">
        <f t="shared" ca="1" si="0"/>
        <v>#REF!</v>
      </c>
      <c r="ET8" s="155" t="s">
        <v>83</v>
      </c>
      <c r="EU8" s="39" t="e">
        <f>IF(#REF!=0,"",#REF!)</f>
        <v>#REF!</v>
      </c>
      <c r="EV8" s="78" t="e">
        <f>IF(OR(#REF!=0,#REF!=""),"",#REF!)</f>
        <v>#REF!</v>
      </c>
      <c r="EW8" s="78" t="e">
        <f t="shared" si="2"/>
        <v>#REF!</v>
      </c>
      <c r="EX8" s="180"/>
      <c r="EY8" s="180"/>
      <c r="EZ8" s="119" t="e">
        <f>IF(#REF!=0,"",#REF!)</f>
        <v>#REF!</v>
      </c>
      <c r="FA8" s="155" t="s">
        <v>90</v>
      </c>
      <c r="FB8" s="39" t="e">
        <f>IF(#REF!=0,"",#REF!)</f>
        <v>#REF!</v>
      </c>
      <c r="FC8" s="78" t="e">
        <f>IF(OR(#REF!=0,#REF!=""),"",#REF!)</f>
        <v>#REF!</v>
      </c>
      <c r="FD8" s="78" t="e">
        <f t="shared" si="3"/>
        <v>#REF!</v>
      </c>
      <c r="FE8" s="180" t="s">
        <v>152</v>
      </c>
      <c r="FF8" s="180" t="s">
        <v>152</v>
      </c>
      <c r="FG8" s="119" t="e">
        <f>IF(#REF!=0,"-",#REF!)</f>
        <v>#REF!</v>
      </c>
      <c r="FH8" s="155" t="s">
        <v>89</v>
      </c>
      <c r="FI8" s="39" t="e">
        <f>IF(#REF!=0,"-",#REF!)</f>
        <v>#REF!</v>
      </c>
      <c r="FJ8" s="78" t="e">
        <f>IF(#REF!=0,"-",#REF!)</f>
        <v>#REF!</v>
      </c>
      <c r="FK8" s="78" t="e">
        <f>IF(#REF!=0,"-",#REF!)</f>
        <v>#REF!</v>
      </c>
      <c r="FL8" s="180" t="s">
        <v>152</v>
      </c>
      <c r="FM8" s="180" t="s">
        <v>152</v>
      </c>
      <c r="FN8" s="119" t="e">
        <f>IF(#REF!=0,"-",#REF!)</f>
        <v>#REF!</v>
      </c>
      <c r="FO8" s="155" t="s">
        <v>92</v>
      </c>
      <c r="FP8" s="39" t="e">
        <f>IF(#REF!=0,"-",#REF!)</f>
        <v>#REF!</v>
      </c>
      <c r="FQ8" s="78" t="e">
        <f>IF(#REF!=0,"-",#REF!)</f>
        <v>#REF!</v>
      </c>
      <c r="FR8" s="78" t="e">
        <f>IF(#REF!=0,"-",#REF!)</f>
        <v>#REF!</v>
      </c>
      <c r="FS8" s="180" t="s">
        <v>152</v>
      </c>
      <c r="FT8" s="180" t="s">
        <v>152</v>
      </c>
      <c r="FU8" s="230" t="e">
        <f>IF(#REF!=0,"-",#REF!)</f>
        <v>#REF!</v>
      </c>
    </row>
    <row r="9" spans="1:177" ht="33.75" customHeight="1" x14ac:dyDescent="0.2">
      <c r="A9" s="115" t="e">
        <f>#REF!</f>
        <v>#REF!</v>
      </c>
      <c r="B9" s="69" t="str">
        <f t="shared" si="1"/>
        <v>Country_code</v>
      </c>
      <c r="C9" s="116" t="e" cm="1">
        <f t="array" aca="1" ref="C9" ca="1">MID(CELL("filename",#REF!),FIND("]",CELL("filename",#REF!))+1,255)</f>
        <v>#REF!</v>
      </c>
      <c r="D9" s="43" t="e">
        <f>#REF!</f>
        <v>#REF!</v>
      </c>
      <c r="E9" s="152" t="e">
        <f>#REF!</f>
        <v>#REF!</v>
      </c>
      <c r="F9" s="39" t="e">
        <f>IF(#REF!=0,"-",#REF!)</f>
        <v>#REF!</v>
      </c>
      <c r="G9" s="78" t="e">
        <f>IF(#REF!=0,"-",#REF!)</f>
        <v>#REF!</v>
      </c>
      <c r="H9" s="78" t="e">
        <f>IF(#REF!=0,"-",#REF!)</f>
        <v>#REF!</v>
      </c>
      <c r="I9" s="42" t="e">
        <f>IF(#REF!=0,"-",#REF!)</f>
        <v>#REF!</v>
      </c>
      <c r="J9" s="42" t="e">
        <f>IF(#REF!=0,"-",#REF!)</f>
        <v>#REF!</v>
      </c>
      <c r="K9" s="119" t="e">
        <f>IF(#REF!=0,"-",#REF!)</f>
        <v>#REF!</v>
      </c>
      <c r="L9" s="17" t="s">
        <v>97</v>
      </c>
      <c r="M9" s="39" t="e">
        <f>IF(#REF!=0,"-",#REF!)</f>
        <v>#REF!</v>
      </c>
      <c r="N9" s="78" t="e">
        <f>IF(#REF!=0,"-",#REF!)</f>
        <v>#REF!</v>
      </c>
      <c r="O9" s="78" t="e">
        <f>IF(#REF!=0,"-",#REF!)</f>
        <v>#REF!</v>
      </c>
      <c r="P9" s="42" t="e">
        <f>IF(#REF!=0,"-",#REF!)</f>
        <v>#REF!</v>
      </c>
      <c r="Q9" s="42" t="e">
        <f>IF(#REF!=0,"-",#REF!)</f>
        <v>#REF!</v>
      </c>
      <c r="R9" s="119" t="e">
        <f>IF(#REF!=0,"-",#REF!)</f>
        <v>#REF!</v>
      </c>
      <c r="S9" s="17" t="s">
        <v>98</v>
      </c>
      <c r="T9" s="39" t="e">
        <f>IF(#REF!=0,"-",#REF!)</f>
        <v>#REF!</v>
      </c>
      <c r="U9" s="78" t="e">
        <f>IF(#REF!=0,"-",#REF!)</f>
        <v>#REF!</v>
      </c>
      <c r="V9" s="78" t="e">
        <f>IF(#REF!=0,"-",#REF!)</f>
        <v>#REF!</v>
      </c>
      <c r="W9" s="42" t="e">
        <f>IF(#REF!=0,"-",#REF!)</f>
        <v>#REF!</v>
      </c>
      <c r="X9" s="42" t="e">
        <f>IF(#REF!=0,"-",#REF!)</f>
        <v>#REF!</v>
      </c>
      <c r="Y9" s="119" t="e">
        <f>IF(#REF!=0,"-",#REF!)</f>
        <v>#REF!</v>
      </c>
      <c r="Z9" s="17" t="s">
        <v>99</v>
      </c>
      <c r="AA9" s="157" t="e">
        <f>IF(#REF!=0,"-",#REF!)</f>
        <v>#REF!</v>
      </c>
      <c r="AB9" s="78" t="e">
        <f>IF(#REF!=0,"-",#REF!)</f>
        <v>#REF!</v>
      </c>
      <c r="AC9" s="78" t="e">
        <f>IF(#REF!=0,"-",#REF!)</f>
        <v>#REF!</v>
      </c>
      <c r="AD9" s="42" t="e">
        <f>IF(#REF!=0,"-",#REF!)</f>
        <v>#REF!</v>
      </c>
      <c r="AE9" s="42" t="e">
        <f>IF(#REF!=0,"-",#REF!)</f>
        <v>#REF!</v>
      </c>
      <c r="AF9" s="119" t="e">
        <f>IF(#REF!=0,"-",#REF!)</f>
        <v>#REF!</v>
      </c>
      <c r="AG9" s="17" t="s">
        <v>100</v>
      </c>
      <c r="AH9" s="39" t="e">
        <f>IF(#REF!=0,"-",#REF!)</f>
        <v>#REF!</v>
      </c>
      <c r="AI9" s="78" t="e">
        <f>IF(#REF!=0,"-",#REF!)</f>
        <v>#REF!</v>
      </c>
      <c r="AJ9" s="78" t="e">
        <f>IF(#REF!=0,"-",#REF!)</f>
        <v>#REF!</v>
      </c>
      <c r="AK9" s="42" t="e">
        <f>IF(#REF!=0,"-",#REF!)</f>
        <v>#REF!</v>
      </c>
      <c r="AL9" s="42" t="e">
        <f>IF(#REF!=0,"-",#REF!)</f>
        <v>#REF!</v>
      </c>
      <c r="AM9" s="119" t="e">
        <f>IF(#REF!=0,"-",#REF!)</f>
        <v>#REF!</v>
      </c>
      <c r="AN9" s="17" t="s">
        <v>101</v>
      </c>
      <c r="AO9" s="39" t="e">
        <f>IF(#REF!=0,"-",#REF!)</f>
        <v>#REF!</v>
      </c>
      <c r="AP9" s="78" t="e">
        <f>IF(#REF!=0,"-",#REF!)</f>
        <v>#REF!</v>
      </c>
      <c r="AQ9" s="78" t="e">
        <f>IF(#REF!=0,"-",#REF!)</f>
        <v>#REF!</v>
      </c>
      <c r="AR9" s="42" t="e">
        <f>IF(#REF!=0,"-",#REF!)</f>
        <v>#REF!</v>
      </c>
      <c r="AS9" s="42" t="e">
        <f>IF(#REF!=0,"-",#REF!)</f>
        <v>#REF!</v>
      </c>
      <c r="AT9" s="119" t="e">
        <f>IF(#REF!=0,"-",#REF!)</f>
        <v>#REF!</v>
      </c>
      <c r="AU9" s="17" t="s">
        <v>102</v>
      </c>
      <c r="AV9" s="39" t="e">
        <f>IF(#REF!=0,"-",#REF!)</f>
        <v>#REF!</v>
      </c>
      <c r="AW9" s="78" t="e">
        <f>IF(#REF!=0,"-",#REF!)</f>
        <v>#REF!</v>
      </c>
      <c r="AX9" s="78" t="e">
        <f>IF(#REF!=0,"-",#REF!)</f>
        <v>#REF!</v>
      </c>
      <c r="AY9" s="42" t="e">
        <f>IF(#REF!=0,"-",#REF!)</f>
        <v>#REF!</v>
      </c>
      <c r="AZ9" s="42" t="e">
        <f>IF(#REF!=0,"-",#REF!)</f>
        <v>#REF!</v>
      </c>
      <c r="BA9" s="119" t="e">
        <f>IF(#REF!=0,"-",#REF!)</f>
        <v>#REF!</v>
      </c>
      <c r="BB9" s="17" t="s">
        <v>103</v>
      </c>
      <c r="BC9" s="39" t="e">
        <f>IF(#REF!=0,"-",#REF!)</f>
        <v>#REF!</v>
      </c>
      <c r="BD9" s="78" t="e">
        <f>IF(#REF!=0,"-",#REF!)</f>
        <v>#REF!</v>
      </c>
      <c r="BE9" s="78" t="e">
        <f>IF(#REF!=0,"-",#REF!)</f>
        <v>#REF!</v>
      </c>
      <c r="BF9" s="42" t="e">
        <f>IF(#REF!=0,"-",#REF!)</f>
        <v>#REF!</v>
      </c>
      <c r="BG9" s="42" t="e">
        <f>IF(#REF!=0,"-",#REF!)</f>
        <v>#REF!</v>
      </c>
      <c r="BH9" s="119" t="e">
        <f>IF(#REF!=0,"-",#REF!)</f>
        <v>#REF!</v>
      </c>
      <c r="BI9" s="17" t="s">
        <v>104</v>
      </c>
      <c r="BJ9" s="39" t="e">
        <f>IF(#REF!=0,"-",#REF!)</f>
        <v>#REF!</v>
      </c>
      <c r="BK9" s="78" t="e">
        <f>IF(#REF!=0,"-",#REF!)</f>
        <v>#REF!</v>
      </c>
      <c r="BL9" s="78" t="e">
        <f>IF(#REF!=0,"-",#REF!)</f>
        <v>#REF!</v>
      </c>
      <c r="BM9" s="42" t="e">
        <f>IF(#REF!=0,"-",#REF!)</f>
        <v>#REF!</v>
      </c>
      <c r="BN9" s="42" t="e">
        <f>IF(#REF!=0,"-",#REF!)</f>
        <v>#REF!</v>
      </c>
      <c r="BO9" s="119" t="e">
        <f>IF(#REF!=0,"-",#REF!)</f>
        <v>#REF!</v>
      </c>
      <c r="BP9" s="17" t="s">
        <v>105</v>
      </c>
      <c r="BQ9" s="39" t="e">
        <f>IF(#REF!=0,"-",#REF!)</f>
        <v>#REF!</v>
      </c>
      <c r="BR9" s="78" t="e">
        <f>IF(#REF!="-",0,#REF!)</f>
        <v>#REF!</v>
      </c>
      <c r="BS9" s="78" t="e">
        <f>IF(#REF!=0,"-",#REF!)</f>
        <v>#REF!</v>
      </c>
      <c r="BT9" s="42" t="e">
        <f>IF(#REF!=0,"-",#REF!)</f>
        <v>#REF!</v>
      </c>
      <c r="BU9" s="42" t="e">
        <f>IF(#REF!=0,"-",#REF!)</f>
        <v>#REF!</v>
      </c>
      <c r="BV9" s="119" t="e">
        <f>IF(#REF!=0,"-",#REF!)</f>
        <v>#REF!</v>
      </c>
      <c r="BW9" s="17" t="s">
        <v>106</v>
      </c>
      <c r="BX9" s="39" t="e">
        <f>IF(#REF!=0,"-",#REF!)</f>
        <v>#REF!</v>
      </c>
      <c r="BY9" s="78" t="e">
        <f>IF(#REF!=0,"-",#REF!)</f>
        <v>#REF!</v>
      </c>
      <c r="BZ9" s="78" t="e">
        <f>IF(#REF!=0,"-",#REF!)</f>
        <v>#REF!</v>
      </c>
      <c r="CA9" s="42" t="e">
        <f>IF(#REF!=0,"-",#REF!)</f>
        <v>#REF!</v>
      </c>
      <c r="CB9" s="42" t="e">
        <f>IF(#REF!=0,"-",#REF!)</f>
        <v>#REF!</v>
      </c>
      <c r="CC9" s="119" t="e">
        <f>IF(#REF!=0,"-",#REF!)</f>
        <v>#REF!</v>
      </c>
      <c r="CD9" s="17" t="s">
        <v>107</v>
      </c>
      <c r="CE9" s="39" t="e">
        <f>IF(#REF!=0,"-",#REF!)</f>
        <v>#REF!</v>
      </c>
      <c r="CF9" s="78" t="e">
        <f>IF(#REF!=0,"-",#REF!)</f>
        <v>#REF!</v>
      </c>
      <c r="CG9" s="78" t="e">
        <f>IF(#REF!=0,"-",#REF!)</f>
        <v>#REF!</v>
      </c>
      <c r="CH9" s="42" t="e">
        <f>IF(#REF!=0,"-",#REF!)</f>
        <v>#REF!</v>
      </c>
      <c r="CI9" s="42" t="e">
        <f>IF(#REF!=0,"-",#REF!)</f>
        <v>#REF!</v>
      </c>
      <c r="CJ9" s="119" t="e">
        <f>IF(#REF!=0,"-",#REF!)</f>
        <v>#REF!</v>
      </c>
      <c r="CK9" s="17" t="s">
        <v>108</v>
      </c>
      <c r="CL9" s="39" t="e">
        <f>IF(#REF!=0,"-",#REF!)</f>
        <v>#REF!</v>
      </c>
      <c r="CM9" s="78" t="e">
        <f>IF(#REF!=0,"-",#REF!)</f>
        <v>#REF!</v>
      </c>
      <c r="CN9" s="78" t="e">
        <f>IF(#REF!=0,"-",#REF!)</f>
        <v>#REF!</v>
      </c>
      <c r="CO9" s="42" t="e">
        <f>IF(#REF!=0,"-",#REF!)</f>
        <v>#REF!</v>
      </c>
      <c r="CP9" s="42" t="e">
        <f>IF(#REF!=0,"-",#REF!)</f>
        <v>#REF!</v>
      </c>
      <c r="CQ9" s="119" t="e">
        <f>IF(#REF!=0,"-",#REF!)</f>
        <v>#REF!</v>
      </c>
      <c r="CR9" s="17" t="s">
        <v>109</v>
      </c>
      <c r="CS9" s="39" t="e">
        <f>IF(#REF!=0,"-",#REF!)</f>
        <v>#REF!</v>
      </c>
      <c r="CT9" s="78" t="e">
        <f>IF(#REF!=0,"-",#REF!)</f>
        <v>#REF!</v>
      </c>
      <c r="CU9" s="78" t="e">
        <f>IF(#REF!=0,"-",#REF!)</f>
        <v>#REF!</v>
      </c>
      <c r="CV9" s="42" t="e">
        <f>IF(#REF!=0,"-",#REF!)</f>
        <v>#REF!</v>
      </c>
      <c r="CW9" s="42" t="e">
        <f>IF(#REF!=0,"-",#REF!)</f>
        <v>#REF!</v>
      </c>
      <c r="CX9" s="119" t="e">
        <f>IF(#REF!=0,"-",#REF!)</f>
        <v>#REF!</v>
      </c>
      <c r="CY9" s="17" t="s">
        <v>110</v>
      </c>
      <c r="CZ9" s="39" t="e">
        <f>IF(#REF!=0,"-",#REF!)</f>
        <v>#REF!</v>
      </c>
      <c r="DA9" s="78" t="e">
        <f>IF(#REF!=0,"-",#REF!)</f>
        <v>#REF!</v>
      </c>
      <c r="DB9" s="78" t="e">
        <f>IF(#REF!=0,"-",#REF!)</f>
        <v>#REF!</v>
      </c>
      <c r="DC9" s="42" t="e">
        <f>IF(#REF!=0,"-",#REF!)</f>
        <v>#REF!</v>
      </c>
      <c r="DD9" s="42" t="e">
        <f>IF(#REF!=0,"-",#REF!)</f>
        <v>#REF!</v>
      </c>
      <c r="DE9" s="119" t="e">
        <f>IF(#REF!=0,"-",#REF!)</f>
        <v>#REF!</v>
      </c>
      <c r="DF9" s="17" t="s">
        <v>111</v>
      </c>
      <c r="DG9" s="39" t="e">
        <f>IF(#REF!=0,"-",#REF!)</f>
        <v>#REF!</v>
      </c>
      <c r="DH9" s="78" t="e">
        <f>IF(#REF!=0,"-",#REF!)</f>
        <v>#REF!</v>
      </c>
      <c r="DI9" s="78" t="e">
        <f>IF(#REF!=0,"-",#REF!)</f>
        <v>#REF!</v>
      </c>
      <c r="DJ9" s="42" t="e">
        <f>IF(#REF!=0,"-",#REF!)</f>
        <v>#REF!</v>
      </c>
      <c r="DK9" s="42" t="e">
        <f>IF(#REF!=0,"-",#REF!)</f>
        <v>#REF!</v>
      </c>
      <c r="DL9" s="119" t="e">
        <f>IF(#REF!=0,"-",#REF!)</f>
        <v>#REF!</v>
      </c>
      <c r="DM9" s="17" t="s">
        <v>112</v>
      </c>
      <c r="DN9" s="39" t="e">
        <f>IF(#REF!=0,"-",#REF!)</f>
        <v>#REF!</v>
      </c>
      <c r="DO9" s="78" t="e">
        <f>IF(#REF!=0,"-",#REF!)</f>
        <v>#REF!</v>
      </c>
      <c r="DP9" s="78" t="e">
        <f>IF(#REF!=0,"-",#REF!)</f>
        <v>#REF!</v>
      </c>
      <c r="DQ9" s="42" t="e">
        <f>IF(#REF!=0,"-",#REF!)</f>
        <v>#REF!</v>
      </c>
      <c r="DR9" s="42" t="e">
        <f>IF(#REF!=0,"-",#REF!)</f>
        <v>#REF!</v>
      </c>
      <c r="DS9" s="119" t="e">
        <f>IF(#REF!=0,"-",#REF!)</f>
        <v>#REF!</v>
      </c>
      <c r="DT9" s="17" t="s">
        <v>113</v>
      </c>
      <c r="DU9" s="39" t="e">
        <f>IF(#REF!=0,"-",#REF!)</f>
        <v>#REF!</v>
      </c>
      <c r="DV9" s="78" t="e">
        <f>IF(#REF!=0,"-",#REF!)</f>
        <v>#REF!</v>
      </c>
      <c r="DW9" s="78" t="e">
        <f>IF(#REF!=0,"-",#REF!)</f>
        <v>#REF!</v>
      </c>
      <c r="DX9" s="42" t="e">
        <f>IF(#REF!=0,"-",#REF!)</f>
        <v>#REF!</v>
      </c>
      <c r="DY9" s="42" t="e">
        <f>IF(#REF!=0,"-",#REF!)</f>
        <v>#REF!</v>
      </c>
      <c r="DZ9" s="119" t="e">
        <f>IF(#REF!=0,"-",#REF!)</f>
        <v>#REF!</v>
      </c>
      <c r="EA9" s="17" t="s">
        <v>114</v>
      </c>
      <c r="EB9" s="39" t="e">
        <f>IF(#REF!=0,"-",#REF!)</f>
        <v>#REF!</v>
      </c>
      <c r="EC9" s="78" t="e">
        <f>IF(#REF!=0,"-",#REF!)</f>
        <v>#REF!</v>
      </c>
      <c r="ED9" s="78" t="e">
        <f>IF(#REF!=0,"-",#REF!)</f>
        <v>#REF!</v>
      </c>
      <c r="EE9" s="42" t="e">
        <f>IF(#REF!=0,"-",#REF!)</f>
        <v>#REF!</v>
      </c>
      <c r="EF9" s="42" t="e">
        <f>IF(#REF!=0,"-",#REF!)</f>
        <v>#REF!</v>
      </c>
      <c r="EG9" s="119" t="e">
        <f>IF(#REF!=0,"-",#REF!)</f>
        <v>#REF!</v>
      </c>
      <c r="EH9" s="17" t="s">
        <v>115</v>
      </c>
      <c r="EI9" s="39" t="e">
        <f>IF(#REF!=0,"-",#REF!)</f>
        <v>#REF!</v>
      </c>
      <c r="EJ9" s="78" t="e">
        <f>IF(#REF!=0,"-",#REF!)</f>
        <v>#REF!</v>
      </c>
      <c r="EK9" s="78" t="e">
        <f>IF(#REF!=0,"-",#REF!)</f>
        <v>#REF!</v>
      </c>
      <c r="EL9" s="42" t="e">
        <f>IF(#REF!=0,"-",#REF!)</f>
        <v>#REF!</v>
      </c>
      <c r="EM9" s="42" t="e">
        <f>IF(#REF!=0,"-",#REF!)</f>
        <v>#REF!</v>
      </c>
      <c r="EN9" s="119" t="e">
        <f>IF(#REF!=0,"-",#REF!)</f>
        <v>#REF!</v>
      </c>
      <c r="ES9" s="69" t="e">
        <f t="shared" ca="1" si="0"/>
        <v>#REF!</v>
      </c>
      <c r="ET9" s="155" t="s">
        <v>83</v>
      </c>
      <c r="EU9" s="39" t="e">
        <f>IF(#REF!=0,"",#REF!)</f>
        <v>#REF!</v>
      </c>
      <c r="EV9" s="78" t="e">
        <f>IF(OR(#REF!=0,#REF!=""),"",#REF!)</f>
        <v>#REF!</v>
      </c>
      <c r="EW9" s="78" t="e">
        <f t="shared" si="2"/>
        <v>#REF!</v>
      </c>
      <c r="EX9" s="180"/>
      <c r="EY9" s="180"/>
      <c r="EZ9" s="119" t="e">
        <f>IF(#REF!=0,"",#REF!)</f>
        <v>#REF!</v>
      </c>
      <c r="FA9" s="155" t="s">
        <v>90</v>
      </c>
      <c r="FB9" s="39" t="e">
        <f>IF(#REF!=0,"",#REF!)</f>
        <v>#REF!</v>
      </c>
      <c r="FC9" s="78" t="e">
        <f>IF(OR(#REF!=0,#REF!=""),"",#REF!)</f>
        <v>#REF!</v>
      </c>
      <c r="FD9" s="78" t="e">
        <f t="shared" si="3"/>
        <v>#REF!</v>
      </c>
      <c r="FE9" s="180" t="s">
        <v>152</v>
      </c>
      <c r="FF9" s="180" t="s">
        <v>152</v>
      </c>
      <c r="FG9" s="119" t="e">
        <f>IF(#REF!=0,"-",#REF!)</f>
        <v>#REF!</v>
      </c>
      <c r="FH9" s="155" t="s">
        <v>89</v>
      </c>
      <c r="FI9" s="39" t="e">
        <f>IF(#REF!=0,"-",#REF!)</f>
        <v>#REF!</v>
      </c>
      <c r="FJ9" s="78" t="e">
        <f>IF(#REF!=0,"-",#REF!)</f>
        <v>#REF!</v>
      </c>
      <c r="FK9" s="78" t="e">
        <f>IF(#REF!=0,"-",#REF!)</f>
        <v>#REF!</v>
      </c>
      <c r="FL9" s="180" t="s">
        <v>152</v>
      </c>
      <c r="FM9" s="180" t="s">
        <v>152</v>
      </c>
      <c r="FN9" s="119" t="e">
        <f>IF(#REF!=0,"-",#REF!)</f>
        <v>#REF!</v>
      </c>
      <c r="FO9" s="155" t="s">
        <v>92</v>
      </c>
      <c r="FP9" s="39" t="e">
        <f>IF(#REF!=0,"-",#REF!)</f>
        <v>#REF!</v>
      </c>
      <c r="FQ9" s="78" t="e">
        <f>IF(#REF!=0,"-",#REF!)</f>
        <v>#REF!</v>
      </c>
      <c r="FR9" s="78" t="e">
        <f>IF(#REF!=0,"-",#REF!)</f>
        <v>#REF!</v>
      </c>
      <c r="FS9" s="180" t="s">
        <v>152</v>
      </c>
      <c r="FT9" s="180" t="s">
        <v>152</v>
      </c>
      <c r="FU9" s="230" t="e">
        <f>IF(#REF!=0,"-",#REF!)</f>
        <v>#REF!</v>
      </c>
    </row>
    <row r="10" spans="1:177" ht="33.75" customHeight="1" x14ac:dyDescent="0.2">
      <c r="A10" s="115" t="e">
        <f>#REF!</f>
        <v>#REF!</v>
      </c>
      <c r="B10" s="69" t="str">
        <f t="shared" si="1"/>
        <v>Country_code</v>
      </c>
      <c r="C10" s="116" t="e" cm="1">
        <f t="array" aca="1" ref="C10" ca="1">MID(CELL("filename",#REF!),FIND("]",CELL("filename",#REF!))+1,255)</f>
        <v>#REF!</v>
      </c>
      <c r="D10" s="43" t="e">
        <f>#REF!</f>
        <v>#REF!</v>
      </c>
      <c r="E10" s="152" t="e">
        <f>#REF!</f>
        <v>#REF!</v>
      </c>
      <c r="F10" s="39" t="e">
        <f>IF(#REF!=0,"-",#REF!)</f>
        <v>#REF!</v>
      </c>
      <c r="G10" s="78" t="e">
        <f>IF(#REF!=0,"-",#REF!)</f>
        <v>#REF!</v>
      </c>
      <c r="H10" s="78" t="e">
        <f>IF(#REF!=0,"-",#REF!)</f>
        <v>#REF!</v>
      </c>
      <c r="I10" s="42" t="e">
        <f>IF(#REF!=0,"-",#REF!)</f>
        <v>#REF!</v>
      </c>
      <c r="J10" s="42" t="e">
        <f>IF(#REF!=0,"-",#REF!)</f>
        <v>#REF!</v>
      </c>
      <c r="K10" s="119" t="e">
        <f>IF(#REF!=0,"-",#REF!)</f>
        <v>#REF!</v>
      </c>
      <c r="L10" s="17" t="s">
        <v>97</v>
      </c>
      <c r="M10" s="39" t="e">
        <f>IF(#REF!=0,"-",#REF!)</f>
        <v>#REF!</v>
      </c>
      <c r="N10" s="78" t="e">
        <f>IF(#REF!=0,"-",#REF!)</f>
        <v>#REF!</v>
      </c>
      <c r="O10" s="78" t="e">
        <f>IF(#REF!=0,"-",#REF!)</f>
        <v>#REF!</v>
      </c>
      <c r="P10" s="42" t="e">
        <f>IF(#REF!=0,"-",#REF!)</f>
        <v>#REF!</v>
      </c>
      <c r="Q10" s="42" t="e">
        <f>IF(#REF!=0,"-",#REF!)</f>
        <v>#REF!</v>
      </c>
      <c r="R10" s="119" t="e">
        <f>IF(#REF!=0,"-",#REF!)</f>
        <v>#REF!</v>
      </c>
      <c r="S10" s="17" t="s">
        <v>98</v>
      </c>
      <c r="T10" s="39" t="e">
        <f>IF(#REF!=0,"-",#REF!)</f>
        <v>#REF!</v>
      </c>
      <c r="U10" s="78" t="e">
        <f>IF(#REF!=0,"-",#REF!)</f>
        <v>#REF!</v>
      </c>
      <c r="V10" s="78" t="e">
        <f>IF(#REF!=0,"-",#REF!)</f>
        <v>#REF!</v>
      </c>
      <c r="W10" s="42" t="e">
        <f>IF(#REF!=0,"-",#REF!)</f>
        <v>#REF!</v>
      </c>
      <c r="X10" s="42" t="e">
        <f>IF(#REF!=0,"-",#REF!)</f>
        <v>#REF!</v>
      </c>
      <c r="Y10" s="119" t="e">
        <f>IF(#REF!=0,"-",#REF!)</f>
        <v>#REF!</v>
      </c>
      <c r="Z10" s="17" t="s">
        <v>99</v>
      </c>
      <c r="AA10" s="157" t="e">
        <f>IF(#REF!=0,"-",#REF!)</f>
        <v>#REF!</v>
      </c>
      <c r="AB10" s="78" t="e">
        <f>IF(#REF!=0,"-",#REF!)</f>
        <v>#REF!</v>
      </c>
      <c r="AC10" s="78" t="e">
        <f>IF(#REF!=0,"-",#REF!)</f>
        <v>#REF!</v>
      </c>
      <c r="AD10" s="42" t="e">
        <f>IF(#REF!=0,"-",#REF!)</f>
        <v>#REF!</v>
      </c>
      <c r="AE10" s="42" t="e">
        <f>IF(#REF!=0,"-",#REF!)</f>
        <v>#REF!</v>
      </c>
      <c r="AF10" s="119" t="e">
        <f>IF(#REF!=0,"-",#REF!)</f>
        <v>#REF!</v>
      </c>
      <c r="AG10" s="17" t="s">
        <v>100</v>
      </c>
      <c r="AH10" s="39" t="e">
        <f>IF(#REF!=0,"-",#REF!)</f>
        <v>#REF!</v>
      </c>
      <c r="AI10" s="78" t="e">
        <f>IF(#REF!=0,"-",#REF!)</f>
        <v>#REF!</v>
      </c>
      <c r="AJ10" s="78" t="e">
        <f>IF(#REF!=0,"-",#REF!)</f>
        <v>#REF!</v>
      </c>
      <c r="AK10" s="42" t="e">
        <f>IF(#REF!=0,"-",#REF!)</f>
        <v>#REF!</v>
      </c>
      <c r="AL10" s="42" t="e">
        <f>IF(#REF!=0,"-",#REF!)</f>
        <v>#REF!</v>
      </c>
      <c r="AM10" s="119" t="e">
        <f>IF(#REF!=0,"-",#REF!)</f>
        <v>#REF!</v>
      </c>
      <c r="AN10" s="17" t="s">
        <v>101</v>
      </c>
      <c r="AO10" s="39" t="e">
        <f>IF(#REF!=0,"-",#REF!)</f>
        <v>#REF!</v>
      </c>
      <c r="AP10" s="78" t="e">
        <f>IF(#REF!=0,"-",#REF!)</f>
        <v>#REF!</v>
      </c>
      <c r="AQ10" s="78" t="e">
        <f>IF(#REF!=0,"-",#REF!)</f>
        <v>#REF!</v>
      </c>
      <c r="AR10" s="42" t="e">
        <f>IF(#REF!=0,"-",#REF!)</f>
        <v>#REF!</v>
      </c>
      <c r="AS10" s="42" t="e">
        <f>IF(#REF!=0,"-",#REF!)</f>
        <v>#REF!</v>
      </c>
      <c r="AT10" s="119" t="e">
        <f>IF(#REF!=0,"-",#REF!)</f>
        <v>#REF!</v>
      </c>
      <c r="AU10" s="17" t="s">
        <v>102</v>
      </c>
      <c r="AV10" s="39" t="e">
        <f>IF(#REF!=0,"-",#REF!)</f>
        <v>#REF!</v>
      </c>
      <c r="AW10" s="78" t="e">
        <f>IF(#REF!=0,"-",#REF!)</f>
        <v>#REF!</v>
      </c>
      <c r="AX10" s="78" t="e">
        <f>IF(#REF!=0,"-",#REF!)</f>
        <v>#REF!</v>
      </c>
      <c r="AY10" s="42" t="e">
        <f>IF(#REF!=0,"-",#REF!)</f>
        <v>#REF!</v>
      </c>
      <c r="AZ10" s="42" t="e">
        <f>IF(#REF!=0,"-",#REF!)</f>
        <v>#REF!</v>
      </c>
      <c r="BA10" s="119" t="e">
        <f>IF(#REF!=0,"-",#REF!)</f>
        <v>#REF!</v>
      </c>
      <c r="BB10" s="17" t="s">
        <v>103</v>
      </c>
      <c r="BC10" s="39" t="e">
        <f>IF(#REF!=0,"-",#REF!)</f>
        <v>#REF!</v>
      </c>
      <c r="BD10" s="78" t="e">
        <f>IF(#REF!=0,"-",#REF!)</f>
        <v>#REF!</v>
      </c>
      <c r="BE10" s="78" t="e">
        <f>IF(#REF!=0,"-",#REF!)</f>
        <v>#REF!</v>
      </c>
      <c r="BF10" s="42" t="e">
        <f>IF(#REF!=0,"-",#REF!)</f>
        <v>#REF!</v>
      </c>
      <c r="BG10" s="42" t="e">
        <f>IF(#REF!=0,"-",#REF!)</f>
        <v>#REF!</v>
      </c>
      <c r="BH10" s="119" t="e">
        <f>IF(#REF!=0,"-",#REF!)</f>
        <v>#REF!</v>
      </c>
      <c r="BI10" s="17" t="s">
        <v>104</v>
      </c>
      <c r="BJ10" s="39" t="e">
        <f>IF(#REF!=0,"-",#REF!)</f>
        <v>#REF!</v>
      </c>
      <c r="BK10" s="78" t="e">
        <f>IF(#REF!=0,"-",#REF!)</f>
        <v>#REF!</v>
      </c>
      <c r="BL10" s="78" t="e">
        <f>IF(#REF!=0,"-",#REF!)</f>
        <v>#REF!</v>
      </c>
      <c r="BM10" s="42" t="e">
        <f>IF(#REF!=0,"-",#REF!)</f>
        <v>#REF!</v>
      </c>
      <c r="BN10" s="42" t="e">
        <f>IF(#REF!=0,"-",#REF!)</f>
        <v>#REF!</v>
      </c>
      <c r="BO10" s="119" t="e">
        <f>IF(#REF!=0,"-",#REF!)</f>
        <v>#REF!</v>
      </c>
      <c r="BP10" s="17" t="s">
        <v>105</v>
      </c>
      <c r="BQ10" s="39" t="e">
        <f>IF(#REF!=0,"-",#REF!)</f>
        <v>#REF!</v>
      </c>
      <c r="BR10" s="78" t="e">
        <f>IF(#REF!="-",0,#REF!)</f>
        <v>#REF!</v>
      </c>
      <c r="BS10" s="78" t="e">
        <f>IF(#REF!=0,"-",#REF!)</f>
        <v>#REF!</v>
      </c>
      <c r="BT10" s="42" t="e">
        <f>IF(#REF!=0,"-",#REF!)</f>
        <v>#REF!</v>
      </c>
      <c r="BU10" s="42" t="e">
        <f>IF(#REF!=0,"-",#REF!)</f>
        <v>#REF!</v>
      </c>
      <c r="BV10" s="119" t="e">
        <f>IF(#REF!=0,"-",#REF!)</f>
        <v>#REF!</v>
      </c>
      <c r="BW10" s="17" t="s">
        <v>106</v>
      </c>
      <c r="BX10" s="39" t="e">
        <f>IF(#REF!=0,"-",#REF!)</f>
        <v>#REF!</v>
      </c>
      <c r="BY10" s="78" t="e">
        <f>IF(#REF!=0,"-",#REF!)</f>
        <v>#REF!</v>
      </c>
      <c r="BZ10" s="78" t="e">
        <f>IF(#REF!=0,"-",#REF!)</f>
        <v>#REF!</v>
      </c>
      <c r="CA10" s="42" t="e">
        <f>IF(#REF!=0,"-",#REF!)</f>
        <v>#REF!</v>
      </c>
      <c r="CB10" s="42" t="e">
        <f>IF(#REF!=0,"-",#REF!)</f>
        <v>#REF!</v>
      </c>
      <c r="CC10" s="119" t="e">
        <f>IF(#REF!=0,"-",#REF!)</f>
        <v>#REF!</v>
      </c>
      <c r="CD10" s="17" t="s">
        <v>107</v>
      </c>
      <c r="CE10" s="39" t="e">
        <f>IF(#REF!=0,"-",#REF!)</f>
        <v>#REF!</v>
      </c>
      <c r="CF10" s="78" t="e">
        <f>IF(#REF!=0,"-",#REF!)</f>
        <v>#REF!</v>
      </c>
      <c r="CG10" s="78" t="e">
        <f>IF(#REF!=0,"-",#REF!)</f>
        <v>#REF!</v>
      </c>
      <c r="CH10" s="42" t="e">
        <f>IF(#REF!=0,"-",#REF!)</f>
        <v>#REF!</v>
      </c>
      <c r="CI10" s="42" t="e">
        <f>IF(#REF!=0,"-",#REF!)</f>
        <v>#REF!</v>
      </c>
      <c r="CJ10" s="119" t="e">
        <f>IF(#REF!=0,"-",#REF!)</f>
        <v>#REF!</v>
      </c>
      <c r="CK10" s="17" t="s">
        <v>108</v>
      </c>
      <c r="CL10" s="39" t="e">
        <f>IF(#REF!=0,"-",#REF!)</f>
        <v>#REF!</v>
      </c>
      <c r="CM10" s="78" t="e">
        <f>IF(#REF!=0,"-",#REF!)</f>
        <v>#REF!</v>
      </c>
      <c r="CN10" s="78" t="e">
        <f>IF(#REF!=0,"-",#REF!)</f>
        <v>#REF!</v>
      </c>
      <c r="CO10" s="42" t="e">
        <f>IF(#REF!=0,"-",#REF!)</f>
        <v>#REF!</v>
      </c>
      <c r="CP10" s="42" t="e">
        <f>IF(#REF!=0,"-",#REF!)</f>
        <v>#REF!</v>
      </c>
      <c r="CQ10" s="119" t="e">
        <f>IF(#REF!=0,"-",#REF!)</f>
        <v>#REF!</v>
      </c>
      <c r="CR10" s="17" t="s">
        <v>109</v>
      </c>
      <c r="CS10" s="39" t="e">
        <f>IF(#REF!=0,"-",#REF!)</f>
        <v>#REF!</v>
      </c>
      <c r="CT10" s="78" t="e">
        <f>IF(#REF!=0,"-",#REF!)</f>
        <v>#REF!</v>
      </c>
      <c r="CU10" s="78" t="e">
        <f>IF(#REF!=0,"-",#REF!)</f>
        <v>#REF!</v>
      </c>
      <c r="CV10" s="42" t="e">
        <f>IF(#REF!=0,"-",#REF!)</f>
        <v>#REF!</v>
      </c>
      <c r="CW10" s="42" t="e">
        <f>IF(#REF!=0,"-",#REF!)</f>
        <v>#REF!</v>
      </c>
      <c r="CX10" s="119" t="e">
        <f>IF(#REF!=0,"-",#REF!)</f>
        <v>#REF!</v>
      </c>
      <c r="CY10" s="17" t="s">
        <v>110</v>
      </c>
      <c r="CZ10" s="39" t="e">
        <f>IF(#REF!=0,"-",#REF!)</f>
        <v>#REF!</v>
      </c>
      <c r="DA10" s="78" t="e">
        <f>IF(#REF!=0,"-",#REF!)</f>
        <v>#REF!</v>
      </c>
      <c r="DB10" s="78" t="e">
        <f>IF(#REF!=0,"-",#REF!)</f>
        <v>#REF!</v>
      </c>
      <c r="DC10" s="42" t="e">
        <f>IF(#REF!=0,"-",#REF!)</f>
        <v>#REF!</v>
      </c>
      <c r="DD10" s="42" t="e">
        <f>IF(#REF!=0,"-",#REF!)</f>
        <v>#REF!</v>
      </c>
      <c r="DE10" s="119" t="e">
        <f>IF(#REF!=0,"-",#REF!)</f>
        <v>#REF!</v>
      </c>
      <c r="DF10" s="17" t="s">
        <v>111</v>
      </c>
      <c r="DG10" s="39" t="e">
        <f>IF(#REF!=0,"-",#REF!)</f>
        <v>#REF!</v>
      </c>
      <c r="DH10" s="78" t="e">
        <f>IF(#REF!=0,"-",#REF!)</f>
        <v>#REF!</v>
      </c>
      <c r="DI10" s="78" t="e">
        <f>IF(#REF!=0,"-",#REF!)</f>
        <v>#REF!</v>
      </c>
      <c r="DJ10" s="42" t="e">
        <f>IF(#REF!=0,"-",#REF!)</f>
        <v>#REF!</v>
      </c>
      <c r="DK10" s="42" t="e">
        <f>IF(#REF!=0,"-",#REF!)</f>
        <v>#REF!</v>
      </c>
      <c r="DL10" s="119" t="e">
        <f>IF(#REF!=0,"-",#REF!)</f>
        <v>#REF!</v>
      </c>
      <c r="DM10" s="17" t="s">
        <v>112</v>
      </c>
      <c r="DN10" s="39" t="e">
        <f>IF(#REF!=0,"-",#REF!)</f>
        <v>#REF!</v>
      </c>
      <c r="DO10" s="78" t="e">
        <f>IF(#REF!=0,"-",#REF!)</f>
        <v>#REF!</v>
      </c>
      <c r="DP10" s="78" t="e">
        <f>IF(#REF!=0,"-",#REF!)</f>
        <v>#REF!</v>
      </c>
      <c r="DQ10" s="42" t="e">
        <f>IF(#REF!=0,"-",#REF!)</f>
        <v>#REF!</v>
      </c>
      <c r="DR10" s="42" t="e">
        <f>IF(#REF!=0,"-",#REF!)</f>
        <v>#REF!</v>
      </c>
      <c r="DS10" s="119" t="e">
        <f>IF(#REF!=0,"-",#REF!)</f>
        <v>#REF!</v>
      </c>
      <c r="DT10" s="17" t="s">
        <v>113</v>
      </c>
      <c r="DU10" s="39" t="e">
        <f>IF(#REF!=0,"-",#REF!)</f>
        <v>#REF!</v>
      </c>
      <c r="DV10" s="78" t="e">
        <f>IF(#REF!=0,"-",#REF!)</f>
        <v>#REF!</v>
      </c>
      <c r="DW10" s="78" t="e">
        <f>IF(#REF!=0,"-",#REF!)</f>
        <v>#REF!</v>
      </c>
      <c r="DX10" s="42" t="e">
        <f>IF(#REF!=0,"-",#REF!)</f>
        <v>#REF!</v>
      </c>
      <c r="DY10" s="42" t="e">
        <f>IF(#REF!=0,"-",#REF!)</f>
        <v>#REF!</v>
      </c>
      <c r="DZ10" s="119" t="e">
        <f>IF(#REF!=0,"-",#REF!)</f>
        <v>#REF!</v>
      </c>
      <c r="EA10" s="17" t="s">
        <v>114</v>
      </c>
      <c r="EB10" s="39" t="e">
        <f>IF(#REF!=0,"-",#REF!)</f>
        <v>#REF!</v>
      </c>
      <c r="EC10" s="78" t="e">
        <f>IF(#REF!=0,"-",#REF!)</f>
        <v>#REF!</v>
      </c>
      <c r="ED10" s="78" t="e">
        <f>IF(#REF!=0,"-",#REF!)</f>
        <v>#REF!</v>
      </c>
      <c r="EE10" s="42" t="e">
        <f>IF(#REF!=0,"-",#REF!)</f>
        <v>#REF!</v>
      </c>
      <c r="EF10" s="42" t="e">
        <f>IF(#REF!=0,"-",#REF!)</f>
        <v>#REF!</v>
      </c>
      <c r="EG10" s="119" t="e">
        <f>IF(#REF!=0,"-",#REF!)</f>
        <v>#REF!</v>
      </c>
      <c r="EH10" s="17" t="s">
        <v>115</v>
      </c>
      <c r="EI10" s="39" t="e">
        <f>IF(#REF!=0,"-",#REF!)</f>
        <v>#REF!</v>
      </c>
      <c r="EJ10" s="78" t="e">
        <f>IF(#REF!=0,"-",#REF!)</f>
        <v>#REF!</v>
      </c>
      <c r="EK10" s="78" t="e">
        <f>IF(#REF!=0,"-",#REF!)</f>
        <v>#REF!</v>
      </c>
      <c r="EL10" s="42" t="e">
        <f>IF(#REF!=0,"-",#REF!)</f>
        <v>#REF!</v>
      </c>
      <c r="EM10" s="42" t="e">
        <f>IF(#REF!=0,"-",#REF!)</f>
        <v>#REF!</v>
      </c>
      <c r="EN10" s="119" t="e">
        <f>IF(#REF!=0,"-",#REF!)</f>
        <v>#REF!</v>
      </c>
      <c r="ES10" s="69" t="e">
        <f t="shared" ca="1" si="0"/>
        <v>#REF!</v>
      </c>
      <c r="ET10" s="155" t="s">
        <v>83</v>
      </c>
      <c r="EU10" s="39" t="e">
        <f>IF(#REF!=0,"",#REF!)</f>
        <v>#REF!</v>
      </c>
      <c r="EV10" s="78" t="e">
        <f>IF(OR(#REF!=0,#REF!=""),"",#REF!)</f>
        <v>#REF!</v>
      </c>
      <c r="EW10" s="78" t="e">
        <f t="shared" si="2"/>
        <v>#REF!</v>
      </c>
      <c r="EX10" s="180"/>
      <c r="EY10" s="180"/>
      <c r="EZ10" s="119" t="e">
        <f>IF(#REF!=0,"",#REF!)</f>
        <v>#REF!</v>
      </c>
      <c r="FA10" s="155" t="s">
        <v>90</v>
      </c>
      <c r="FB10" s="39" t="e">
        <f>IF(#REF!=0,"",#REF!)</f>
        <v>#REF!</v>
      </c>
      <c r="FC10" s="78" t="e">
        <f>IF(OR(#REF!=0,#REF!=""),"",#REF!)</f>
        <v>#REF!</v>
      </c>
      <c r="FD10" s="78" t="e">
        <f t="shared" si="3"/>
        <v>#REF!</v>
      </c>
      <c r="FE10" s="180" t="s">
        <v>152</v>
      </c>
      <c r="FF10" s="180" t="s">
        <v>152</v>
      </c>
      <c r="FG10" s="119" t="e">
        <f>IF(#REF!=0,"-",#REF!)</f>
        <v>#REF!</v>
      </c>
      <c r="FH10" s="155" t="s">
        <v>89</v>
      </c>
      <c r="FI10" s="39" t="e">
        <f>IF(#REF!=0,"-",#REF!)</f>
        <v>#REF!</v>
      </c>
      <c r="FJ10" s="78" t="e">
        <f>IF(#REF!=0,"-",#REF!)</f>
        <v>#REF!</v>
      </c>
      <c r="FK10" s="78" t="e">
        <f>IF(#REF!=0,"-",#REF!)</f>
        <v>#REF!</v>
      </c>
      <c r="FL10" s="180" t="s">
        <v>152</v>
      </c>
      <c r="FM10" s="180" t="s">
        <v>152</v>
      </c>
      <c r="FN10" s="119" t="e">
        <f>IF(#REF!=0,"-",#REF!)</f>
        <v>#REF!</v>
      </c>
      <c r="FO10" s="155" t="s">
        <v>92</v>
      </c>
      <c r="FP10" s="39" t="e">
        <f>IF(#REF!=0,"-",#REF!)</f>
        <v>#REF!</v>
      </c>
      <c r="FQ10" s="78" t="e">
        <f>IF(#REF!=0,"-",#REF!)</f>
        <v>#REF!</v>
      </c>
      <c r="FR10" s="78" t="e">
        <f>IF(#REF!=0,"-",#REF!)</f>
        <v>#REF!</v>
      </c>
      <c r="FS10" s="180" t="s">
        <v>152</v>
      </c>
      <c r="FT10" s="180" t="s">
        <v>152</v>
      </c>
      <c r="FU10" s="230" t="e">
        <f>IF(#REF!=0,"-",#REF!)</f>
        <v>#REF!</v>
      </c>
    </row>
    <row r="11" spans="1:177" ht="33.75" customHeight="1" x14ac:dyDescent="0.2">
      <c r="A11" s="115" t="e">
        <f>#REF!</f>
        <v>#REF!</v>
      </c>
      <c r="B11" s="69" t="str">
        <f t="shared" si="1"/>
        <v>Country_code</v>
      </c>
      <c r="C11" s="116" t="e" cm="1">
        <f t="array" aca="1" ref="C11" ca="1">MID(CELL("filename",#REF!),FIND("]",CELL("filename",#REF!))+1,255)</f>
        <v>#REF!</v>
      </c>
      <c r="D11" s="43" t="e">
        <f>#REF!</f>
        <v>#REF!</v>
      </c>
      <c r="E11" s="152" t="e">
        <f>#REF!</f>
        <v>#REF!</v>
      </c>
      <c r="F11" s="39" t="e">
        <f>IF(#REF!=0,"-",#REF!)</f>
        <v>#REF!</v>
      </c>
      <c r="G11" s="78" t="e">
        <f>IF(#REF!=0,"-",#REF!)</f>
        <v>#REF!</v>
      </c>
      <c r="H11" s="78" t="e">
        <f>IF(#REF!=0,"-",#REF!)</f>
        <v>#REF!</v>
      </c>
      <c r="I11" s="42" t="e">
        <f>IF(#REF!=0,"-",#REF!)</f>
        <v>#REF!</v>
      </c>
      <c r="J11" s="42" t="e">
        <f>IF(#REF!=0,"-",#REF!)</f>
        <v>#REF!</v>
      </c>
      <c r="K11" s="119" t="e">
        <f>IF(#REF!=0,"-",#REF!)</f>
        <v>#REF!</v>
      </c>
      <c r="L11" s="17" t="s">
        <v>97</v>
      </c>
      <c r="M11" s="39" t="e">
        <f>IF(#REF!=0,"-",#REF!)</f>
        <v>#REF!</v>
      </c>
      <c r="N11" s="78" t="e">
        <f>IF(#REF!=0,"-",#REF!)</f>
        <v>#REF!</v>
      </c>
      <c r="O11" s="78" t="e">
        <f>IF(#REF!=0,"-",#REF!)</f>
        <v>#REF!</v>
      </c>
      <c r="P11" s="42" t="e">
        <f>IF(#REF!=0,"-",#REF!)</f>
        <v>#REF!</v>
      </c>
      <c r="Q11" s="42" t="e">
        <f>IF(#REF!=0,"-",#REF!)</f>
        <v>#REF!</v>
      </c>
      <c r="R11" s="119" t="e">
        <f>IF(#REF!=0,"-",#REF!)</f>
        <v>#REF!</v>
      </c>
      <c r="S11" s="17" t="s">
        <v>98</v>
      </c>
      <c r="T11" s="39" t="e">
        <f>IF(#REF!=0,"-",#REF!)</f>
        <v>#REF!</v>
      </c>
      <c r="U11" s="78" t="e">
        <f>IF(#REF!=0,"-",#REF!)</f>
        <v>#REF!</v>
      </c>
      <c r="V11" s="78" t="e">
        <f>IF(#REF!=0,"-",#REF!)</f>
        <v>#REF!</v>
      </c>
      <c r="W11" s="42" t="e">
        <f>IF(#REF!=0,"-",#REF!)</f>
        <v>#REF!</v>
      </c>
      <c r="X11" s="42" t="e">
        <f>IF(#REF!=0,"-",#REF!)</f>
        <v>#REF!</v>
      </c>
      <c r="Y11" s="119" t="e">
        <f>IF(#REF!=0,"-",#REF!)</f>
        <v>#REF!</v>
      </c>
      <c r="Z11" s="17" t="s">
        <v>99</v>
      </c>
      <c r="AA11" s="157" t="e">
        <f>IF(#REF!=0,"-",#REF!)</f>
        <v>#REF!</v>
      </c>
      <c r="AB11" s="78" t="e">
        <f>IF(#REF!=0,"-",#REF!)</f>
        <v>#REF!</v>
      </c>
      <c r="AC11" s="78" t="e">
        <f>IF(#REF!=0,"-",#REF!)</f>
        <v>#REF!</v>
      </c>
      <c r="AD11" s="42" t="e">
        <f>IF(#REF!=0,"-",#REF!)</f>
        <v>#REF!</v>
      </c>
      <c r="AE11" s="42" t="e">
        <f>IF(#REF!=0,"-",#REF!)</f>
        <v>#REF!</v>
      </c>
      <c r="AF11" s="119" t="e">
        <f>IF(#REF!=0,"-",#REF!)</f>
        <v>#REF!</v>
      </c>
      <c r="AG11" s="17" t="s">
        <v>100</v>
      </c>
      <c r="AH11" s="39" t="e">
        <f>IF(#REF!=0,"-",#REF!)</f>
        <v>#REF!</v>
      </c>
      <c r="AI11" s="78" t="e">
        <f>IF(#REF!=0,"-",#REF!)</f>
        <v>#REF!</v>
      </c>
      <c r="AJ11" s="78" t="e">
        <f>IF(#REF!=0,"-",#REF!)</f>
        <v>#REF!</v>
      </c>
      <c r="AK11" s="42" t="e">
        <f>IF(#REF!=0,"-",#REF!)</f>
        <v>#REF!</v>
      </c>
      <c r="AL11" s="42" t="e">
        <f>IF(#REF!=0,"-",#REF!)</f>
        <v>#REF!</v>
      </c>
      <c r="AM11" s="119" t="e">
        <f>IF(#REF!=0,"-",#REF!)</f>
        <v>#REF!</v>
      </c>
      <c r="AN11" s="17" t="s">
        <v>101</v>
      </c>
      <c r="AO11" s="39" t="e">
        <f>IF(#REF!=0,"-",#REF!)</f>
        <v>#REF!</v>
      </c>
      <c r="AP11" s="78" t="e">
        <f>IF(#REF!=0,"-",#REF!)</f>
        <v>#REF!</v>
      </c>
      <c r="AQ11" s="78" t="e">
        <f>IF(#REF!=0,"-",#REF!)</f>
        <v>#REF!</v>
      </c>
      <c r="AR11" s="42" t="e">
        <f>IF(#REF!=0,"-",#REF!)</f>
        <v>#REF!</v>
      </c>
      <c r="AS11" s="42" t="e">
        <f>IF(#REF!=0,"-",#REF!)</f>
        <v>#REF!</v>
      </c>
      <c r="AT11" s="119" t="e">
        <f>IF(#REF!=0,"-",#REF!)</f>
        <v>#REF!</v>
      </c>
      <c r="AU11" s="17" t="s">
        <v>102</v>
      </c>
      <c r="AV11" s="39" t="e">
        <f>IF(#REF!=0,"-",#REF!)</f>
        <v>#REF!</v>
      </c>
      <c r="AW11" s="78" t="e">
        <f>IF(#REF!=0,"-",#REF!)</f>
        <v>#REF!</v>
      </c>
      <c r="AX11" s="78" t="e">
        <f>IF(#REF!=0,"-",#REF!)</f>
        <v>#REF!</v>
      </c>
      <c r="AY11" s="42" t="e">
        <f>IF(#REF!=0,"-",#REF!)</f>
        <v>#REF!</v>
      </c>
      <c r="AZ11" s="42" t="e">
        <f>IF(#REF!=0,"-",#REF!)</f>
        <v>#REF!</v>
      </c>
      <c r="BA11" s="119" t="e">
        <f>IF(#REF!=0,"-",#REF!)</f>
        <v>#REF!</v>
      </c>
      <c r="BB11" s="17" t="s">
        <v>103</v>
      </c>
      <c r="BC11" s="39" t="e">
        <f>IF(#REF!=0,"-",#REF!)</f>
        <v>#REF!</v>
      </c>
      <c r="BD11" s="78" t="e">
        <f>IF(#REF!=0,"-",#REF!)</f>
        <v>#REF!</v>
      </c>
      <c r="BE11" s="78" t="e">
        <f>IF(#REF!=0,"-",#REF!)</f>
        <v>#REF!</v>
      </c>
      <c r="BF11" s="42" t="e">
        <f>IF(#REF!=0,"-",#REF!)</f>
        <v>#REF!</v>
      </c>
      <c r="BG11" s="42" t="e">
        <f>IF(#REF!=0,"-",#REF!)</f>
        <v>#REF!</v>
      </c>
      <c r="BH11" s="119" t="e">
        <f>IF(#REF!=0,"-",#REF!)</f>
        <v>#REF!</v>
      </c>
      <c r="BI11" s="17" t="s">
        <v>104</v>
      </c>
      <c r="BJ11" s="39" t="e">
        <f>IF(#REF!=0,"-",#REF!)</f>
        <v>#REF!</v>
      </c>
      <c r="BK11" s="78" t="e">
        <f>IF(#REF!=0,"-",#REF!)</f>
        <v>#REF!</v>
      </c>
      <c r="BL11" s="78" t="e">
        <f>IF(#REF!=0,"-",#REF!)</f>
        <v>#REF!</v>
      </c>
      <c r="BM11" s="42" t="e">
        <f>IF(#REF!=0,"-",#REF!)</f>
        <v>#REF!</v>
      </c>
      <c r="BN11" s="42" t="e">
        <f>IF(#REF!=0,"-",#REF!)</f>
        <v>#REF!</v>
      </c>
      <c r="BO11" s="119" t="e">
        <f>IF(#REF!=0,"-",#REF!)</f>
        <v>#REF!</v>
      </c>
      <c r="BP11" s="17" t="s">
        <v>105</v>
      </c>
      <c r="BQ11" s="39" t="e">
        <f>IF(#REF!=0,"-",#REF!)</f>
        <v>#REF!</v>
      </c>
      <c r="BR11" s="78" t="e">
        <f>IF(#REF!="-",0,#REF!)</f>
        <v>#REF!</v>
      </c>
      <c r="BS11" s="78" t="e">
        <f>IF(#REF!=0,"-",#REF!)</f>
        <v>#REF!</v>
      </c>
      <c r="BT11" s="42" t="e">
        <f>IF(#REF!=0,"-",#REF!)</f>
        <v>#REF!</v>
      </c>
      <c r="BU11" s="42" t="e">
        <f>IF(#REF!=0,"-",#REF!)</f>
        <v>#REF!</v>
      </c>
      <c r="BV11" s="119" t="e">
        <f>IF(#REF!=0,"-",#REF!)</f>
        <v>#REF!</v>
      </c>
      <c r="BW11" s="17" t="s">
        <v>106</v>
      </c>
      <c r="BX11" s="39" t="e">
        <f>IF(#REF!=0,"-",#REF!)</f>
        <v>#REF!</v>
      </c>
      <c r="BY11" s="78" t="e">
        <f>IF(#REF!=0,"-",#REF!)</f>
        <v>#REF!</v>
      </c>
      <c r="BZ11" s="78" t="e">
        <f>IF(#REF!=0,"-",#REF!)</f>
        <v>#REF!</v>
      </c>
      <c r="CA11" s="42" t="e">
        <f>IF(#REF!=0,"-",#REF!)</f>
        <v>#REF!</v>
      </c>
      <c r="CB11" s="42" t="e">
        <f>IF(#REF!=0,"-",#REF!)</f>
        <v>#REF!</v>
      </c>
      <c r="CC11" s="119" t="e">
        <f>IF(#REF!=0,"-",#REF!)</f>
        <v>#REF!</v>
      </c>
      <c r="CD11" s="17" t="s">
        <v>107</v>
      </c>
      <c r="CE11" s="39" t="e">
        <f>IF(#REF!=0,"-",#REF!)</f>
        <v>#REF!</v>
      </c>
      <c r="CF11" s="78" t="e">
        <f>IF(#REF!=0,"-",#REF!)</f>
        <v>#REF!</v>
      </c>
      <c r="CG11" s="78" t="e">
        <f>IF(#REF!=0,"-",#REF!)</f>
        <v>#REF!</v>
      </c>
      <c r="CH11" s="42" t="e">
        <f>IF(#REF!=0,"-",#REF!)</f>
        <v>#REF!</v>
      </c>
      <c r="CI11" s="42" t="e">
        <f>IF(#REF!=0,"-",#REF!)</f>
        <v>#REF!</v>
      </c>
      <c r="CJ11" s="119" t="e">
        <f>IF(#REF!=0,"-",#REF!)</f>
        <v>#REF!</v>
      </c>
      <c r="CK11" s="17" t="s">
        <v>108</v>
      </c>
      <c r="CL11" s="39" t="e">
        <f>IF(#REF!=0,"-",#REF!)</f>
        <v>#REF!</v>
      </c>
      <c r="CM11" s="78" t="e">
        <f>IF(#REF!=0,"-",#REF!)</f>
        <v>#REF!</v>
      </c>
      <c r="CN11" s="78" t="e">
        <f>IF(#REF!=0,"-",#REF!)</f>
        <v>#REF!</v>
      </c>
      <c r="CO11" s="42" t="e">
        <f>IF(#REF!=0,"-",#REF!)</f>
        <v>#REF!</v>
      </c>
      <c r="CP11" s="42" t="e">
        <f>IF(#REF!=0,"-",#REF!)</f>
        <v>#REF!</v>
      </c>
      <c r="CQ11" s="119" t="e">
        <f>IF(#REF!=0,"-",#REF!)</f>
        <v>#REF!</v>
      </c>
      <c r="CR11" s="17" t="s">
        <v>109</v>
      </c>
      <c r="CS11" s="39" t="e">
        <f>IF(#REF!=0,"-",#REF!)</f>
        <v>#REF!</v>
      </c>
      <c r="CT11" s="78" t="e">
        <f>IF(#REF!=0,"-",#REF!)</f>
        <v>#REF!</v>
      </c>
      <c r="CU11" s="78" t="e">
        <f>IF(#REF!=0,"-",#REF!)</f>
        <v>#REF!</v>
      </c>
      <c r="CV11" s="42" t="e">
        <f>IF(#REF!=0,"-",#REF!)</f>
        <v>#REF!</v>
      </c>
      <c r="CW11" s="42" t="e">
        <f>IF(#REF!=0,"-",#REF!)</f>
        <v>#REF!</v>
      </c>
      <c r="CX11" s="119" t="e">
        <f>IF(#REF!=0,"-",#REF!)</f>
        <v>#REF!</v>
      </c>
      <c r="CY11" s="17" t="s">
        <v>110</v>
      </c>
      <c r="CZ11" s="39" t="e">
        <f>IF(#REF!=0,"-",#REF!)</f>
        <v>#REF!</v>
      </c>
      <c r="DA11" s="78" t="e">
        <f>IF(#REF!=0,"-",#REF!)</f>
        <v>#REF!</v>
      </c>
      <c r="DB11" s="78" t="e">
        <f>IF(#REF!=0,"-",#REF!)</f>
        <v>#REF!</v>
      </c>
      <c r="DC11" s="42" t="e">
        <f>IF(#REF!=0,"-",#REF!)</f>
        <v>#REF!</v>
      </c>
      <c r="DD11" s="42" t="e">
        <f>IF(#REF!=0,"-",#REF!)</f>
        <v>#REF!</v>
      </c>
      <c r="DE11" s="119" t="e">
        <f>IF(#REF!=0,"-",#REF!)</f>
        <v>#REF!</v>
      </c>
      <c r="DF11" s="17" t="s">
        <v>111</v>
      </c>
      <c r="DG11" s="39" t="e">
        <f>IF(#REF!=0,"-",#REF!)</f>
        <v>#REF!</v>
      </c>
      <c r="DH11" s="78" t="e">
        <f>IF(#REF!=0,"-",#REF!)</f>
        <v>#REF!</v>
      </c>
      <c r="DI11" s="78" t="e">
        <f>IF(#REF!=0,"-",#REF!)</f>
        <v>#REF!</v>
      </c>
      <c r="DJ11" s="42" t="e">
        <f>IF(#REF!=0,"-",#REF!)</f>
        <v>#REF!</v>
      </c>
      <c r="DK11" s="42" t="e">
        <f>IF(#REF!=0,"-",#REF!)</f>
        <v>#REF!</v>
      </c>
      <c r="DL11" s="119" t="e">
        <f>IF(#REF!=0,"-",#REF!)</f>
        <v>#REF!</v>
      </c>
      <c r="DM11" s="17" t="s">
        <v>112</v>
      </c>
      <c r="DN11" s="39" t="e">
        <f>IF(#REF!=0,"-",#REF!)</f>
        <v>#REF!</v>
      </c>
      <c r="DO11" s="78" t="e">
        <f>IF(#REF!=0,"-",#REF!)</f>
        <v>#REF!</v>
      </c>
      <c r="DP11" s="78" t="e">
        <f>IF(#REF!=0,"-",#REF!)</f>
        <v>#REF!</v>
      </c>
      <c r="DQ11" s="42" t="e">
        <f>IF(#REF!=0,"-",#REF!)</f>
        <v>#REF!</v>
      </c>
      <c r="DR11" s="42" t="e">
        <f>IF(#REF!=0,"-",#REF!)</f>
        <v>#REF!</v>
      </c>
      <c r="DS11" s="119" t="e">
        <f>IF(#REF!=0,"-",#REF!)</f>
        <v>#REF!</v>
      </c>
      <c r="DT11" s="17" t="s">
        <v>113</v>
      </c>
      <c r="DU11" s="39" t="e">
        <f>IF(#REF!=0,"-",#REF!)</f>
        <v>#REF!</v>
      </c>
      <c r="DV11" s="78" t="e">
        <f>IF(#REF!=0,"-",#REF!)</f>
        <v>#REF!</v>
      </c>
      <c r="DW11" s="78" t="e">
        <f>IF(#REF!=0,"-",#REF!)</f>
        <v>#REF!</v>
      </c>
      <c r="DX11" s="42" t="e">
        <f>IF(#REF!=0,"-",#REF!)</f>
        <v>#REF!</v>
      </c>
      <c r="DY11" s="42" t="e">
        <f>IF(#REF!=0,"-",#REF!)</f>
        <v>#REF!</v>
      </c>
      <c r="DZ11" s="119" t="e">
        <f>IF(#REF!=0,"-",#REF!)</f>
        <v>#REF!</v>
      </c>
      <c r="EA11" s="17" t="s">
        <v>114</v>
      </c>
      <c r="EB11" s="39" t="e">
        <f>IF(#REF!=0,"-",#REF!)</f>
        <v>#REF!</v>
      </c>
      <c r="EC11" s="78" t="e">
        <f>IF(#REF!=0,"-",#REF!)</f>
        <v>#REF!</v>
      </c>
      <c r="ED11" s="78" t="e">
        <f>IF(#REF!=0,"-",#REF!)</f>
        <v>#REF!</v>
      </c>
      <c r="EE11" s="42" t="e">
        <f>IF(#REF!=0,"-",#REF!)</f>
        <v>#REF!</v>
      </c>
      <c r="EF11" s="42" t="e">
        <f>IF(#REF!=0,"-",#REF!)</f>
        <v>#REF!</v>
      </c>
      <c r="EG11" s="119" t="e">
        <f>IF(#REF!=0,"-",#REF!)</f>
        <v>#REF!</v>
      </c>
      <c r="EH11" s="17" t="s">
        <v>115</v>
      </c>
      <c r="EI11" s="39" t="e">
        <f>IF(#REF!=0,"-",#REF!)</f>
        <v>#REF!</v>
      </c>
      <c r="EJ11" s="78" t="e">
        <f>IF(#REF!=0,"-",#REF!)</f>
        <v>#REF!</v>
      </c>
      <c r="EK11" s="78" t="e">
        <f>IF(#REF!=0,"-",#REF!)</f>
        <v>#REF!</v>
      </c>
      <c r="EL11" s="42" t="e">
        <f>IF(#REF!=0,"-",#REF!)</f>
        <v>#REF!</v>
      </c>
      <c r="EM11" s="42" t="e">
        <f>IF(#REF!=0,"-",#REF!)</f>
        <v>#REF!</v>
      </c>
      <c r="EN11" s="119" t="e">
        <f>IF(#REF!=0,"-",#REF!)</f>
        <v>#REF!</v>
      </c>
      <c r="ES11" s="69" t="e">
        <f t="shared" ca="1" si="0"/>
        <v>#REF!</v>
      </c>
      <c r="ET11" s="155" t="s">
        <v>83</v>
      </c>
      <c r="EU11" s="39" t="e">
        <f>IF(#REF!=0,"",#REF!)</f>
        <v>#REF!</v>
      </c>
      <c r="EV11" s="78" t="e">
        <f>IF(OR(#REF!=0,#REF!=""),"",#REF!)</f>
        <v>#REF!</v>
      </c>
      <c r="EW11" s="78" t="e">
        <f t="shared" si="2"/>
        <v>#REF!</v>
      </c>
      <c r="EX11" s="180"/>
      <c r="EY11" s="180"/>
      <c r="EZ11" s="119" t="e">
        <f>IF(#REF!=0,"",#REF!)</f>
        <v>#REF!</v>
      </c>
      <c r="FA11" s="155" t="s">
        <v>90</v>
      </c>
      <c r="FB11" s="39" t="e">
        <f>IF(#REF!=0,"",#REF!)</f>
        <v>#REF!</v>
      </c>
      <c r="FC11" s="78" t="e">
        <f>IF(OR(#REF!=0,#REF!=""),"",#REF!)</f>
        <v>#REF!</v>
      </c>
      <c r="FD11" s="78" t="e">
        <f t="shared" si="3"/>
        <v>#REF!</v>
      </c>
      <c r="FE11" s="180" t="s">
        <v>152</v>
      </c>
      <c r="FF11" s="180" t="s">
        <v>152</v>
      </c>
      <c r="FG11" s="119" t="e">
        <f>IF(#REF!=0,"-",#REF!)</f>
        <v>#REF!</v>
      </c>
      <c r="FH11" s="155" t="s">
        <v>89</v>
      </c>
      <c r="FI11" s="39" t="e">
        <f>IF(#REF!=0,"-",#REF!)</f>
        <v>#REF!</v>
      </c>
      <c r="FJ11" s="78" t="e">
        <f>IF(#REF!=0,"-",#REF!)</f>
        <v>#REF!</v>
      </c>
      <c r="FK11" s="78" t="e">
        <f>IF(#REF!=0,"-",#REF!)</f>
        <v>#REF!</v>
      </c>
      <c r="FL11" s="180" t="s">
        <v>152</v>
      </c>
      <c r="FM11" s="180" t="s">
        <v>152</v>
      </c>
      <c r="FN11" s="119" t="e">
        <f>IF(#REF!=0,"-",#REF!)</f>
        <v>#REF!</v>
      </c>
      <c r="FO11" s="155" t="s">
        <v>92</v>
      </c>
      <c r="FP11" s="39" t="e">
        <f>IF(#REF!=0,"-",#REF!)</f>
        <v>#REF!</v>
      </c>
      <c r="FQ11" s="78" t="e">
        <f>IF(#REF!=0,"-",#REF!)</f>
        <v>#REF!</v>
      </c>
      <c r="FR11" s="78" t="e">
        <f>IF(#REF!=0,"-",#REF!)</f>
        <v>#REF!</v>
      </c>
      <c r="FS11" s="180" t="s">
        <v>152</v>
      </c>
      <c r="FT11" s="180" t="s">
        <v>152</v>
      </c>
      <c r="FU11" s="230" t="e">
        <f>IF(#REF!=0,"-",#REF!)</f>
        <v>#REF!</v>
      </c>
    </row>
    <row r="12" spans="1:177" ht="33.75" customHeight="1" x14ac:dyDescent="0.2">
      <c r="A12" s="115" t="str">
        <f t="shared" ref="A12:A68" si="4">C12</f>
        <v>Calendar 4</v>
      </c>
      <c r="B12" s="69" t="str">
        <f t="shared" ref="B12:B69" si="5">B11</f>
        <v>Country_code</v>
      </c>
      <c r="C12" s="43" t="s">
        <v>153</v>
      </c>
      <c r="D12" s="43"/>
      <c r="E12" s="17" t="s">
        <v>94</v>
      </c>
      <c r="F12" s="39"/>
      <c r="G12" s="78"/>
      <c r="H12" s="78"/>
      <c r="I12" s="40"/>
      <c r="J12" s="40"/>
      <c r="K12" s="119"/>
      <c r="L12" s="17" t="s">
        <v>97</v>
      </c>
      <c r="M12" s="39"/>
      <c r="N12" s="78"/>
      <c r="O12" s="78"/>
      <c r="P12" s="40"/>
      <c r="Q12" s="40"/>
      <c r="R12" s="119"/>
      <c r="S12" s="17" t="s">
        <v>98</v>
      </c>
      <c r="T12" s="39"/>
      <c r="U12" s="78"/>
      <c r="V12" s="78"/>
      <c r="W12" s="40"/>
      <c r="X12" s="40"/>
      <c r="Y12" s="119"/>
      <c r="Z12" s="17" t="s">
        <v>99</v>
      </c>
      <c r="AA12" s="39"/>
      <c r="AB12" s="78"/>
      <c r="AC12" s="78"/>
      <c r="AD12" s="40"/>
      <c r="AE12" s="40"/>
      <c r="AF12" s="119"/>
      <c r="AG12" s="17" t="s">
        <v>100</v>
      </c>
      <c r="AH12" s="39"/>
      <c r="AI12" s="78"/>
      <c r="AJ12" s="78"/>
      <c r="AK12" s="40"/>
      <c r="AL12" s="40"/>
      <c r="AM12" s="119"/>
      <c r="AN12" s="17" t="s">
        <v>101</v>
      </c>
      <c r="AO12" s="39"/>
      <c r="AP12" s="78"/>
      <c r="AQ12" s="78"/>
      <c r="AR12" s="40"/>
      <c r="AS12" s="40"/>
      <c r="AT12" s="119"/>
      <c r="AU12" s="17" t="s">
        <v>102</v>
      </c>
      <c r="AV12" s="39"/>
      <c r="AW12" s="78"/>
      <c r="AX12" s="78"/>
      <c r="AY12" s="40"/>
      <c r="AZ12" s="40"/>
      <c r="BA12" s="119"/>
      <c r="BB12" s="17" t="s">
        <v>103</v>
      </c>
      <c r="BC12" s="39"/>
      <c r="BD12" s="78"/>
      <c r="BE12" s="78"/>
      <c r="BF12" s="40"/>
      <c r="BG12" s="40"/>
      <c r="BH12" s="119"/>
      <c r="BI12" s="17" t="s">
        <v>104</v>
      </c>
      <c r="BJ12" s="39"/>
      <c r="BK12" s="78"/>
      <c r="BL12" s="78"/>
      <c r="BM12" s="40"/>
      <c r="BN12" s="40"/>
      <c r="BO12" s="119"/>
      <c r="BP12" s="17" t="s">
        <v>105</v>
      </c>
      <c r="BQ12" s="39"/>
      <c r="BR12" s="78"/>
      <c r="BS12" s="78"/>
      <c r="BT12" s="40"/>
      <c r="BU12" s="40"/>
      <c r="BV12" s="119"/>
      <c r="BW12" s="17" t="s">
        <v>106</v>
      </c>
      <c r="BX12" s="39"/>
      <c r="BY12" s="79"/>
      <c r="BZ12" s="79"/>
      <c r="CA12" s="40"/>
      <c r="CB12" s="40"/>
      <c r="CC12" s="119"/>
      <c r="CD12" s="17" t="s">
        <v>107</v>
      </c>
      <c r="CE12" s="39"/>
      <c r="CF12" s="78"/>
      <c r="CG12" s="78"/>
      <c r="CH12" s="40"/>
      <c r="CI12" s="40"/>
      <c r="CJ12" s="119"/>
      <c r="CK12" s="17" t="s">
        <v>108</v>
      </c>
      <c r="CL12" s="39"/>
      <c r="CM12" s="78"/>
      <c r="CN12" s="78"/>
      <c r="CO12" s="40"/>
      <c r="CP12" s="40"/>
      <c r="CQ12" s="119"/>
      <c r="CR12" s="17" t="s">
        <v>109</v>
      </c>
      <c r="CS12" s="39"/>
      <c r="CT12" s="78"/>
      <c r="CU12" s="78"/>
      <c r="CV12" s="40"/>
      <c r="CW12" s="40"/>
      <c r="CX12" s="119"/>
      <c r="CY12" s="17" t="s">
        <v>110</v>
      </c>
      <c r="CZ12" s="39"/>
      <c r="DA12" s="78"/>
      <c r="DB12" s="78"/>
      <c r="DC12" s="40"/>
      <c r="DD12" s="40"/>
      <c r="DE12" s="119"/>
      <c r="DF12" s="17" t="s">
        <v>111</v>
      </c>
      <c r="DG12" s="39"/>
      <c r="DH12" s="78"/>
      <c r="DI12" s="78"/>
      <c r="DJ12" s="40"/>
      <c r="DK12" s="40"/>
      <c r="DL12" s="119"/>
      <c r="DM12" s="17" t="s">
        <v>112</v>
      </c>
      <c r="DN12" s="39"/>
      <c r="DO12" s="78"/>
      <c r="DP12" s="78"/>
      <c r="DQ12" s="40"/>
      <c r="DR12" s="40"/>
      <c r="DS12" s="119"/>
      <c r="DT12" s="17" t="s">
        <v>113</v>
      </c>
      <c r="DU12" s="39"/>
      <c r="DV12" s="78"/>
      <c r="DW12" s="78"/>
      <c r="DX12" s="40"/>
      <c r="DY12" s="40"/>
      <c r="DZ12" s="119"/>
      <c r="EA12" s="17" t="s">
        <v>114</v>
      </c>
      <c r="EB12" s="39"/>
      <c r="EC12" s="78"/>
      <c r="ED12" s="78"/>
      <c r="EE12" s="40"/>
      <c r="EF12" s="40"/>
      <c r="EG12" s="119"/>
      <c r="EH12" s="17" t="s">
        <v>115</v>
      </c>
      <c r="EI12" s="39"/>
      <c r="EJ12" s="78"/>
      <c r="EK12" s="78"/>
      <c r="EL12" s="40"/>
      <c r="EM12" s="40"/>
      <c r="EN12" s="119"/>
      <c r="ES12" s="69" t="str">
        <f t="shared" si="0"/>
        <v>Calendar 4</v>
      </c>
      <c r="ET12" s="155" t="s">
        <v>83</v>
      </c>
      <c r="EU12" s="59"/>
      <c r="EV12" s="77"/>
      <c r="EW12" s="176"/>
      <c r="EX12" s="179"/>
      <c r="EY12" s="179"/>
      <c r="EZ12" s="122"/>
      <c r="FA12" s="155" t="s">
        <v>90</v>
      </c>
      <c r="FB12" s="39"/>
      <c r="FC12" s="77"/>
      <c r="FD12" s="77"/>
      <c r="FE12" s="179"/>
      <c r="FF12" s="179"/>
      <c r="FG12" s="119"/>
      <c r="FH12" s="155" t="s">
        <v>154</v>
      </c>
      <c r="FI12" s="39"/>
      <c r="FJ12" s="77"/>
      <c r="FK12" s="77"/>
      <c r="FL12" s="179"/>
      <c r="FM12" s="179"/>
      <c r="FN12" s="119"/>
      <c r="FO12" s="155" t="s">
        <v>92</v>
      </c>
      <c r="FP12" s="39"/>
      <c r="FQ12" s="77"/>
      <c r="FR12" s="77"/>
      <c r="FS12" s="179"/>
      <c r="FT12" s="179"/>
      <c r="FU12" s="230"/>
    </row>
    <row r="13" spans="1:177" ht="33.75" customHeight="1" x14ac:dyDescent="0.2">
      <c r="A13" s="115" t="str">
        <f t="shared" si="4"/>
        <v xml:space="preserve">Calendar 4 </v>
      </c>
      <c r="B13" s="69" t="str">
        <f t="shared" si="5"/>
        <v>Country_code</v>
      </c>
      <c r="C13" s="43" t="s">
        <v>155</v>
      </c>
      <c r="D13" s="43"/>
      <c r="E13" s="17" t="s">
        <v>94</v>
      </c>
      <c r="F13" s="39"/>
      <c r="G13" s="78"/>
      <c r="H13" s="78"/>
      <c r="I13" s="42"/>
      <c r="J13" s="42"/>
      <c r="K13" s="119"/>
      <c r="L13" s="17" t="s">
        <v>97</v>
      </c>
      <c r="M13" s="41"/>
      <c r="N13" s="78"/>
      <c r="O13" s="78"/>
      <c r="P13" s="40"/>
      <c r="Q13" s="42"/>
      <c r="R13" s="119"/>
      <c r="S13" s="17" t="s">
        <v>98</v>
      </c>
      <c r="T13" s="41"/>
      <c r="U13" s="78"/>
      <c r="V13" s="78"/>
      <c r="W13" s="42"/>
      <c r="X13" s="42"/>
      <c r="Y13" s="118"/>
      <c r="Z13" s="17" t="s">
        <v>99</v>
      </c>
      <c r="AA13" s="41"/>
      <c r="AB13" s="78"/>
      <c r="AC13" s="78"/>
      <c r="AD13" s="42"/>
      <c r="AE13" s="42"/>
      <c r="AF13" s="118"/>
      <c r="AG13" s="17" t="s">
        <v>100</v>
      </c>
      <c r="AH13" s="41"/>
      <c r="AI13" s="78"/>
      <c r="AJ13" s="78"/>
      <c r="AK13" s="42"/>
      <c r="AL13" s="42"/>
      <c r="AM13" s="118"/>
      <c r="AN13" s="17" t="s">
        <v>101</v>
      </c>
      <c r="AO13" s="41"/>
      <c r="AP13" s="78"/>
      <c r="AQ13" s="78"/>
      <c r="AR13" s="42"/>
      <c r="AS13" s="42"/>
      <c r="AT13" s="118"/>
      <c r="AU13" s="17" t="s">
        <v>102</v>
      </c>
      <c r="AV13" s="41"/>
      <c r="AW13" s="78"/>
      <c r="AX13" s="78"/>
      <c r="AY13" s="42"/>
      <c r="AZ13" s="42"/>
      <c r="BA13" s="118"/>
      <c r="BB13" s="17" t="s">
        <v>103</v>
      </c>
      <c r="BC13" s="41"/>
      <c r="BD13" s="78"/>
      <c r="BE13" s="78"/>
      <c r="BF13" s="42"/>
      <c r="BG13" s="42"/>
      <c r="BH13" s="118"/>
      <c r="BI13" s="17" t="s">
        <v>104</v>
      </c>
      <c r="BJ13" s="39"/>
      <c r="BK13" s="78"/>
      <c r="BL13" s="78"/>
      <c r="BM13" s="42"/>
      <c r="BN13" s="42"/>
      <c r="BO13" s="118"/>
      <c r="BP13" s="17" t="s">
        <v>105</v>
      </c>
      <c r="BQ13" s="41"/>
      <c r="BR13" s="78"/>
      <c r="BS13" s="78"/>
      <c r="BT13" s="42"/>
      <c r="BU13" s="42"/>
      <c r="BV13" s="118"/>
      <c r="BW13" s="17" t="s">
        <v>106</v>
      </c>
      <c r="BX13" s="41"/>
      <c r="BY13" s="80"/>
      <c r="BZ13" s="80"/>
      <c r="CA13" s="42"/>
      <c r="CB13" s="42"/>
      <c r="CC13" s="118"/>
      <c r="CD13" s="17" t="s">
        <v>107</v>
      </c>
      <c r="CE13" s="41"/>
      <c r="CF13" s="78"/>
      <c r="CG13" s="78"/>
      <c r="CH13" s="42"/>
      <c r="CI13" s="42"/>
      <c r="CJ13" s="118"/>
      <c r="CK13" s="17" t="s">
        <v>108</v>
      </c>
      <c r="CL13" s="41"/>
      <c r="CM13" s="78"/>
      <c r="CN13" s="78"/>
      <c r="CO13" s="42"/>
      <c r="CP13" s="42"/>
      <c r="CQ13" s="118"/>
      <c r="CR13" s="17" t="s">
        <v>109</v>
      </c>
      <c r="CS13" s="41"/>
      <c r="CT13" s="78"/>
      <c r="CU13" s="78"/>
      <c r="CV13" s="42"/>
      <c r="CW13" s="42"/>
      <c r="CX13" s="118"/>
      <c r="CY13" s="17" t="s">
        <v>110</v>
      </c>
      <c r="CZ13" s="41"/>
      <c r="DA13" s="78"/>
      <c r="DB13" s="78"/>
      <c r="DC13" s="42"/>
      <c r="DD13" s="42"/>
      <c r="DE13" s="118"/>
      <c r="DF13" s="17" t="s">
        <v>111</v>
      </c>
      <c r="DG13" s="41"/>
      <c r="DH13" s="78"/>
      <c r="DI13" s="78"/>
      <c r="DJ13" s="42"/>
      <c r="DK13" s="42"/>
      <c r="DL13" s="118"/>
      <c r="DM13" s="17" t="s">
        <v>112</v>
      </c>
      <c r="DN13" s="41"/>
      <c r="DO13" s="78"/>
      <c r="DP13" s="78"/>
      <c r="DQ13" s="42"/>
      <c r="DR13" s="42"/>
      <c r="DS13" s="118"/>
      <c r="DT13" s="17" t="s">
        <v>113</v>
      </c>
      <c r="DU13" s="41"/>
      <c r="DV13" s="78"/>
      <c r="DW13" s="78"/>
      <c r="DX13" s="42"/>
      <c r="DY13" s="42"/>
      <c r="DZ13" s="118"/>
      <c r="EA13" s="17" t="s">
        <v>114</v>
      </c>
      <c r="EB13" s="41"/>
      <c r="EC13" s="78"/>
      <c r="ED13" s="78"/>
      <c r="EE13" s="42"/>
      <c r="EF13" s="42"/>
      <c r="EG13" s="118"/>
      <c r="EH13" s="17" t="s">
        <v>115</v>
      </c>
      <c r="EI13" s="41"/>
      <c r="EJ13" s="78"/>
      <c r="EK13" s="78"/>
      <c r="EL13" s="42"/>
      <c r="EM13" s="42"/>
      <c r="EN13" s="118"/>
      <c r="ES13" s="69" t="str">
        <f t="shared" si="0"/>
        <v xml:space="preserve">Calendar 4 </v>
      </c>
      <c r="ET13" s="155" t="s">
        <v>83</v>
      </c>
      <c r="EU13" s="60"/>
      <c r="EV13" s="77"/>
      <c r="EW13" s="176"/>
      <c r="EX13" s="179"/>
      <c r="EY13" s="179"/>
      <c r="EZ13" s="121"/>
      <c r="FA13" s="155" t="s">
        <v>90</v>
      </c>
      <c r="FB13" s="41"/>
      <c r="FC13" s="77"/>
      <c r="FD13" s="77"/>
      <c r="FE13" s="179"/>
      <c r="FF13" s="179"/>
      <c r="FG13" s="118"/>
      <c r="FH13" s="155" t="s">
        <v>154</v>
      </c>
      <c r="FI13" s="41"/>
      <c r="FJ13" s="77"/>
      <c r="FK13" s="77"/>
      <c r="FL13" s="179"/>
      <c r="FM13" s="179"/>
      <c r="FN13" s="118"/>
      <c r="FO13" s="155" t="s">
        <v>92</v>
      </c>
      <c r="FP13" s="41"/>
      <c r="FQ13" s="77"/>
      <c r="FR13" s="77"/>
      <c r="FS13" s="179"/>
      <c r="FT13" s="179"/>
      <c r="FU13" s="232"/>
    </row>
    <row r="14" spans="1:177" ht="33.75" customHeight="1" x14ac:dyDescent="0.2">
      <c r="A14" s="115" t="str">
        <f t="shared" si="4"/>
        <v>Calendar 5</v>
      </c>
      <c r="B14" s="69" t="str">
        <f t="shared" si="5"/>
        <v>Country_code</v>
      </c>
      <c r="C14" s="43" t="s">
        <v>156</v>
      </c>
      <c r="D14" s="43"/>
      <c r="E14" s="17" t="s">
        <v>94</v>
      </c>
      <c r="F14" s="39"/>
      <c r="G14" s="78"/>
      <c r="H14" s="78"/>
      <c r="I14" s="40"/>
      <c r="J14" s="40"/>
      <c r="K14" s="119"/>
      <c r="L14" s="17" t="s">
        <v>97</v>
      </c>
      <c r="M14" s="39"/>
      <c r="N14" s="78"/>
      <c r="O14" s="78"/>
      <c r="P14" s="40"/>
      <c r="Q14" s="40"/>
      <c r="R14" s="119"/>
      <c r="S14" s="17" t="s">
        <v>98</v>
      </c>
      <c r="T14" s="39"/>
      <c r="U14" s="78"/>
      <c r="V14" s="78"/>
      <c r="W14" s="40"/>
      <c r="X14" s="40"/>
      <c r="Y14" s="119"/>
      <c r="Z14" s="17" t="s">
        <v>99</v>
      </c>
      <c r="AA14" s="39"/>
      <c r="AB14" s="78"/>
      <c r="AC14" s="78"/>
      <c r="AD14" s="40"/>
      <c r="AE14" s="40"/>
      <c r="AF14" s="119"/>
      <c r="AG14" s="17" t="s">
        <v>100</v>
      </c>
      <c r="AH14" s="39"/>
      <c r="AI14" s="78"/>
      <c r="AJ14" s="78"/>
      <c r="AK14" s="40"/>
      <c r="AL14" s="40"/>
      <c r="AM14" s="119"/>
      <c r="AN14" s="17" t="s">
        <v>101</v>
      </c>
      <c r="AO14" s="39"/>
      <c r="AP14" s="78"/>
      <c r="AQ14" s="78"/>
      <c r="AR14" s="40"/>
      <c r="AS14" s="40"/>
      <c r="AT14" s="119"/>
      <c r="AU14" s="17" t="s">
        <v>102</v>
      </c>
      <c r="AV14" s="39"/>
      <c r="AW14" s="78"/>
      <c r="AX14" s="78"/>
      <c r="AY14" s="40"/>
      <c r="AZ14" s="40"/>
      <c r="BA14" s="119"/>
      <c r="BB14" s="17" t="s">
        <v>103</v>
      </c>
      <c r="BC14" s="39"/>
      <c r="BD14" s="78"/>
      <c r="BE14" s="78"/>
      <c r="BF14" s="40"/>
      <c r="BG14" s="40"/>
      <c r="BH14" s="119"/>
      <c r="BI14" s="17" t="s">
        <v>104</v>
      </c>
      <c r="BJ14" s="39"/>
      <c r="BK14" s="78"/>
      <c r="BL14" s="78"/>
      <c r="BM14" s="40"/>
      <c r="BN14" s="40"/>
      <c r="BO14" s="119"/>
      <c r="BP14" s="17" t="s">
        <v>105</v>
      </c>
      <c r="BQ14" s="39"/>
      <c r="BR14" s="78"/>
      <c r="BS14" s="78"/>
      <c r="BT14" s="40"/>
      <c r="BU14" s="40"/>
      <c r="BV14" s="119"/>
      <c r="BW14" s="17" t="s">
        <v>106</v>
      </c>
      <c r="BX14" s="39"/>
      <c r="BY14" s="79"/>
      <c r="BZ14" s="79"/>
      <c r="CA14" s="40"/>
      <c r="CB14" s="40"/>
      <c r="CC14" s="119"/>
      <c r="CD14" s="17" t="s">
        <v>107</v>
      </c>
      <c r="CE14" s="39"/>
      <c r="CF14" s="78"/>
      <c r="CG14" s="78"/>
      <c r="CH14" s="40"/>
      <c r="CI14" s="40"/>
      <c r="CJ14" s="119"/>
      <c r="CK14" s="17" t="s">
        <v>108</v>
      </c>
      <c r="CL14" s="39"/>
      <c r="CM14" s="78"/>
      <c r="CN14" s="78"/>
      <c r="CO14" s="40"/>
      <c r="CP14" s="40"/>
      <c r="CQ14" s="119"/>
      <c r="CR14" s="17" t="s">
        <v>109</v>
      </c>
      <c r="CS14" s="39"/>
      <c r="CT14" s="78"/>
      <c r="CU14" s="78"/>
      <c r="CV14" s="40"/>
      <c r="CW14" s="40"/>
      <c r="CX14" s="119"/>
      <c r="CY14" s="17" t="s">
        <v>110</v>
      </c>
      <c r="CZ14" s="39"/>
      <c r="DA14" s="78"/>
      <c r="DB14" s="78"/>
      <c r="DC14" s="40"/>
      <c r="DD14" s="40"/>
      <c r="DE14" s="119"/>
      <c r="DF14" s="17" t="s">
        <v>111</v>
      </c>
      <c r="DG14" s="39"/>
      <c r="DH14" s="78"/>
      <c r="DI14" s="78"/>
      <c r="DJ14" s="40"/>
      <c r="DK14" s="40"/>
      <c r="DL14" s="119"/>
      <c r="DM14" s="17" t="s">
        <v>112</v>
      </c>
      <c r="DN14" s="39"/>
      <c r="DO14" s="78"/>
      <c r="DP14" s="78"/>
      <c r="DQ14" s="40"/>
      <c r="DR14" s="40"/>
      <c r="DS14" s="119"/>
      <c r="DT14" s="17" t="s">
        <v>113</v>
      </c>
      <c r="DU14" s="39"/>
      <c r="DV14" s="78"/>
      <c r="DW14" s="78"/>
      <c r="DX14" s="40"/>
      <c r="DY14" s="40"/>
      <c r="DZ14" s="119"/>
      <c r="EA14" s="17" t="s">
        <v>114</v>
      </c>
      <c r="EB14" s="39"/>
      <c r="EC14" s="78"/>
      <c r="ED14" s="78"/>
      <c r="EE14" s="40"/>
      <c r="EF14" s="40"/>
      <c r="EG14" s="119"/>
      <c r="EH14" s="17" t="s">
        <v>115</v>
      </c>
      <c r="EI14" s="39"/>
      <c r="EJ14" s="78"/>
      <c r="EK14" s="78"/>
      <c r="EL14" s="40"/>
      <c r="EM14" s="40"/>
      <c r="EN14" s="119"/>
      <c r="ET14" s="155" t="s">
        <v>83</v>
      </c>
      <c r="EU14" s="59"/>
      <c r="EV14" s="77"/>
      <c r="EW14" s="176"/>
      <c r="EX14" s="179"/>
      <c r="EY14" s="179"/>
      <c r="EZ14" s="122"/>
      <c r="FA14" s="155" t="s">
        <v>90</v>
      </c>
      <c r="FB14" s="39"/>
      <c r="FC14" s="77"/>
      <c r="FD14" s="77"/>
      <c r="FE14" s="179"/>
      <c r="FF14" s="179"/>
      <c r="FG14" s="136"/>
      <c r="FH14" s="155" t="s">
        <v>89</v>
      </c>
      <c r="FI14" s="39"/>
      <c r="FJ14" s="77"/>
      <c r="FK14" s="77"/>
      <c r="FL14" s="179"/>
      <c r="FM14" s="179"/>
      <c r="FN14" s="119"/>
      <c r="FO14" s="155" t="s">
        <v>92</v>
      </c>
      <c r="FP14" s="39"/>
      <c r="FQ14" s="77"/>
      <c r="FR14" s="77"/>
      <c r="FS14" s="179"/>
      <c r="FT14" s="179"/>
      <c r="FU14" s="230"/>
    </row>
    <row r="15" spans="1:177" ht="33.75" customHeight="1" x14ac:dyDescent="0.2">
      <c r="A15" s="115" t="str">
        <f t="shared" si="4"/>
        <v>Calendar 5</v>
      </c>
      <c r="B15" s="69" t="str">
        <f t="shared" si="5"/>
        <v>Country_code</v>
      </c>
      <c r="C15" s="43" t="s">
        <v>156</v>
      </c>
      <c r="D15" s="43"/>
      <c r="E15" s="17" t="s">
        <v>94</v>
      </c>
      <c r="F15" s="39"/>
      <c r="G15" s="78"/>
      <c r="H15" s="78"/>
      <c r="I15" s="42"/>
      <c r="J15" s="42"/>
      <c r="K15" s="119"/>
      <c r="L15" s="17" t="s">
        <v>97</v>
      </c>
      <c r="M15" s="41"/>
      <c r="N15" s="78"/>
      <c r="O15" s="78"/>
      <c r="P15" s="40"/>
      <c r="Q15" s="42"/>
      <c r="R15" s="119"/>
      <c r="S15" s="17" t="s">
        <v>98</v>
      </c>
      <c r="T15" s="41"/>
      <c r="U15" s="78"/>
      <c r="V15" s="78"/>
      <c r="W15" s="42"/>
      <c r="X15" s="42"/>
      <c r="Y15" s="118"/>
      <c r="Z15" s="17" t="s">
        <v>99</v>
      </c>
      <c r="AA15" s="41"/>
      <c r="AB15" s="78"/>
      <c r="AC15" s="78"/>
      <c r="AD15" s="42"/>
      <c r="AE15" s="42"/>
      <c r="AF15" s="118"/>
      <c r="AG15" s="17" t="s">
        <v>100</v>
      </c>
      <c r="AH15" s="41"/>
      <c r="AI15" s="78"/>
      <c r="AJ15" s="78"/>
      <c r="AK15" s="42"/>
      <c r="AL15" s="42"/>
      <c r="AM15" s="118"/>
      <c r="AN15" s="17" t="s">
        <v>101</v>
      </c>
      <c r="AO15" s="41"/>
      <c r="AP15" s="78"/>
      <c r="AQ15" s="78"/>
      <c r="AR15" s="42"/>
      <c r="AS15" s="42"/>
      <c r="AT15" s="118"/>
      <c r="AU15" s="17" t="s">
        <v>157</v>
      </c>
      <c r="AV15" s="41"/>
      <c r="AW15" s="78"/>
      <c r="AX15" s="78"/>
      <c r="AY15" s="42"/>
      <c r="AZ15" s="42"/>
      <c r="BA15" s="118"/>
      <c r="BB15" s="17" t="s">
        <v>103</v>
      </c>
      <c r="BC15" s="41"/>
      <c r="BD15" s="78"/>
      <c r="BE15" s="78"/>
      <c r="BF15" s="42"/>
      <c r="BG15" s="42"/>
      <c r="BH15" s="118"/>
      <c r="BI15" s="17" t="s">
        <v>104</v>
      </c>
      <c r="BJ15" s="39"/>
      <c r="BK15" s="78"/>
      <c r="BL15" s="78"/>
      <c r="BM15" s="42"/>
      <c r="BN15" s="42"/>
      <c r="BO15" s="118"/>
      <c r="BP15" s="17" t="s">
        <v>105</v>
      </c>
      <c r="BQ15" s="41"/>
      <c r="BR15" s="78"/>
      <c r="BS15" s="78"/>
      <c r="BT15" s="42"/>
      <c r="BU15" s="42"/>
      <c r="BV15" s="118"/>
      <c r="BW15" s="17" t="s">
        <v>106</v>
      </c>
      <c r="BX15" s="41"/>
      <c r="BY15" s="80"/>
      <c r="BZ15" s="80"/>
      <c r="CA15" s="42"/>
      <c r="CB15" s="42"/>
      <c r="CC15" s="118"/>
      <c r="CD15" s="17" t="s">
        <v>107</v>
      </c>
      <c r="CE15" s="41"/>
      <c r="CF15" s="78"/>
      <c r="CG15" s="78"/>
      <c r="CH15" s="42"/>
      <c r="CI15" s="42"/>
      <c r="CJ15" s="118"/>
      <c r="CK15" s="17" t="s">
        <v>108</v>
      </c>
      <c r="CL15" s="41"/>
      <c r="CM15" s="78"/>
      <c r="CN15" s="78"/>
      <c r="CO15" s="42"/>
      <c r="CP15" s="42"/>
      <c r="CQ15" s="118"/>
      <c r="CR15" s="17" t="s">
        <v>109</v>
      </c>
      <c r="CS15" s="41"/>
      <c r="CT15" s="78"/>
      <c r="CU15" s="78"/>
      <c r="CV15" s="42"/>
      <c r="CW15" s="42"/>
      <c r="CX15" s="118"/>
      <c r="CY15" s="17" t="s">
        <v>110</v>
      </c>
      <c r="CZ15" s="41"/>
      <c r="DA15" s="78"/>
      <c r="DB15" s="78"/>
      <c r="DC15" s="42"/>
      <c r="DD15" s="42"/>
      <c r="DE15" s="118"/>
      <c r="DF15" s="17" t="s">
        <v>111</v>
      </c>
      <c r="DG15" s="41"/>
      <c r="DH15" s="78"/>
      <c r="DI15" s="78"/>
      <c r="DJ15" s="42"/>
      <c r="DK15" s="42"/>
      <c r="DL15" s="118"/>
      <c r="DM15" s="17" t="s">
        <v>112</v>
      </c>
      <c r="DN15" s="41"/>
      <c r="DO15" s="78"/>
      <c r="DP15" s="78"/>
      <c r="DQ15" s="42"/>
      <c r="DR15" s="42"/>
      <c r="DS15" s="118"/>
      <c r="DT15" s="17" t="s">
        <v>113</v>
      </c>
      <c r="DU15" s="41"/>
      <c r="DV15" s="78"/>
      <c r="DW15" s="78"/>
      <c r="DX15" s="42"/>
      <c r="DY15" s="42"/>
      <c r="DZ15" s="118"/>
      <c r="EA15" s="17" t="s">
        <v>114</v>
      </c>
      <c r="EB15" s="41"/>
      <c r="EC15" s="78"/>
      <c r="ED15" s="78"/>
      <c r="EE15" s="42"/>
      <c r="EF15" s="42"/>
      <c r="EG15" s="118"/>
      <c r="EH15" s="17" t="s">
        <v>115</v>
      </c>
      <c r="EI15" s="41"/>
      <c r="EJ15" s="78"/>
      <c r="EK15" s="78"/>
      <c r="EL15" s="42"/>
      <c r="EM15" s="42"/>
      <c r="EN15" s="118"/>
      <c r="ET15" s="155" t="s">
        <v>83</v>
      </c>
      <c r="EU15" s="60"/>
      <c r="EV15" s="77"/>
      <c r="EW15" s="176"/>
      <c r="EX15" s="179"/>
      <c r="EY15" s="179"/>
      <c r="EZ15" s="121"/>
      <c r="FA15" s="155" t="s">
        <v>90</v>
      </c>
      <c r="FB15" s="41"/>
      <c r="FC15" s="77"/>
      <c r="FD15" s="77"/>
      <c r="FE15" s="179"/>
      <c r="FF15" s="179"/>
      <c r="FG15" s="118"/>
      <c r="FH15" s="155" t="s">
        <v>89</v>
      </c>
      <c r="FI15" s="41"/>
      <c r="FJ15" s="77"/>
      <c r="FK15" s="77"/>
      <c r="FL15" s="179"/>
      <c r="FM15" s="179"/>
      <c r="FN15" s="118"/>
      <c r="FO15" s="155" t="s">
        <v>92</v>
      </c>
      <c r="FP15" s="41"/>
      <c r="FQ15" s="77"/>
      <c r="FR15" s="77"/>
      <c r="FS15" s="179"/>
      <c r="FT15" s="179"/>
      <c r="FU15" s="232"/>
    </row>
    <row r="16" spans="1:177" ht="33.75" customHeight="1" x14ac:dyDescent="0.2">
      <c r="A16" s="115" t="str">
        <f t="shared" si="4"/>
        <v>Calendar 6</v>
      </c>
      <c r="B16" s="69" t="str">
        <f t="shared" si="5"/>
        <v>Country_code</v>
      </c>
      <c r="C16" s="43" t="s">
        <v>158</v>
      </c>
      <c r="D16" s="43"/>
      <c r="E16" s="17" t="s">
        <v>94</v>
      </c>
      <c r="F16" s="39"/>
      <c r="G16" s="78"/>
      <c r="H16" s="78"/>
      <c r="I16" s="40"/>
      <c r="J16" s="40"/>
      <c r="K16" s="119"/>
      <c r="L16" s="17" t="s">
        <v>97</v>
      </c>
      <c r="M16" s="39"/>
      <c r="N16" s="78"/>
      <c r="O16" s="78"/>
      <c r="P16" s="40"/>
      <c r="Q16" s="40"/>
      <c r="R16" s="119"/>
      <c r="S16" s="17" t="s">
        <v>98</v>
      </c>
      <c r="T16" s="39"/>
      <c r="U16" s="78"/>
      <c r="V16" s="78"/>
      <c r="W16" s="40"/>
      <c r="X16" s="40"/>
      <c r="Y16" s="119"/>
      <c r="Z16" s="17" t="s">
        <v>99</v>
      </c>
      <c r="AA16" s="39"/>
      <c r="AB16" s="78"/>
      <c r="AC16" s="78"/>
      <c r="AD16" s="40"/>
      <c r="AE16" s="40"/>
      <c r="AF16" s="119"/>
      <c r="AG16" s="17" t="s">
        <v>100</v>
      </c>
      <c r="AH16" s="39"/>
      <c r="AI16" s="78"/>
      <c r="AJ16" s="78"/>
      <c r="AK16" s="40"/>
      <c r="AL16" s="40"/>
      <c r="AM16" s="119"/>
      <c r="AN16" s="17" t="s">
        <v>101</v>
      </c>
      <c r="AO16" s="39"/>
      <c r="AP16" s="78"/>
      <c r="AQ16" s="78"/>
      <c r="AR16" s="40"/>
      <c r="AS16" s="40"/>
      <c r="AT16" s="119"/>
      <c r="AU16" s="17" t="s">
        <v>157</v>
      </c>
      <c r="AV16" s="39"/>
      <c r="AW16" s="78"/>
      <c r="AX16" s="78"/>
      <c r="AY16" s="40"/>
      <c r="AZ16" s="40"/>
      <c r="BA16" s="119"/>
      <c r="BB16" s="17" t="s">
        <v>103</v>
      </c>
      <c r="BC16" s="39"/>
      <c r="BD16" s="78"/>
      <c r="BE16" s="78"/>
      <c r="BF16" s="40"/>
      <c r="BG16" s="40"/>
      <c r="BH16" s="119"/>
      <c r="BI16" s="17" t="s">
        <v>104</v>
      </c>
      <c r="BJ16" s="39"/>
      <c r="BK16" s="78"/>
      <c r="BL16" s="78"/>
      <c r="BM16" s="40"/>
      <c r="BN16" s="40"/>
      <c r="BO16" s="119"/>
      <c r="BP16" s="17" t="s">
        <v>105</v>
      </c>
      <c r="BQ16" s="39"/>
      <c r="BR16" s="78"/>
      <c r="BS16" s="78"/>
      <c r="BT16" s="40"/>
      <c r="BU16" s="40"/>
      <c r="BV16" s="119"/>
      <c r="BW16" s="17" t="s">
        <v>106</v>
      </c>
      <c r="BX16" s="39"/>
      <c r="BY16" s="79"/>
      <c r="BZ16" s="79"/>
      <c r="CA16" s="40"/>
      <c r="CB16" s="40"/>
      <c r="CC16" s="119"/>
      <c r="CD16" s="17" t="s">
        <v>107</v>
      </c>
      <c r="CE16" s="39"/>
      <c r="CF16" s="78"/>
      <c r="CG16" s="78"/>
      <c r="CH16" s="40"/>
      <c r="CI16" s="40"/>
      <c r="CJ16" s="119"/>
      <c r="CK16" s="17" t="s">
        <v>108</v>
      </c>
      <c r="CL16" s="39"/>
      <c r="CM16" s="78"/>
      <c r="CN16" s="78"/>
      <c r="CO16" s="40"/>
      <c r="CP16" s="40"/>
      <c r="CQ16" s="119"/>
      <c r="CR16" s="17" t="s">
        <v>109</v>
      </c>
      <c r="CS16" s="39"/>
      <c r="CT16" s="78"/>
      <c r="CU16" s="78"/>
      <c r="CV16" s="40"/>
      <c r="CW16" s="40"/>
      <c r="CX16" s="119"/>
      <c r="CY16" s="17" t="s">
        <v>110</v>
      </c>
      <c r="CZ16" s="39"/>
      <c r="DA16" s="78"/>
      <c r="DB16" s="78"/>
      <c r="DC16" s="40"/>
      <c r="DD16" s="40"/>
      <c r="DE16" s="119"/>
      <c r="DF16" s="17" t="s">
        <v>111</v>
      </c>
      <c r="DG16" s="39"/>
      <c r="DH16" s="78"/>
      <c r="DI16" s="78"/>
      <c r="DJ16" s="40"/>
      <c r="DK16" s="40"/>
      <c r="DL16" s="119"/>
      <c r="DM16" s="17" t="s">
        <v>112</v>
      </c>
      <c r="DN16" s="39"/>
      <c r="DO16" s="78"/>
      <c r="DP16" s="78"/>
      <c r="DQ16" s="40"/>
      <c r="DR16" s="40"/>
      <c r="DS16" s="119"/>
      <c r="DT16" s="17" t="s">
        <v>113</v>
      </c>
      <c r="DU16" s="39"/>
      <c r="DV16" s="78"/>
      <c r="DW16" s="78"/>
      <c r="DX16" s="40"/>
      <c r="DY16" s="40"/>
      <c r="DZ16" s="119"/>
      <c r="EA16" s="17" t="s">
        <v>114</v>
      </c>
      <c r="EB16" s="39"/>
      <c r="EC16" s="78"/>
      <c r="ED16" s="78"/>
      <c r="EE16" s="40"/>
      <c r="EF16" s="40"/>
      <c r="EG16" s="119"/>
      <c r="EH16" s="17" t="s">
        <v>115</v>
      </c>
      <c r="EI16" s="39"/>
      <c r="EJ16" s="78"/>
      <c r="EK16" s="78"/>
      <c r="EL16" s="40"/>
      <c r="EM16" s="40"/>
      <c r="EN16" s="119"/>
      <c r="ET16" s="155" t="s">
        <v>83</v>
      </c>
      <c r="EU16" s="59"/>
      <c r="EV16" s="77"/>
      <c r="EW16" s="176"/>
      <c r="EX16" s="179"/>
      <c r="EY16" s="179"/>
      <c r="EZ16" s="122"/>
      <c r="FA16" s="155" t="s">
        <v>90</v>
      </c>
      <c r="FB16" s="39"/>
      <c r="FC16" s="77"/>
      <c r="FD16" s="77"/>
      <c r="FE16" s="179"/>
      <c r="FF16" s="179"/>
      <c r="FG16" s="119"/>
      <c r="FH16" s="155" t="s">
        <v>89</v>
      </c>
      <c r="FI16" s="39"/>
      <c r="FJ16" s="77"/>
      <c r="FK16" s="77"/>
      <c r="FL16" s="179"/>
      <c r="FM16" s="179"/>
      <c r="FN16" s="119"/>
      <c r="FO16" s="155" t="s">
        <v>92</v>
      </c>
      <c r="FP16" s="39"/>
      <c r="FQ16" s="77"/>
      <c r="FR16" s="77"/>
      <c r="FS16" s="179"/>
      <c r="FT16" s="179"/>
      <c r="FU16" s="230"/>
    </row>
    <row r="17" spans="1:177" ht="33.75" customHeight="1" x14ac:dyDescent="0.2">
      <c r="A17" s="115" t="str">
        <f t="shared" si="4"/>
        <v>Calendar 6</v>
      </c>
      <c r="B17" s="69" t="str">
        <f t="shared" si="5"/>
        <v>Country_code</v>
      </c>
      <c r="C17" s="43" t="s">
        <v>158</v>
      </c>
      <c r="D17" s="43"/>
      <c r="E17" s="17" t="s">
        <v>94</v>
      </c>
      <c r="F17" s="39"/>
      <c r="G17" s="78"/>
      <c r="H17" s="78"/>
      <c r="I17" s="42"/>
      <c r="J17" s="42"/>
      <c r="K17" s="119"/>
      <c r="L17" s="17" t="s">
        <v>97</v>
      </c>
      <c r="M17" s="41"/>
      <c r="N17" s="78"/>
      <c r="O17" s="78"/>
      <c r="P17" s="40"/>
      <c r="Q17" s="42"/>
      <c r="R17" s="119"/>
      <c r="S17" s="17" t="s">
        <v>98</v>
      </c>
      <c r="T17" s="41"/>
      <c r="U17" s="78"/>
      <c r="V17" s="78"/>
      <c r="W17" s="42"/>
      <c r="X17" s="42"/>
      <c r="Y17" s="118"/>
      <c r="Z17" s="17" t="s">
        <v>99</v>
      </c>
      <c r="AA17" s="41"/>
      <c r="AB17" s="78"/>
      <c r="AC17" s="78"/>
      <c r="AD17" s="42"/>
      <c r="AE17" s="42"/>
      <c r="AF17" s="118"/>
      <c r="AG17" s="17" t="s">
        <v>100</v>
      </c>
      <c r="AH17" s="41"/>
      <c r="AI17" s="78"/>
      <c r="AJ17" s="78"/>
      <c r="AK17" s="42"/>
      <c r="AL17" s="42"/>
      <c r="AM17" s="118"/>
      <c r="AN17" s="17" t="s">
        <v>101</v>
      </c>
      <c r="AO17" s="41"/>
      <c r="AP17" s="78"/>
      <c r="AQ17" s="78"/>
      <c r="AR17" s="42"/>
      <c r="AS17" s="42"/>
      <c r="AT17" s="118"/>
      <c r="AU17" s="17" t="s">
        <v>157</v>
      </c>
      <c r="AV17" s="41"/>
      <c r="AW17" s="78"/>
      <c r="AX17" s="78"/>
      <c r="AY17" s="42"/>
      <c r="AZ17" s="42"/>
      <c r="BA17" s="118"/>
      <c r="BB17" s="17" t="s">
        <v>103</v>
      </c>
      <c r="BC17" s="41"/>
      <c r="BD17" s="78"/>
      <c r="BE17" s="78"/>
      <c r="BF17" s="42"/>
      <c r="BG17" s="42"/>
      <c r="BH17" s="118"/>
      <c r="BI17" s="17" t="s">
        <v>104</v>
      </c>
      <c r="BJ17" s="39"/>
      <c r="BK17" s="78"/>
      <c r="BL17" s="78"/>
      <c r="BM17" s="42"/>
      <c r="BN17" s="42"/>
      <c r="BO17" s="118"/>
      <c r="BP17" s="17" t="s">
        <v>105</v>
      </c>
      <c r="BQ17" s="41"/>
      <c r="BR17" s="78"/>
      <c r="BS17" s="78"/>
      <c r="BT17" s="42"/>
      <c r="BU17" s="42"/>
      <c r="BV17" s="118"/>
      <c r="BW17" s="17" t="s">
        <v>106</v>
      </c>
      <c r="BX17" s="41"/>
      <c r="BY17" s="80"/>
      <c r="BZ17" s="80"/>
      <c r="CA17" s="42"/>
      <c r="CB17" s="42"/>
      <c r="CC17" s="118"/>
      <c r="CD17" s="17" t="s">
        <v>107</v>
      </c>
      <c r="CE17" s="41"/>
      <c r="CF17" s="78"/>
      <c r="CG17" s="78"/>
      <c r="CH17" s="42"/>
      <c r="CI17" s="42"/>
      <c r="CJ17" s="118"/>
      <c r="CK17" s="17" t="s">
        <v>108</v>
      </c>
      <c r="CL17" s="41"/>
      <c r="CM17" s="78"/>
      <c r="CN17" s="78"/>
      <c r="CO17" s="42"/>
      <c r="CP17" s="42"/>
      <c r="CQ17" s="118"/>
      <c r="CR17" s="17" t="s">
        <v>109</v>
      </c>
      <c r="CS17" s="41"/>
      <c r="CT17" s="78"/>
      <c r="CU17" s="78"/>
      <c r="CV17" s="42"/>
      <c r="CW17" s="42"/>
      <c r="CX17" s="118"/>
      <c r="CY17" s="17" t="s">
        <v>110</v>
      </c>
      <c r="CZ17" s="41"/>
      <c r="DA17" s="78"/>
      <c r="DB17" s="78"/>
      <c r="DC17" s="42"/>
      <c r="DD17" s="42"/>
      <c r="DE17" s="118"/>
      <c r="DF17" s="17" t="s">
        <v>111</v>
      </c>
      <c r="DG17" s="41"/>
      <c r="DH17" s="78"/>
      <c r="DI17" s="78"/>
      <c r="DJ17" s="42"/>
      <c r="DK17" s="42"/>
      <c r="DL17" s="118"/>
      <c r="DM17" s="17" t="s">
        <v>112</v>
      </c>
      <c r="DN17" s="41"/>
      <c r="DO17" s="78"/>
      <c r="DP17" s="78"/>
      <c r="DQ17" s="42"/>
      <c r="DR17" s="42"/>
      <c r="DS17" s="118"/>
      <c r="DT17" s="17" t="s">
        <v>113</v>
      </c>
      <c r="DU17" s="41"/>
      <c r="DV17" s="78"/>
      <c r="DW17" s="78"/>
      <c r="DX17" s="42"/>
      <c r="DY17" s="42"/>
      <c r="DZ17" s="118"/>
      <c r="EA17" s="17" t="s">
        <v>114</v>
      </c>
      <c r="EB17" s="41"/>
      <c r="EC17" s="78"/>
      <c r="ED17" s="78"/>
      <c r="EE17" s="42"/>
      <c r="EF17" s="42"/>
      <c r="EG17" s="118"/>
      <c r="EH17" s="17" t="s">
        <v>115</v>
      </c>
      <c r="EI17" s="41"/>
      <c r="EJ17" s="78"/>
      <c r="EK17" s="78"/>
      <c r="EL17" s="42"/>
      <c r="EM17" s="42"/>
      <c r="EN17" s="118"/>
      <c r="ET17" s="155" t="s">
        <v>83</v>
      </c>
      <c r="EU17" s="60"/>
      <c r="EV17" s="77"/>
      <c r="EW17" s="176"/>
      <c r="EX17" s="179"/>
      <c r="EY17" s="179"/>
      <c r="EZ17" s="121"/>
      <c r="FA17" s="155" t="s">
        <v>90</v>
      </c>
      <c r="FB17" s="41"/>
      <c r="FC17" s="77"/>
      <c r="FD17" s="77"/>
      <c r="FE17" s="179"/>
      <c r="FF17" s="179"/>
      <c r="FG17" s="118"/>
      <c r="FH17" s="155" t="s">
        <v>89</v>
      </c>
      <c r="FI17" s="41"/>
      <c r="FJ17" s="77"/>
      <c r="FK17" s="77"/>
      <c r="FL17" s="179"/>
      <c r="FM17" s="179"/>
      <c r="FN17" s="118"/>
      <c r="FO17" s="155" t="s">
        <v>92</v>
      </c>
      <c r="FP17" s="41"/>
      <c r="FQ17" s="77"/>
      <c r="FR17" s="77"/>
      <c r="FS17" s="179"/>
      <c r="FT17" s="179"/>
      <c r="FU17" s="232"/>
    </row>
    <row r="18" spans="1:177" ht="33.75" customHeight="1" x14ac:dyDescent="0.2">
      <c r="A18" s="115" t="str">
        <f t="shared" si="4"/>
        <v>Calendar 7</v>
      </c>
      <c r="B18" s="69" t="str">
        <f t="shared" si="5"/>
        <v>Country_code</v>
      </c>
      <c r="C18" s="43" t="s">
        <v>159</v>
      </c>
      <c r="D18" s="43"/>
      <c r="E18" s="17" t="s">
        <v>94</v>
      </c>
      <c r="F18" s="39"/>
      <c r="G18" s="78"/>
      <c r="H18" s="78"/>
      <c r="I18" s="40"/>
      <c r="J18" s="40"/>
      <c r="K18" s="119"/>
      <c r="L18" s="17" t="s">
        <v>97</v>
      </c>
      <c r="M18" s="39"/>
      <c r="N18" s="78"/>
      <c r="O18" s="78"/>
      <c r="P18" s="40"/>
      <c r="Q18" s="40"/>
      <c r="R18" s="119"/>
      <c r="S18" s="17" t="s">
        <v>98</v>
      </c>
      <c r="T18" s="39"/>
      <c r="U18" s="78"/>
      <c r="V18" s="78"/>
      <c r="W18" s="40"/>
      <c r="X18" s="40"/>
      <c r="Y18" s="119"/>
      <c r="Z18" s="17" t="s">
        <v>99</v>
      </c>
      <c r="AA18" s="39"/>
      <c r="AB18" s="78"/>
      <c r="AC18" s="78"/>
      <c r="AD18" s="40"/>
      <c r="AE18" s="40"/>
      <c r="AF18" s="119"/>
      <c r="AG18" s="17" t="s">
        <v>100</v>
      </c>
      <c r="AH18" s="39"/>
      <c r="AI18" s="78"/>
      <c r="AJ18" s="78"/>
      <c r="AK18" s="40"/>
      <c r="AL18" s="40"/>
      <c r="AM18" s="119"/>
      <c r="AN18" s="17" t="s">
        <v>101</v>
      </c>
      <c r="AO18" s="39"/>
      <c r="AP18" s="78"/>
      <c r="AQ18" s="78"/>
      <c r="AR18" s="40"/>
      <c r="AS18" s="40"/>
      <c r="AT18" s="119"/>
      <c r="AU18" s="17" t="s">
        <v>157</v>
      </c>
      <c r="AV18" s="39"/>
      <c r="AW18" s="78"/>
      <c r="AX18" s="78"/>
      <c r="AY18" s="40"/>
      <c r="AZ18" s="40"/>
      <c r="BA18" s="119"/>
      <c r="BB18" s="17" t="s">
        <v>103</v>
      </c>
      <c r="BC18" s="39"/>
      <c r="BD18" s="78"/>
      <c r="BE18" s="78"/>
      <c r="BF18" s="40"/>
      <c r="BG18" s="40"/>
      <c r="BH18" s="119"/>
      <c r="BI18" s="17" t="s">
        <v>104</v>
      </c>
      <c r="BJ18" s="39"/>
      <c r="BK18" s="78"/>
      <c r="BL18" s="78"/>
      <c r="BM18" s="40"/>
      <c r="BN18" s="40"/>
      <c r="BO18" s="119"/>
      <c r="BP18" s="17" t="s">
        <v>105</v>
      </c>
      <c r="BQ18" s="39"/>
      <c r="BR18" s="78"/>
      <c r="BS18" s="78"/>
      <c r="BT18" s="40"/>
      <c r="BU18" s="40"/>
      <c r="BV18" s="119"/>
      <c r="BW18" s="17" t="s">
        <v>106</v>
      </c>
      <c r="BX18" s="39"/>
      <c r="BY18" s="79"/>
      <c r="BZ18" s="79"/>
      <c r="CA18" s="40"/>
      <c r="CB18" s="40"/>
      <c r="CC18" s="119"/>
      <c r="CD18" s="17" t="s">
        <v>107</v>
      </c>
      <c r="CE18" s="39"/>
      <c r="CF18" s="78"/>
      <c r="CG18" s="78"/>
      <c r="CH18" s="40"/>
      <c r="CI18" s="40"/>
      <c r="CJ18" s="119"/>
      <c r="CK18" s="17" t="s">
        <v>108</v>
      </c>
      <c r="CL18" s="39"/>
      <c r="CM18" s="78"/>
      <c r="CN18" s="78"/>
      <c r="CO18" s="40"/>
      <c r="CP18" s="40"/>
      <c r="CQ18" s="119"/>
      <c r="CR18" s="17" t="s">
        <v>109</v>
      </c>
      <c r="CS18" s="39"/>
      <c r="CT18" s="78"/>
      <c r="CU18" s="78"/>
      <c r="CV18" s="40"/>
      <c r="CW18" s="40"/>
      <c r="CX18" s="119"/>
      <c r="CY18" s="17" t="s">
        <v>110</v>
      </c>
      <c r="CZ18" s="39"/>
      <c r="DA18" s="78"/>
      <c r="DB18" s="78"/>
      <c r="DC18" s="40"/>
      <c r="DD18" s="40"/>
      <c r="DE18" s="119"/>
      <c r="DF18" s="17" t="s">
        <v>111</v>
      </c>
      <c r="DG18" s="39"/>
      <c r="DH18" s="78"/>
      <c r="DI18" s="78"/>
      <c r="DJ18" s="40"/>
      <c r="DK18" s="40"/>
      <c r="DL18" s="119"/>
      <c r="DM18" s="17" t="s">
        <v>112</v>
      </c>
      <c r="DN18" s="39"/>
      <c r="DO18" s="78"/>
      <c r="DP18" s="78"/>
      <c r="DQ18" s="40"/>
      <c r="DR18" s="40"/>
      <c r="DS18" s="119"/>
      <c r="DT18" s="17" t="s">
        <v>113</v>
      </c>
      <c r="DU18" s="39"/>
      <c r="DV18" s="78"/>
      <c r="DW18" s="78"/>
      <c r="DX18" s="40"/>
      <c r="DY18" s="40"/>
      <c r="DZ18" s="119"/>
      <c r="EA18" s="17" t="s">
        <v>114</v>
      </c>
      <c r="EB18" s="39"/>
      <c r="EC18" s="78"/>
      <c r="ED18" s="78"/>
      <c r="EE18" s="40"/>
      <c r="EF18" s="40"/>
      <c r="EG18" s="119"/>
      <c r="EH18" s="17" t="s">
        <v>115</v>
      </c>
      <c r="EI18" s="39"/>
      <c r="EJ18" s="78"/>
      <c r="EK18" s="78"/>
      <c r="EL18" s="40"/>
      <c r="EM18" s="40"/>
      <c r="EN18" s="119"/>
      <c r="ET18" s="155" t="s">
        <v>83</v>
      </c>
      <c r="EU18" s="59"/>
      <c r="EV18" s="77"/>
      <c r="EW18" s="176"/>
      <c r="EX18" s="179"/>
      <c r="EY18" s="179"/>
      <c r="EZ18" s="122"/>
      <c r="FA18" s="155" t="s">
        <v>90</v>
      </c>
      <c r="FB18" s="39"/>
      <c r="FC18" s="77"/>
      <c r="FD18" s="77"/>
      <c r="FE18" s="179"/>
      <c r="FF18" s="179"/>
      <c r="FG18" s="119"/>
      <c r="FH18" s="155" t="s">
        <v>89</v>
      </c>
      <c r="FI18" s="39"/>
      <c r="FJ18" s="77"/>
      <c r="FK18" s="77"/>
      <c r="FL18" s="179"/>
      <c r="FM18" s="179"/>
      <c r="FN18" s="119"/>
      <c r="FO18" s="155" t="s">
        <v>92</v>
      </c>
      <c r="FP18" s="39"/>
      <c r="FQ18" s="77"/>
      <c r="FR18" s="77"/>
      <c r="FS18" s="179"/>
      <c r="FT18" s="179"/>
      <c r="FU18" s="230"/>
    </row>
    <row r="19" spans="1:177" ht="33.75" customHeight="1" x14ac:dyDescent="0.2">
      <c r="A19" s="115" t="str">
        <f t="shared" si="4"/>
        <v>Calendar 7</v>
      </c>
      <c r="B19" s="69" t="str">
        <f t="shared" si="5"/>
        <v>Country_code</v>
      </c>
      <c r="C19" s="43" t="s">
        <v>159</v>
      </c>
      <c r="D19" s="43"/>
      <c r="E19" s="17" t="s">
        <v>94</v>
      </c>
      <c r="F19" s="39"/>
      <c r="G19" s="78"/>
      <c r="H19" s="78"/>
      <c r="I19" s="42"/>
      <c r="J19" s="42"/>
      <c r="K19" s="119"/>
      <c r="L19" s="17" t="s">
        <v>97</v>
      </c>
      <c r="M19" s="41"/>
      <c r="N19" s="78"/>
      <c r="O19" s="78"/>
      <c r="P19" s="40"/>
      <c r="Q19" s="42"/>
      <c r="R19" s="119"/>
      <c r="S19" s="17" t="s">
        <v>98</v>
      </c>
      <c r="T19" s="41"/>
      <c r="U19" s="78"/>
      <c r="V19" s="78"/>
      <c r="W19" s="42"/>
      <c r="X19" s="42"/>
      <c r="Y19" s="118"/>
      <c r="Z19" s="17" t="s">
        <v>99</v>
      </c>
      <c r="AA19" s="41"/>
      <c r="AB19" s="78"/>
      <c r="AC19" s="78"/>
      <c r="AD19" s="42"/>
      <c r="AE19" s="42"/>
      <c r="AF19" s="118"/>
      <c r="AG19" s="17" t="s">
        <v>100</v>
      </c>
      <c r="AH19" s="41"/>
      <c r="AI19" s="78"/>
      <c r="AJ19" s="78"/>
      <c r="AK19" s="42"/>
      <c r="AL19" s="42"/>
      <c r="AM19" s="118"/>
      <c r="AN19" s="17" t="s">
        <v>101</v>
      </c>
      <c r="AO19" s="41"/>
      <c r="AP19" s="78"/>
      <c r="AQ19" s="78"/>
      <c r="AR19" s="42"/>
      <c r="AS19" s="42"/>
      <c r="AT19" s="118"/>
      <c r="AU19" s="17" t="s">
        <v>157</v>
      </c>
      <c r="AV19" s="41"/>
      <c r="AW19" s="78"/>
      <c r="AX19" s="78"/>
      <c r="AY19" s="42"/>
      <c r="AZ19" s="42"/>
      <c r="BA19" s="118"/>
      <c r="BB19" s="17" t="s">
        <v>103</v>
      </c>
      <c r="BC19" s="41"/>
      <c r="BD19" s="78"/>
      <c r="BE19" s="78"/>
      <c r="BF19" s="42"/>
      <c r="BG19" s="42"/>
      <c r="BH19" s="118"/>
      <c r="BI19" s="17" t="s">
        <v>104</v>
      </c>
      <c r="BJ19" s="39"/>
      <c r="BK19" s="78"/>
      <c r="BL19" s="78"/>
      <c r="BM19" s="42"/>
      <c r="BN19" s="42"/>
      <c r="BO19" s="118"/>
      <c r="BP19" s="17" t="s">
        <v>105</v>
      </c>
      <c r="BQ19" s="41"/>
      <c r="BR19" s="78"/>
      <c r="BS19" s="78"/>
      <c r="BT19" s="42"/>
      <c r="BU19" s="42"/>
      <c r="BV19" s="118"/>
      <c r="BW19" s="17" t="s">
        <v>106</v>
      </c>
      <c r="BX19" s="41"/>
      <c r="BY19" s="80"/>
      <c r="BZ19" s="80"/>
      <c r="CA19" s="42"/>
      <c r="CB19" s="42"/>
      <c r="CC19" s="118"/>
      <c r="CD19" s="17" t="s">
        <v>107</v>
      </c>
      <c r="CE19" s="41"/>
      <c r="CF19" s="78"/>
      <c r="CG19" s="78"/>
      <c r="CH19" s="42"/>
      <c r="CI19" s="42"/>
      <c r="CJ19" s="118"/>
      <c r="CK19" s="17" t="s">
        <v>108</v>
      </c>
      <c r="CL19" s="41"/>
      <c r="CM19" s="78"/>
      <c r="CN19" s="78"/>
      <c r="CO19" s="42"/>
      <c r="CP19" s="42"/>
      <c r="CQ19" s="118"/>
      <c r="CR19" s="17" t="s">
        <v>109</v>
      </c>
      <c r="CS19" s="41"/>
      <c r="CT19" s="78"/>
      <c r="CU19" s="78"/>
      <c r="CV19" s="42"/>
      <c r="CW19" s="42"/>
      <c r="CX19" s="118"/>
      <c r="CY19" s="17" t="s">
        <v>110</v>
      </c>
      <c r="CZ19" s="41"/>
      <c r="DA19" s="78"/>
      <c r="DB19" s="78"/>
      <c r="DC19" s="42"/>
      <c r="DD19" s="42"/>
      <c r="DE19" s="118"/>
      <c r="DF19" s="17" t="s">
        <v>111</v>
      </c>
      <c r="DG19" s="41"/>
      <c r="DH19" s="78"/>
      <c r="DI19" s="78"/>
      <c r="DJ19" s="42"/>
      <c r="DK19" s="42"/>
      <c r="DL19" s="118"/>
      <c r="DM19" s="17" t="s">
        <v>112</v>
      </c>
      <c r="DN19" s="41"/>
      <c r="DO19" s="78"/>
      <c r="DP19" s="78"/>
      <c r="DQ19" s="42"/>
      <c r="DR19" s="42"/>
      <c r="DS19" s="118"/>
      <c r="DT19" s="17" t="s">
        <v>113</v>
      </c>
      <c r="DU19" s="41"/>
      <c r="DV19" s="78"/>
      <c r="DW19" s="78"/>
      <c r="DX19" s="42"/>
      <c r="DY19" s="42"/>
      <c r="DZ19" s="118"/>
      <c r="EA19" s="17" t="s">
        <v>114</v>
      </c>
      <c r="EB19" s="41"/>
      <c r="EC19" s="78"/>
      <c r="ED19" s="78"/>
      <c r="EE19" s="42"/>
      <c r="EF19" s="42"/>
      <c r="EG19" s="118"/>
      <c r="EH19" s="17" t="s">
        <v>115</v>
      </c>
      <c r="EI19" s="41"/>
      <c r="EJ19" s="78"/>
      <c r="EK19" s="78"/>
      <c r="EL19" s="42"/>
      <c r="EM19" s="42"/>
      <c r="EN19" s="118"/>
      <c r="ET19" s="155" t="s">
        <v>83</v>
      </c>
      <c r="EU19" s="60"/>
      <c r="EV19" s="77"/>
      <c r="EW19" s="176"/>
      <c r="EX19" s="179"/>
      <c r="EY19" s="179"/>
      <c r="EZ19" s="121"/>
      <c r="FA19" s="155" t="s">
        <v>90</v>
      </c>
      <c r="FB19" s="41"/>
      <c r="FC19" s="77"/>
      <c r="FD19" s="77"/>
      <c r="FE19" s="179"/>
      <c r="FF19" s="179"/>
      <c r="FG19" s="118"/>
      <c r="FH19" s="155" t="s">
        <v>89</v>
      </c>
      <c r="FI19" s="41"/>
      <c r="FJ19" s="77"/>
      <c r="FK19" s="77"/>
      <c r="FL19" s="179"/>
      <c r="FM19" s="179"/>
      <c r="FN19" s="118"/>
      <c r="FO19" s="155" t="s">
        <v>92</v>
      </c>
      <c r="FP19" s="41"/>
      <c r="FQ19" s="77"/>
      <c r="FR19" s="77"/>
      <c r="FS19" s="179"/>
      <c r="FT19" s="179"/>
      <c r="FU19" s="232"/>
    </row>
    <row r="20" spans="1:177" ht="33.75" customHeight="1" x14ac:dyDescent="0.2">
      <c r="A20" s="115" t="str">
        <f t="shared" si="4"/>
        <v>Calendar 8</v>
      </c>
      <c r="B20" s="69" t="str">
        <f t="shared" si="5"/>
        <v>Country_code</v>
      </c>
      <c r="C20" s="43" t="s">
        <v>160</v>
      </c>
      <c r="D20" s="43"/>
      <c r="E20" s="17" t="s">
        <v>94</v>
      </c>
      <c r="F20" s="39"/>
      <c r="G20" s="78"/>
      <c r="H20" s="78"/>
      <c r="I20" s="40"/>
      <c r="J20" s="40"/>
      <c r="K20" s="119"/>
      <c r="L20" s="17" t="s">
        <v>97</v>
      </c>
      <c r="M20" s="39"/>
      <c r="N20" s="78"/>
      <c r="O20" s="78"/>
      <c r="P20" s="40"/>
      <c r="Q20" s="40"/>
      <c r="R20" s="119"/>
      <c r="S20" s="17" t="s">
        <v>98</v>
      </c>
      <c r="T20" s="39"/>
      <c r="U20" s="78"/>
      <c r="V20" s="78"/>
      <c r="W20" s="40"/>
      <c r="X20" s="40"/>
      <c r="Y20" s="119"/>
      <c r="Z20" s="17" t="s">
        <v>99</v>
      </c>
      <c r="AA20" s="39"/>
      <c r="AB20" s="78"/>
      <c r="AC20" s="78"/>
      <c r="AD20" s="40"/>
      <c r="AE20" s="40"/>
      <c r="AF20" s="119"/>
      <c r="AG20" s="17" t="s">
        <v>100</v>
      </c>
      <c r="AH20" s="39"/>
      <c r="AI20" s="78"/>
      <c r="AJ20" s="78"/>
      <c r="AK20" s="40"/>
      <c r="AL20" s="40"/>
      <c r="AM20" s="119"/>
      <c r="AN20" s="17" t="s">
        <v>101</v>
      </c>
      <c r="AO20" s="39"/>
      <c r="AP20" s="78"/>
      <c r="AQ20" s="78"/>
      <c r="AR20" s="40"/>
      <c r="AS20" s="40"/>
      <c r="AT20" s="119"/>
      <c r="AU20" s="17" t="s">
        <v>157</v>
      </c>
      <c r="AV20" s="39"/>
      <c r="AW20" s="78"/>
      <c r="AX20" s="78"/>
      <c r="AY20" s="40"/>
      <c r="AZ20" s="40"/>
      <c r="BA20" s="119"/>
      <c r="BB20" s="17" t="s">
        <v>103</v>
      </c>
      <c r="BC20" s="39"/>
      <c r="BD20" s="78"/>
      <c r="BE20" s="78"/>
      <c r="BF20" s="40"/>
      <c r="BG20" s="40"/>
      <c r="BH20" s="119"/>
      <c r="BI20" s="17" t="s">
        <v>104</v>
      </c>
      <c r="BJ20" s="39"/>
      <c r="BK20" s="78"/>
      <c r="BL20" s="78"/>
      <c r="BM20" s="40"/>
      <c r="BN20" s="40"/>
      <c r="BO20" s="119"/>
      <c r="BP20" s="17" t="s">
        <v>105</v>
      </c>
      <c r="BQ20" s="39"/>
      <c r="BR20" s="78"/>
      <c r="BS20" s="78"/>
      <c r="BT20" s="40"/>
      <c r="BU20" s="40"/>
      <c r="BV20" s="119"/>
      <c r="BW20" s="17" t="s">
        <v>106</v>
      </c>
      <c r="BX20" s="39"/>
      <c r="BY20" s="79"/>
      <c r="BZ20" s="79"/>
      <c r="CA20" s="40"/>
      <c r="CB20" s="40"/>
      <c r="CC20" s="119"/>
      <c r="CD20" s="17" t="s">
        <v>107</v>
      </c>
      <c r="CE20" s="39"/>
      <c r="CF20" s="78"/>
      <c r="CG20" s="78"/>
      <c r="CH20" s="40"/>
      <c r="CI20" s="40"/>
      <c r="CJ20" s="119"/>
      <c r="CK20" s="17" t="s">
        <v>108</v>
      </c>
      <c r="CL20" s="39"/>
      <c r="CM20" s="78"/>
      <c r="CN20" s="78"/>
      <c r="CO20" s="40"/>
      <c r="CP20" s="40"/>
      <c r="CQ20" s="119"/>
      <c r="CR20" s="17" t="s">
        <v>109</v>
      </c>
      <c r="CS20" s="39"/>
      <c r="CT20" s="78"/>
      <c r="CU20" s="78"/>
      <c r="CV20" s="40"/>
      <c r="CW20" s="40"/>
      <c r="CX20" s="119"/>
      <c r="CY20" s="17" t="s">
        <v>110</v>
      </c>
      <c r="CZ20" s="39"/>
      <c r="DA20" s="78"/>
      <c r="DB20" s="78"/>
      <c r="DC20" s="40"/>
      <c r="DD20" s="40"/>
      <c r="DE20" s="119"/>
      <c r="DF20" s="17" t="s">
        <v>111</v>
      </c>
      <c r="DG20" s="39"/>
      <c r="DH20" s="78"/>
      <c r="DI20" s="78"/>
      <c r="DJ20" s="40"/>
      <c r="DK20" s="40"/>
      <c r="DL20" s="119"/>
      <c r="DM20" s="17" t="s">
        <v>112</v>
      </c>
      <c r="DN20" s="39"/>
      <c r="DO20" s="78"/>
      <c r="DP20" s="78"/>
      <c r="DQ20" s="40"/>
      <c r="DR20" s="40"/>
      <c r="DS20" s="119"/>
      <c r="DT20" s="17" t="s">
        <v>113</v>
      </c>
      <c r="DU20" s="39"/>
      <c r="DV20" s="78"/>
      <c r="DW20" s="78"/>
      <c r="DX20" s="40"/>
      <c r="DY20" s="40"/>
      <c r="DZ20" s="119"/>
      <c r="EA20" s="17" t="s">
        <v>114</v>
      </c>
      <c r="EB20" s="39"/>
      <c r="EC20" s="78"/>
      <c r="ED20" s="78"/>
      <c r="EE20" s="40"/>
      <c r="EF20" s="40"/>
      <c r="EG20" s="119"/>
      <c r="EH20" s="17" t="s">
        <v>115</v>
      </c>
      <c r="EI20" s="39"/>
      <c r="EJ20" s="78"/>
      <c r="EK20" s="78"/>
      <c r="EL20" s="40"/>
      <c r="EM20" s="40"/>
      <c r="EN20" s="119"/>
      <c r="ET20" s="155" t="s">
        <v>83</v>
      </c>
      <c r="EU20" s="59"/>
      <c r="EV20" s="77"/>
      <c r="EW20" s="176"/>
      <c r="EX20" s="179"/>
      <c r="EY20" s="179"/>
      <c r="EZ20" s="122"/>
      <c r="FA20" s="155" t="s">
        <v>90</v>
      </c>
      <c r="FB20" s="39"/>
      <c r="FC20" s="77"/>
      <c r="FD20" s="77"/>
      <c r="FE20" s="179"/>
      <c r="FF20" s="179"/>
      <c r="FG20" s="119"/>
      <c r="FH20" s="155" t="s">
        <v>89</v>
      </c>
      <c r="FI20" s="39"/>
      <c r="FJ20" s="77"/>
      <c r="FK20" s="77"/>
      <c r="FL20" s="179"/>
      <c r="FM20" s="179"/>
      <c r="FN20" s="119"/>
      <c r="FO20" s="155" t="s">
        <v>92</v>
      </c>
      <c r="FP20" s="39"/>
      <c r="FQ20" s="77"/>
      <c r="FR20" s="77"/>
      <c r="FS20" s="179"/>
      <c r="FT20" s="179"/>
      <c r="FU20" s="230"/>
    </row>
    <row r="21" spans="1:177" ht="33.75" customHeight="1" x14ac:dyDescent="0.2">
      <c r="A21" s="115" t="str">
        <f t="shared" si="4"/>
        <v xml:space="preserve">Calendar 8 </v>
      </c>
      <c r="B21" s="69" t="str">
        <f t="shared" si="5"/>
        <v>Country_code</v>
      </c>
      <c r="C21" s="43" t="s">
        <v>161</v>
      </c>
      <c r="D21" s="43"/>
      <c r="E21" s="17" t="s">
        <v>94</v>
      </c>
      <c r="F21" s="39"/>
      <c r="G21" s="78"/>
      <c r="H21" s="78"/>
      <c r="I21" s="42"/>
      <c r="J21" s="42"/>
      <c r="K21" s="119"/>
      <c r="L21" s="17" t="s">
        <v>97</v>
      </c>
      <c r="M21" s="41"/>
      <c r="N21" s="78"/>
      <c r="O21" s="78"/>
      <c r="P21" s="40"/>
      <c r="Q21" s="42"/>
      <c r="R21" s="119"/>
      <c r="S21" s="17" t="s">
        <v>98</v>
      </c>
      <c r="T21" s="41"/>
      <c r="U21" s="78"/>
      <c r="V21" s="78"/>
      <c r="W21" s="42"/>
      <c r="X21" s="42"/>
      <c r="Y21" s="118"/>
      <c r="Z21" s="17" t="s">
        <v>99</v>
      </c>
      <c r="AA21" s="41"/>
      <c r="AB21" s="78"/>
      <c r="AC21" s="78"/>
      <c r="AD21" s="42"/>
      <c r="AE21" s="42"/>
      <c r="AF21" s="118"/>
      <c r="AG21" s="17" t="s">
        <v>100</v>
      </c>
      <c r="AH21" s="41"/>
      <c r="AI21" s="78"/>
      <c r="AJ21" s="78"/>
      <c r="AK21" s="42"/>
      <c r="AL21" s="42"/>
      <c r="AM21" s="118"/>
      <c r="AN21" s="17" t="s">
        <v>101</v>
      </c>
      <c r="AO21" s="41"/>
      <c r="AP21" s="78"/>
      <c r="AQ21" s="78"/>
      <c r="AR21" s="42"/>
      <c r="AS21" s="42"/>
      <c r="AT21" s="118"/>
      <c r="AU21" s="17" t="s">
        <v>157</v>
      </c>
      <c r="AV21" s="41"/>
      <c r="AW21" s="78"/>
      <c r="AX21" s="78"/>
      <c r="AY21" s="42"/>
      <c r="AZ21" s="42"/>
      <c r="BA21" s="118"/>
      <c r="BB21" s="17" t="s">
        <v>103</v>
      </c>
      <c r="BC21" s="41"/>
      <c r="BD21" s="78"/>
      <c r="BE21" s="78"/>
      <c r="BF21" s="42"/>
      <c r="BG21" s="42"/>
      <c r="BH21" s="118"/>
      <c r="BI21" s="17" t="s">
        <v>104</v>
      </c>
      <c r="BJ21" s="39"/>
      <c r="BK21" s="78"/>
      <c r="BL21" s="78"/>
      <c r="BM21" s="42"/>
      <c r="BN21" s="42"/>
      <c r="BO21" s="118"/>
      <c r="BP21" s="17" t="s">
        <v>105</v>
      </c>
      <c r="BQ21" s="41"/>
      <c r="BR21" s="78"/>
      <c r="BS21" s="78"/>
      <c r="BT21" s="42"/>
      <c r="BU21" s="42"/>
      <c r="BV21" s="118"/>
      <c r="BW21" s="17" t="s">
        <v>106</v>
      </c>
      <c r="BX21" s="41"/>
      <c r="BY21" s="80"/>
      <c r="BZ21" s="80"/>
      <c r="CA21" s="42"/>
      <c r="CB21" s="42"/>
      <c r="CC21" s="118"/>
      <c r="CD21" s="17" t="s">
        <v>107</v>
      </c>
      <c r="CE21" s="41"/>
      <c r="CF21" s="78"/>
      <c r="CG21" s="78"/>
      <c r="CH21" s="42"/>
      <c r="CI21" s="42"/>
      <c r="CJ21" s="118"/>
      <c r="CK21" s="17" t="s">
        <v>108</v>
      </c>
      <c r="CL21" s="41"/>
      <c r="CM21" s="78"/>
      <c r="CN21" s="78"/>
      <c r="CO21" s="42"/>
      <c r="CP21" s="42"/>
      <c r="CQ21" s="118"/>
      <c r="CR21" s="17" t="s">
        <v>109</v>
      </c>
      <c r="CS21" s="41"/>
      <c r="CT21" s="78"/>
      <c r="CU21" s="78"/>
      <c r="CV21" s="42"/>
      <c r="CW21" s="42"/>
      <c r="CX21" s="118"/>
      <c r="CY21" s="17" t="s">
        <v>110</v>
      </c>
      <c r="CZ21" s="41"/>
      <c r="DA21" s="78"/>
      <c r="DB21" s="78"/>
      <c r="DC21" s="42"/>
      <c r="DD21" s="42"/>
      <c r="DE21" s="118"/>
      <c r="DF21" s="17" t="s">
        <v>111</v>
      </c>
      <c r="DG21" s="41"/>
      <c r="DH21" s="78"/>
      <c r="DI21" s="78"/>
      <c r="DJ21" s="42"/>
      <c r="DK21" s="42"/>
      <c r="DL21" s="118"/>
      <c r="DM21" s="17" t="s">
        <v>112</v>
      </c>
      <c r="DN21" s="41"/>
      <c r="DO21" s="78"/>
      <c r="DP21" s="78"/>
      <c r="DQ21" s="42"/>
      <c r="DR21" s="42"/>
      <c r="DS21" s="118"/>
      <c r="DT21" s="17" t="s">
        <v>113</v>
      </c>
      <c r="DU21" s="41"/>
      <c r="DV21" s="78"/>
      <c r="DW21" s="78"/>
      <c r="DX21" s="42"/>
      <c r="DY21" s="42"/>
      <c r="DZ21" s="118"/>
      <c r="EA21" s="17" t="s">
        <v>114</v>
      </c>
      <c r="EB21" s="41"/>
      <c r="EC21" s="78"/>
      <c r="ED21" s="78"/>
      <c r="EE21" s="42"/>
      <c r="EF21" s="42"/>
      <c r="EG21" s="118"/>
      <c r="EH21" s="17" t="s">
        <v>115</v>
      </c>
      <c r="EI21" s="41"/>
      <c r="EJ21" s="78"/>
      <c r="EK21" s="78"/>
      <c r="EL21" s="42"/>
      <c r="EM21" s="42"/>
      <c r="EN21" s="118"/>
      <c r="ET21" s="155" t="s">
        <v>83</v>
      </c>
      <c r="EU21" s="60"/>
      <c r="EV21" s="77"/>
      <c r="EW21" s="176"/>
      <c r="EX21" s="179"/>
      <c r="EY21" s="179"/>
      <c r="EZ21" s="121"/>
      <c r="FA21" s="155" t="s">
        <v>90</v>
      </c>
      <c r="FB21" s="41"/>
      <c r="FC21" s="77"/>
      <c r="FD21" s="77"/>
      <c r="FE21" s="179"/>
      <c r="FF21" s="179"/>
      <c r="FG21" s="118"/>
      <c r="FH21" s="155" t="s">
        <v>89</v>
      </c>
      <c r="FI21" s="41"/>
      <c r="FJ21" s="77"/>
      <c r="FK21" s="77"/>
      <c r="FL21" s="179"/>
      <c r="FM21" s="179"/>
      <c r="FN21" s="118"/>
      <c r="FO21" s="155" t="s">
        <v>92</v>
      </c>
      <c r="FP21" s="41"/>
      <c r="FQ21" s="77"/>
      <c r="FR21" s="77"/>
      <c r="FS21" s="179"/>
      <c r="FT21" s="179"/>
      <c r="FU21" s="232"/>
    </row>
    <row r="22" spans="1:177" ht="33.75" customHeight="1" x14ac:dyDescent="0.2">
      <c r="A22" s="115" t="str">
        <f t="shared" si="4"/>
        <v>Calendar 9</v>
      </c>
      <c r="B22" s="69" t="str">
        <f t="shared" si="5"/>
        <v>Country_code</v>
      </c>
      <c r="C22" s="43" t="s">
        <v>162</v>
      </c>
      <c r="D22" s="43"/>
      <c r="E22" s="17" t="s">
        <v>94</v>
      </c>
      <c r="F22" s="39"/>
      <c r="G22" s="78"/>
      <c r="H22" s="78"/>
      <c r="I22" s="40"/>
      <c r="J22" s="40"/>
      <c r="K22" s="119"/>
      <c r="L22" s="17" t="s">
        <v>97</v>
      </c>
      <c r="M22" s="39"/>
      <c r="N22" s="78"/>
      <c r="O22" s="78"/>
      <c r="P22" s="40"/>
      <c r="Q22" s="40"/>
      <c r="R22" s="119"/>
      <c r="S22" s="17" t="s">
        <v>98</v>
      </c>
      <c r="T22" s="39"/>
      <c r="U22" s="78"/>
      <c r="V22" s="78"/>
      <c r="W22" s="40"/>
      <c r="X22" s="40"/>
      <c r="Y22" s="119"/>
      <c r="Z22" s="17" t="s">
        <v>99</v>
      </c>
      <c r="AA22" s="39"/>
      <c r="AB22" s="78"/>
      <c r="AC22" s="78"/>
      <c r="AD22" s="40"/>
      <c r="AE22" s="40"/>
      <c r="AF22" s="119"/>
      <c r="AG22" s="17" t="s">
        <v>100</v>
      </c>
      <c r="AH22" s="39"/>
      <c r="AI22" s="78"/>
      <c r="AJ22" s="78"/>
      <c r="AK22" s="40"/>
      <c r="AL22" s="40"/>
      <c r="AM22" s="119"/>
      <c r="AN22" s="17" t="s">
        <v>101</v>
      </c>
      <c r="AO22" s="39"/>
      <c r="AP22" s="78"/>
      <c r="AQ22" s="78"/>
      <c r="AR22" s="40"/>
      <c r="AS22" s="40"/>
      <c r="AT22" s="119"/>
      <c r="AU22" s="17" t="s">
        <v>157</v>
      </c>
      <c r="AV22" s="39"/>
      <c r="AW22" s="78"/>
      <c r="AX22" s="78"/>
      <c r="AY22" s="40"/>
      <c r="AZ22" s="40"/>
      <c r="BA22" s="119"/>
      <c r="BB22" s="17" t="s">
        <v>103</v>
      </c>
      <c r="BC22" s="39"/>
      <c r="BD22" s="78"/>
      <c r="BE22" s="78"/>
      <c r="BF22" s="40"/>
      <c r="BG22" s="40"/>
      <c r="BH22" s="119"/>
      <c r="BI22" s="17" t="s">
        <v>104</v>
      </c>
      <c r="BJ22" s="39"/>
      <c r="BK22" s="78"/>
      <c r="BL22" s="78"/>
      <c r="BM22" s="40"/>
      <c r="BN22" s="40"/>
      <c r="BO22" s="119"/>
      <c r="BP22" s="17" t="s">
        <v>105</v>
      </c>
      <c r="BQ22" s="39"/>
      <c r="BR22" s="78"/>
      <c r="BS22" s="78"/>
      <c r="BT22" s="40"/>
      <c r="BU22" s="40"/>
      <c r="BV22" s="119"/>
      <c r="BW22" s="17" t="s">
        <v>106</v>
      </c>
      <c r="BX22" s="39"/>
      <c r="BY22" s="79"/>
      <c r="BZ22" s="79"/>
      <c r="CA22" s="40"/>
      <c r="CB22" s="40"/>
      <c r="CC22" s="119"/>
      <c r="CD22" s="17" t="s">
        <v>107</v>
      </c>
      <c r="CE22" s="39"/>
      <c r="CF22" s="78"/>
      <c r="CG22" s="78"/>
      <c r="CH22" s="40"/>
      <c r="CI22" s="40"/>
      <c r="CJ22" s="119"/>
      <c r="CK22" s="17" t="s">
        <v>108</v>
      </c>
      <c r="CL22" s="39"/>
      <c r="CM22" s="78"/>
      <c r="CN22" s="78"/>
      <c r="CO22" s="40"/>
      <c r="CP22" s="40"/>
      <c r="CQ22" s="119"/>
      <c r="CR22" s="17" t="s">
        <v>109</v>
      </c>
      <c r="CS22" s="39"/>
      <c r="CT22" s="78"/>
      <c r="CU22" s="78"/>
      <c r="CV22" s="40"/>
      <c r="CW22" s="40"/>
      <c r="CX22" s="119"/>
      <c r="CY22" s="17" t="s">
        <v>110</v>
      </c>
      <c r="CZ22" s="39"/>
      <c r="DA22" s="78"/>
      <c r="DB22" s="78"/>
      <c r="DC22" s="40"/>
      <c r="DD22" s="40"/>
      <c r="DE22" s="119"/>
      <c r="DF22" s="17" t="s">
        <v>111</v>
      </c>
      <c r="DG22" s="39"/>
      <c r="DH22" s="78"/>
      <c r="DI22" s="78"/>
      <c r="DJ22" s="40"/>
      <c r="DK22" s="40"/>
      <c r="DL22" s="119"/>
      <c r="DM22" s="17" t="s">
        <v>112</v>
      </c>
      <c r="DN22" s="39"/>
      <c r="DO22" s="78"/>
      <c r="DP22" s="78"/>
      <c r="DQ22" s="40"/>
      <c r="DR22" s="40"/>
      <c r="DS22" s="119"/>
      <c r="DT22" s="17" t="s">
        <v>113</v>
      </c>
      <c r="DU22" s="39"/>
      <c r="DV22" s="78"/>
      <c r="DW22" s="78"/>
      <c r="DX22" s="40"/>
      <c r="DY22" s="40"/>
      <c r="DZ22" s="119"/>
      <c r="EA22" s="17" t="s">
        <v>114</v>
      </c>
      <c r="EB22" s="39"/>
      <c r="EC22" s="78"/>
      <c r="ED22" s="78"/>
      <c r="EE22" s="40"/>
      <c r="EF22" s="40"/>
      <c r="EG22" s="119"/>
      <c r="EH22" s="17" t="s">
        <v>115</v>
      </c>
      <c r="EI22" s="39"/>
      <c r="EJ22" s="78"/>
      <c r="EK22" s="78"/>
      <c r="EL22" s="40"/>
      <c r="EM22" s="40"/>
      <c r="EN22" s="119"/>
      <c r="ET22" s="155" t="s">
        <v>83</v>
      </c>
      <c r="EU22" s="59"/>
      <c r="EV22" s="77"/>
      <c r="EW22" s="176"/>
      <c r="EX22" s="179"/>
      <c r="EY22" s="179"/>
      <c r="EZ22" s="122"/>
      <c r="FA22" s="155" t="s">
        <v>90</v>
      </c>
      <c r="FB22" s="39"/>
      <c r="FC22" s="77"/>
      <c r="FD22" s="77"/>
      <c r="FE22" s="179"/>
      <c r="FF22" s="179"/>
      <c r="FG22" s="119"/>
      <c r="FH22" s="155" t="s">
        <v>89</v>
      </c>
      <c r="FI22" s="39"/>
      <c r="FJ22" s="77"/>
      <c r="FK22" s="77"/>
      <c r="FL22" s="179"/>
      <c r="FM22" s="179"/>
      <c r="FN22" s="119"/>
      <c r="FO22" s="155" t="s">
        <v>92</v>
      </c>
      <c r="FP22" s="39"/>
      <c r="FQ22" s="77"/>
      <c r="FR22" s="77"/>
      <c r="FS22" s="179"/>
      <c r="FT22" s="179"/>
      <c r="FU22" s="230"/>
    </row>
    <row r="23" spans="1:177" ht="33.75" customHeight="1" x14ac:dyDescent="0.2">
      <c r="A23" s="115" t="str">
        <f t="shared" si="4"/>
        <v xml:space="preserve">Calendar 9 </v>
      </c>
      <c r="B23" s="69" t="str">
        <f t="shared" si="5"/>
        <v>Country_code</v>
      </c>
      <c r="C23" s="43" t="s">
        <v>163</v>
      </c>
      <c r="D23" s="43"/>
      <c r="E23" s="17" t="s">
        <v>94</v>
      </c>
      <c r="F23" s="39"/>
      <c r="G23" s="78"/>
      <c r="H23" s="78"/>
      <c r="I23" s="42"/>
      <c r="J23" s="42"/>
      <c r="K23" s="119"/>
      <c r="L23" s="17" t="s">
        <v>97</v>
      </c>
      <c r="M23" s="41"/>
      <c r="N23" s="78"/>
      <c r="O23" s="78"/>
      <c r="P23" s="40"/>
      <c r="Q23" s="42"/>
      <c r="R23" s="119"/>
      <c r="S23" s="17" t="s">
        <v>98</v>
      </c>
      <c r="T23" s="41"/>
      <c r="U23" s="78"/>
      <c r="V23" s="78"/>
      <c r="W23" s="42"/>
      <c r="X23" s="42"/>
      <c r="Y23" s="118"/>
      <c r="Z23" s="17" t="s">
        <v>99</v>
      </c>
      <c r="AA23" s="41"/>
      <c r="AB23" s="78"/>
      <c r="AC23" s="78"/>
      <c r="AD23" s="42"/>
      <c r="AE23" s="42"/>
      <c r="AF23" s="118"/>
      <c r="AG23" s="17" t="s">
        <v>100</v>
      </c>
      <c r="AH23" s="41"/>
      <c r="AI23" s="78"/>
      <c r="AJ23" s="78"/>
      <c r="AK23" s="42"/>
      <c r="AL23" s="42"/>
      <c r="AM23" s="118"/>
      <c r="AN23" s="17" t="s">
        <v>101</v>
      </c>
      <c r="AO23" s="41"/>
      <c r="AP23" s="78"/>
      <c r="AQ23" s="78"/>
      <c r="AR23" s="42"/>
      <c r="AS23" s="42"/>
      <c r="AT23" s="118"/>
      <c r="AU23" s="17" t="s">
        <v>157</v>
      </c>
      <c r="AV23" s="41"/>
      <c r="AW23" s="78"/>
      <c r="AX23" s="78"/>
      <c r="AY23" s="42"/>
      <c r="AZ23" s="42"/>
      <c r="BA23" s="118"/>
      <c r="BB23" s="17" t="s">
        <v>103</v>
      </c>
      <c r="BC23" s="41"/>
      <c r="BD23" s="78"/>
      <c r="BE23" s="78"/>
      <c r="BF23" s="42"/>
      <c r="BG23" s="42"/>
      <c r="BH23" s="118"/>
      <c r="BI23" s="17" t="s">
        <v>104</v>
      </c>
      <c r="BJ23" s="39"/>
      <c r="BK23" s="78"/>
      <c r="BL23" s="78"/>
      <c r="BM23" s="42"/>
      <c r="BN23" s="42"/>
      <c r="BO23" s="118"/>
      <c r="BP23" s="17" t="s">
        <v>105</v>
      </c>
      <c r="BQ23" s="41"/>
      <c r="BR23" s="78"/>
      <c r="BS23" s="78"/>
      <c r="BT23" s="42"/>
      <c r="BU23" s="42"/>
      <c r="BV23" s="118"/>
      <c r="BW23" s="17" t="s">
        <v>106</v>
      </c>
      <c r="BX23" s="41"/>
      <c r="BY23" s="80"/>
      <c r="BZ23" s="80"/>
      <c r="CA23" s="42"/>
      <c r="CB23" s="42"/>
      <c r="CC23" s="118"/>
      <c r="CD23" s="17" t="s">
        <v>107</v>
      </c>
      <c r="CE23" s="41"/>
      <c r="CF23" s="78"/>
      <c r="CG23" s="78"/>
      <c r="CH23" s="42"/>
      <c r="CI23" s="42"/>
      <c r="CJ23" s="118"/>
      <c r="CK23" s="17" t="s">
        <v>108</v>
      </c>
      <c r="CL23" s="41"/>
      <c r="CM23" s="78"/>
      <c r="CN23" s="78"/>
      <c r="CO23" s="42"/>
      <c r="CP23" s="42"/>
      <c r="CQ23" s="118"/>
      <c r="CR23" s="17" t="s">
        <v>109</v>
      </c>
      <c r="CS23" s="41"/>
      <c r="CT23" s="78"/>
      <c r="CU23" s="78"/>
      <c r="CV23" s="42"/>
      <c r="CW23" s="42"/>
      <c r="CX23" s="118"/>
      <c r="CY23" s="17" t="s">
        <v>110</v>
      </c>
      <c r="CZ23" s="41"/>
      <c r="DA23" s="78"/>
      <c r="DB23" s="78"/>
      <c r="DC23" s="42"/>
      <c r="DD23" s="42"/>
      <c r="DE23" s="118"/>
      <c r="DF23" s="17" t="s">
        <v>111</v>
      </c>
      <c r="DG23" s="41"/>
      <c r="DH23" s="78"/>
      <c r="DI23" s="78"/>
      <c r="DJ23" s="42"/>
      <c r="DK23" s="42"/>
      <c r="DL23" s="118"/>
      <c r="DM23" s="17" t="s">
        <v>112</v>
      </c>
      <c r="DN23" s="41"/>
      <c r="DO23" s="78"/>
      <c r="DP23" s="78"/>
      <c r="DQ23" s="42"/>
      <c r="DR23" s="42"/>
      <c r="DS23" s="118"/>
      <c r="DT23" s="17" t="s">
        <v>113</v>
      </c>
      <c r="DU23" s="41"/>
      <c r="DV23" s="78"/>
      <c r="DW23" s="78"/>
      <c r="DX23" s="42"/>
      <c r="DY23" s="42"/>
      <c r="DZ23" s="118"/>
      <c r="EA23" s="17" t="s">
        <v>114</v>
      </c>
      <c r="EB23" s="41"/>
      <c r="EC23" s="78"/>
      <c r="ED23" s="78"/>
      <c r="EE23" s="42"/>
      <c r="EF23" s="42"/>
      <c r="EG23" s="118"/>
      <c r="EH23" s="17" t="s">
        <v>115</v>
      </c>
      <c r="EI23" s="41"/>
      <c r="EJ23" s="78"/>
      <c r="EK23" s="78"/>
      <c r="EL23" s="42"/>
      <c r="EM23" s="42"/>
      <c r="EN23" s="118"/>
      <c r="ET23" s="155" t="s">
        <v>83</v>
      </c>
      <c r="EU23" s="60"/>
      <c r="EV23" s="77"/>
      <c r="EW23" s="176"/>
      <c r="EX23" s="179"/>
      <c r="EY23" s="179"/>
      <c r="EZ23" s="121"/>
      <c r="FA23" s="155" t="s">
        <v>90</v>
      </c>
      <c r="FB23" s="41"/>
      <c r="FC23" s="77"/>
      <c r="FD23" s="77"/>
      <c r="FE23" s="179"/>
      <c r="FF23" s="179"/>
      <c r="FG23" s="118"/>
      <c r="FH23" s="155" t="s">
        <v>89</v>
      </c>
      <c r="FI23" s="41"/>
      <c r="FJ23" s="77"/>
      <c r="FK23" s="77"/>
      <c r="FL23" s="179"/>
      <c r="FM23" s="179"/>
      <c r="FN23" s="118"/>
      <c r="FO23" s="155" t="s">
        <v>92</v>
      </c>
      <c r="FP23" s="41"/>
      <c r="FQ23" s="77"/>
      <c r="FR23" s="77"/>
      <c r="FS23" s="179"/>
      <c r="FT23" s="179"/>
      <c r="FU23" s="232"/>
    </row>
    <row r="24" spans="1:177" ht="33.75" customHeight="1" x14ac:dyDescent="0.2">
      <c r="A24" s="115" t="str">
        <f t="shared" si="4"/>
        <v>Calendar 10</v>
      </c>
      <c r="B24" s="69" t="str">
        <f t="shared" si="5"/>
        <v>Country_code</v>
      </c>
      <c r="C24" s="43" t="s">
        <v>164</v>
      </c>
      <c r="D24" s="43"/>
      <c r="E24" s="17" t="s">
        <v>94</v>
      </c>
      <c r="F24" s="39"/>
      <c r="G24" s="78"/>
      <c r="H24" s="78"/>
      <c r="I24" s="40"/>
      <c r="J24" s="40"/>
      <c r="K24" s="119"/>
      <c r="L24" s="17" t="s">
        <v>97</v>
      </c>
      <c r="M24" s="39"/>
      <c r="N24" s="78"/>
      <c r="O24" s="78"/>
      <c r="P24" s="40"/>
      <c r="Q24" s="40"/>
      <c r="R24" s="119"/>
      <c r="S24" s="17" t="s">
        <v>98</v>
      </c>
      <c r="T24" s="39"/>
      <c r="U24" s="78"/>
      <c r="V24" s="78"/>
      <c r="W24" s="40"/>
      <c r="X24" s="40"/>
      <c r="Y24" s="119"/>
      <c r="Z24" s="17" t="s">
        <v>99</v>
      </c>
      <c r="AA24" s="39"/>
      <c r="AB24" s="78"/>
      <c r="AC24" s="78"/>
      <c r="AD24" s="40"/>
      <c r="AE24" s="40"/>
      <c r="AF24" s="119"/>
      <c r="AG24" s="17" t="s">
        <v>100</v>
      </c>
      <c r="AH24" s="39"/>
      <c r="AI24" s="78"/>
      <c r="AJ24" s="78"/>
      <c r="AK24" s="40"/>
      <c r="AL24" s="40"/>
      <c r="AM24" s="119"/>
      <c r="AN24" s="17" t="s">
        <v>101</v>
      </c>
      <c r="AO24" s="39"/>
      <c r="AP24" s="78"/>
      <c r="AQ24" s="78"/>
      <c r="AR24" s="40"/>
      <c r="AS24" s="40"/>
      <c r="AT24" s="119"/>
      <c r="AU24" s="17" t="s">
        <v>157</v>
      </c>
      <c r="AV24" s="39"/>
      <c r="AW24" s="78"/>
      <c r="AX24" s="78"/>
      <c r="AY24" s="40"/>
      <c r="AZ24" s="40"/>
      <c r="BA24" s="119"/>
      <c r="BB24" s="17" t="s">
        <v>103</v>
      </c>
      <c r="BC24" s="39"/>
      <c r="BD24" s="78"/>
      <c r="BE24" s="78"/>
      <c r="BF24" s="40"/>
      <c r="BG24" s="40"/>
      <c r="BH24" s="119"/>
      <c r="BI24" s="17" t="s">
        <v>104</v>
      </c>
      <c r="BJ24" s="39"/>
      <c r="BK24" s="78"/>
      <c r="BL24" s="78"/>
      <c r="BM24" s="40"/>
      <c r="BN24" s="40"/>
      <c r="BO24" s="119"/>
      <c r="BP24" s="17" t="s">
        <v>105</v>
      </c>
      <c r="BQ24" s="39"/>
      <c r="BR24" s="78"/>
      <c r="BS24" s="78"/>
      <c r="BT24" s="40"/>
      <c r="BU24" s="40"/>
      <c r="BV24" s="119"/>
      <c r="BW24" s="17" t="s">
        <v>106</v>
      </c>
      <c r="BX24" s="39"/>
      <c r="BY24" s="79"/>
      <c r="BZ24" s="79"/>
      <c r="CA24" s="40"/>
      <c r="CB24" s="40"/>
      <c r="CC24" s="119"/>
      <c r="CD24" s="17" t="s">
        <v>107</v>
      </c>
      <c r="CE24" s="39"/>
      <c r="CF24" s="78"/>
      <c r="CG24" s="78"/>
      <c r="CH24" s="40"/>
      <c r="CI24" s="40"/>
      <c r="CJ24" s="119"/>
      <c r="CK24" s="17" t="s">
        <v>108</v>
      </c>
      <c r="CL24" s="39"/>
      <c r="CM24" s="78"/>
      <c r="CN24" s="78"/>
      <c r="CO24" s="40"/>
      <c r="CP24" s="40"/>
      <c r="CQ24" s="119"/>
      <c r="CR24" s="17" t="s">
        <v>109</v>
      </c>
      <c r="CS24" s="39"/>
      <c r="CT24" s="78"/>
      <c r="CU24" s="78"/>
      <c r="CV24" s="40"/>
      <c r="CW24" s="40"/>
      <c r="CX24" s="119"/>
      <c r="CY24" s="17" t="s">
        <v>110</v>
      </c>
      <c r="CZ24" s="39"/>
      <c r="DA24" s="78"/>
      <c r="DB24" s="78"/>
      <c r="DC24" s="40"/>
      <c r="DD24" s="40"/>
      <c r="DE24" s="119"/>
      <c r="DF24" s="17" t="s">
        <v>111</v>
      </c>
      <c r="DG24" s="39"/>
      <c r="DH24" s="78"/>
      <c r="DI24" s="78"/>
      <c r="DJ24" s="40"/>
      <c r="DK24" s="40"/>
      <c r="DL24" s="119"/>
      <c r="DM24" s="17" t="s">
        <v>112</v>
      </c>
      <c r="DN24" s="39"/>
      <c r="DO24" s="78"/>
      <c r="DP24" s="78"/>
      <c r="DQ24" s="40"/>
      <c r="DR24" s="40"/>
      <c r="DS24" s="119"/>
      <c r="DT24" s="17" t="s">
        <v>113</v>
      </c>
      <c r="DU24" s="39"/>
      <c r="DV24" s="78"/>
      <c r="DW24" s="78"/>
      <c r="DX24" s="40"/>
      <c r="DY24" s="40"/>
      <c r="DZ24" s="119"/>
      <c r="EA24" s="17" t="s">
        <v>114</v>
      </c>
      <c r="EB24" s="39"/>
      <c r="EC24" s="78"/>
      <c r="ED24" s="78"/>
      <c r="EE24" s="40"/>
      <c r="EF24" s="40"/>
      <c r="EG24" s="119"/>
      <c r="EH24" s="17" t="s">
        <v>115</v>
      </c>
      <c r="EI24" s="39"/>
      <c r="EJ24" s="78"/>
      <c r="EK24" s="78"/>
      <c r="EL24" s="40"/>
      <c r="EM24" s="40"/>
      <c r="EN24" s="119"/>
      <c r="ET24" s="155" t="s">
        <v>83</v>
      </c>
      <c r="EU24" s="59"/>
      <c r="EV24" s="77"/>
      <c r="EW24" s="176"/>
      <c r="EX24" s="179"/>
      <c r="EY24" s="179"/>
      <c r="EZ24" s="122"/>
      <c r="FA24" s="155" t="s">
        <v>90</v>
      </c>
      <c r="FB24" s="39"/>
      <c r="FC24" s="77"/>
      <c r="FD24" s="77"/>
      <c r="FE24" s="179"/>
      <c r="FF24" s="179"/>
      <c r="FG24" s="119"/>
      <c r="FH24" s="155" t="s">
        <v>89</v>
      </c>
      <c r="FI24" s="39"/>
      <c r="FJ24" s="77"/>
      <c r="FK24" s="77"/>
      <c r="FL24" s="179"/>
      <c r="FM24" s="179"/>
      <c r="FN24" s="119"/>
      <c r="FO24" s="155" t="s">
        <v>92</v>
      </c>
      <c r="FP24" s="39"/>
      <c r="FQ24" s="77"/>
      <c r="FR24" s="77"/>
      <c r="FS24" s="179"/>
      <c r="FT24" s="179"/>
      <c r="FU24" s="230"/>
    </row>
    <row r="25" spans="1:177" ht="33.75" customHeight="1" x14ac:dyDescent="0.2">
      <c r="A25" s="115" t="str">
        <f t="shared" si="4"/>
        <v>Calendar 10</v>
      </c>
      <c r="B25" s="69" t="str">
        <f t="shared" si="5"/>
        <v>Country_code</v>
      </c>
      <c r="C25" s="43" t="s">
        <v>164</v>
      </c>
      <c r="D25" s="43"/>
      <c r="E25" s="17" t="s">
        <v>94</v>
      </c>
      <c r="F25" s="39"/>
      <c r="G25" s="78"/>
      <c r="H25" s="78"/>
      <c r="I25" s="42"/>
      <c r="J25" s="42"/>
      <c r="K25" s="119"/>
      <c r="L25" s="17" t="s">
        <v>97</v>
      </c>
      <c r="M25" s="41"/>
      <c r="N25" s="78"/>
      <c r="O25" s="78"/>
      <c r="P25" s="40"/>
      <c r="Q25" s="42"/>
      <c r="R25" s="119"/>
      <c r="S25" s="17" t="s">
        <v>98</v>
      </c>
      <c r="T25" s="41"/>
      <c r="U25" s="78"/>
      <c r="V25" s="78"/>
      <c r="W25" s="42"/>
      <c r="X25" s="42"/>
      <c r="Y25" s="118"/>
      <c r="Z25" s="17" t="s">
        <v>99</v>
      </c>
      <c r="AA25" s="41"/>
      <c r="AB25" s="78"/>
      <c r="AC25" s="78"/>
      <c r="AD25" s="42"/>
      <c r="AE25" s="42"/>
      <c r="AF25" s="118"/>
      <c r="AG25" s="17" t="s">
        <v>100</v>
      </c>
      <c r="AH25" s="41"/>
      <c r="AI25" s="78"/>
      <c r="AJ25" s="78"/>
      <c r="AK25" s="42"/>
      <c r="AL25" s="42"/>
      <c r="AM25" s="118"/>
      <c r="AN25" s="17" t="s">
        <v>101</v>
      </c>
      <c r="AO25" s="41"/>
      <c r="AP25" s="78"/>
      <c r="AQ25" s="78"/>
      <c r="AR25" s="42"/>
      <c r="AS25" s="42"/>
      <c r="AT25" s="118"/>
      <c r="AU25" s="17" t="s">
        <v>157</v>
      </c>
      <c r="AV25" s="41"/>
      <c r="AW25" s="78"/>
      <c r="AX25" s="78"/>
      <c r="AY25" s="42"/>
      <c r="AZ25" s="42"/>
      <c r="BA25" s="118"/>
      <c r="BB25" s="17" t="s">
        <v>103</v>
      </c>
      <c r="BC25" s="41"/>
      <c r="BD25" s="78"/>
      <c r="BE25" s="78"/>
      <c r="BF25" s="42"/>
      <c r="BG25" s="42"/>
      <c r="BH25" s="118"/>
      <c r="BI25" s="17" t="s">
        <v>104</v>
      </c>
      <c r="BJ25" s="39"/>
      <c r="BK25" s="78"/>
      <c r="BL25" s="78"/>
      <c r="BM25" s="42"/>
      <c r="BN25" s="42"/>
      <c r="BO25" s="118"/>
      <c r="BP25" s="17" t="s">
        <v>105</v>
      </c>
      <c r="BQ25" s="41"/>
      <c r="BR25" s="78"/>
      <c r="BS25" s="78"/>
      <c r="BT25" s="42"/>
      <c r="BU25" s="42"/>
      <c r="BV25" s="118"/>
      <c r="BW25" s="17" t="s">
        <v>106</v>
      </c>
      <c r="BX25" s="41"/>
      <c r="BY25" s="80"/>
      <c r="BZ25" s="80"/>
      <c r="CA25" s="42"/>
      <c r="CB25" s="42"/>
      <c r="CC25" s="118"/>
      <c r="CD25" s="17" t="s">
        <v>107</v>
      </c>
      <c r="CE25" s="41"/>
      <c r="CF25" s="78"/>
      <c r="CG25" s="78"/>
      <c r="CH25" s="42"/>
      <c r="CI25" s="42"/>
      <c r="CJ25" s="118"/>
      <c r="CK25" s="17" t="s">
        <v>108</v>
      </c>
      <c r="CL25" s="41"/>
      <c r="CM25" s="78"/>
      <c r="CN25" s="78"/>
      <c r="CO25" s="42"/>
      <c r="CP25" s="42"/>
      <c r="CQ25" s="118"/>
      <c r="CR25" s="17" t="s">
        <v>109</v>
      </c>
      <c r="CS25" s="41"/>
      <c r="CT25" s="78"/>
      <c r="CU25" s="78"/>
      <c r="CV25" s="42"/>
      <c r="CW25" s="42"/>
      <c r="CX25" s="118"/>
      <c r="CY25" s="17" t="s">
        <v>110</v>
      </c>
      <c r="CZ25" s="41"/>
      <c r="DA25" s="78"/>
      <c r="DB25" s="78"/>
      <c r="DC25" s="42"/>
      <c r="DD25" s="42"/>
      <c r="DE25" s="118"/>
      <c r="DF25" s="17" t="s">
        <v>111</v>
      </c>
      <c r="DG25" s="41"/>
      <c r="DH25" s="78"/>
      <c r="DI25" s="78"/>
      <c r="DJ25" s="42"/>
      <c r="DK25" s="42"/>
      <c r="DL25" s="118"/>
      <c r="DM25" s="17" t="s">
        <v>112</v>
      </c>
      <c r="DN25" s="41"/>
      <c r="DO25" s="78"/>
      <c r="DP25" s="78"/>
      <c r="DQ25" s="42"/>
      <c r="DR25" s="42"/>
      <c r="DS25" s="118"/>
      <c r="DT25" s="17" t="s">
        <v>113</v>
      </c>
      <c r="DU25" s="41"/>
      <c r="DV25" s="78"/>
      <c r="DW25" s="78"/>
      <c r="DX25" s="42"/>
      <c r="DY25" s="42"/>
      <c r="DZ25" s="118"/>
      <c r="EA25" s="17" t="s">
        <v>114</v>
      </c>
      <c r="EB25" s="41"/>
      <c r="EC25" s="78"/>
      <c r="ED25" s="78"/>
      <c r="EE25" s="42"/>
      <c r="EF25" s="42"/>
      <c r="EG25" s="118"/>
      <c r="EH25" s="17" t="s">
        <v>115</v>
      </c>
      <c r="EI25" s="41"/>
      <c r="EJ25" s="78"/>
      <c r="EK25" s="78"/>
      <c r="EL25" s="42"/>
      <c r="EM25" s="42"/>
      <c r="EN25" s="118"/>
      <c r="ET25" s="155" t="s">
        <v>83</v>
      </c>
      <c r="EU25" s="60"/>
      <c r="EV25" s="77"/>
      <c r="EW25" s="176"/>
      <c r="EX25" s="179"/>
      <c r="EY25" s="179"/>
      <c r="EZ25" s="121"/>
      <c r="FA25" s="155" t="s">
        <v>90</v>
      </c>
      <c r="FB25" s="41"/>
      <c r="FC25" s="77"/>
      <c r="FD25" s="77"/>
      <c r="FE25" s="179"/>
      <c r="FF25" s="179"/>
      <c r="FG25" s="118"/>
      <c r="FH25" s="155" t="s">
        <v>89</v>
      </c>
      <c r="FI25" s="41"/>
      <c r="FJ25" s="77"/>
      <c r="FK25" s="77"/>
      <c r="FL25" s="179"/>
      <c r="FM25" s="179"/>
      <c r="FN25" s="118"/>
      <c r="FO25" s="155" t="s">
        <v>92</v>
      </c>
      <c r="FP25" s="41"/>
      <c r="FQ25" s="77"/>
      <c r="FR25" s="77"/>
      <c r="FS25" s="179"/>
      <c r="FT25" s="179"/>
      <c r="FU25" s="232"/>
    </row>
    <row r="26" spans="1:177" ht="33.75" customHeight="1" x14ac:dyDescent="0.2">
      <c r="A26" s="115" t="str">
        <f t="shared" si="4"/>
        <v>Calendar 11</v>
      </c>
      <c r="B26" s="69" t="str">
        <f t="shared" si="5"/>
        <v>Country_code</v>
      </c>
      <c r="C26" s="43" t="s">
        <v>165</v>
      </c>
      <c r="D26" s="43"/>
      <c r="E26" s="17" t="s">
        <v>94</v>
      </c>
      <c r="F26" s="39"/>
      <c r="G26" s="78"/>
      <c r="H26" s="78"/>
      <c r="I26" s="40"/>
      <c r="J26" s="40"/>
      <c r="K26" s="119"/>
      <c r="L26" s="17" t="s">
        <v>97</v>
      </c>
      <c r="M26" s="39"/>
      <c r="N26" s="78"/>
      <c r="O26" s="78"/>
      <c r="P26" s="40"/>
      <c r="Q26" s="40"/>
      <c r="R26" s="119"/>
      <c r="S26" s="17" t="s">
        <v>98</v>
      </c>
      <c r="T26" s="39"/>
      <c r="U26" s="78"/>
      <c r="V26" s="78"/>
      <c r="W26" s="40"/>
      <c r="X26" s="40"/>
      <c r="Y26" s="119"/>
      <c r="Z26" s="17" t="s">
        <v>99</v>
      </c>
      <c r="AA26" s="39"/>
      <c r="AB26" s="78"/>
      <c r="AC26" s="78"/>
      <c r="AD26" s="40"/>
      <c r="AE26" s="40"/>
      <c r="AF26" s="119"/>
      <c r="AG26" s="17" t="s">
        <v>100</v>
      </c>
      <c r="AH26" s="39"/>
      <c r="AI26" s="78"/>
      <c r="AJ26" s="78"/>
      <c r="AK26" s="40"/>
      <c r="AL26" s="40"/>
      <c r="AM26" s="119"/>
      <c r="AN26" s="17" t="s">
        <v>101</v>
      </c>
      <c r="AO26" s="39"/>
      <c r="AP26" s="78"/>
      <c r="AQ26" s="78"/>
      <c r="AR26" s="40"/>
      <c r="AS26" s="40"/>
      <c r="AT26" s="119"/>
      <c r="AU26" s="17" t="s">
        <v>157</v>
      </c>
      <c r="AV26" s="39"/>
      <c r="AW26" s="78"/>
      <c r="AX26" s="78"/>
      <c r="AY26" s="40"/>
      <c r="AZ26" s="40"/>
      <c r="BA26" s="119"/>
      <c r="BB26" s="17" t="s">
        <v>103</v>
      </c>
      <c r="BC26" s="39"/>
      <c r="BD26" s="78"/>
      <c r="BE26" s="78"/>
      <c r="BF26" s="40"/>
      <c r="BG26" s="40"/>
      <c r="BH26" s="119"/>
      <c r="BI26" s="17" t="s">
        <v>104</v>
      </c>
      <c r="BJ26" s="39"/>
      <c r="BK26" s="78"/>
      <c r="BL26" s="78"/>
      <c r="BM26" s="40"/>
      <c r="BN26" s="40"/>
      <c r="BO26" s="119"/>
      <c r="BP26" s="17" t="s">
        <v>105</v>
      </c>
      <c r="BQ26" s="39"/>
      <c r="BR26" s="78"/>
      <c r="BS26" s="78"/>
      <c r="BT26" s="40"/>
      <c r="BU26" s="40"/>
      <c r="BV26" s="119"/>
      <c r="BW26" s="17" t="s">
        <v>106</v>
      </c>
      <c r="BX26" s="39"/>
      <c r="BY26" s="79"/>
      <c r="BZ26" s="79"/>
      <c r="CA26" s="40"/>
      <c r="CB26" s="40"/>
      <c r="CC26" s="119"/>
      <c r="CD26" s="17" t="s">
        <v>107</v>
      </c>
      <c r="CE26" s="39"/>
      <c r="CF26" s="78"/>
      <c r="CG26" s="78"/>
      <c r="CH26" s="40"/>
      <c r="CI26" s="40"/>
      <c r="CJ26" s="119"/>
      <c r="CK26" s="17" t="s">
        <v>108</v>
      </c>
      <c r="CL26" s="39"/>
      <c r="CM26" s="78"/>
      <c r="CN26" s="78"/>
      <c r="CO26" s="40"/>
      <c r="CP26" s="40"/>
      <c r="CQ26" s="119"/>
      <c r="CR26" s="17" t="s">
        <v>109</v>
      </c>
      <c r="CS26" s="39"/>
      <c r="CT26" s="78"/>
      <c r="CU26" s="78"/>
      <c r="CV26" s="40"/>
      <c r="CW26" s="40"/>
      <c r="CX26" s="119"/>
      <c r="CY26" s="17" t="s">
        <v>110</v>
      </c>
      <c r="CZ26" s="39"/>
      <c r="DA26" s="78"/>
      <c r="DB26" s="78"/>
      <c r="DC26" s="40"/>
      <c r="DD26" s="40"/>
      <c r="DE26" s="119"/>
      <c r="DF26" s="17" t="s">
        <v>111</v>
      </c>
      <c r="DG26" s="39"/>
      <c r="DH26" s="78"/>
      <c r="DI26" s="78"/>
      <c r="DJ26" s="40"/>
      <c r="DK26" s="40"/>
      <c r="DL26" s="119"/>
      <c r="DM26" s="17" t="s">
        <v>112</v>
      </c>
      <c r="DN26" s="39"/>
      <c r="DO26" s="78"/>
      <c r="DP26" s="78"/>
      <c r="DQ26" s="40"/>
      <c r="DR26" s="40"/>
      <c r="DS26" s="119"/>
      <c r="DT26" s="17" t="s">
        <v>113</v>
      </c>
      <c r="DU26" s="39"/>
      <c r="DV26" s="78"/>
      <c r="DW26" s="78"/>
      <c r="DX26" s="40"/>
      <c r="DY26" s="40"/>
      <c r="DZ26" s="119"/>
      <c r="EA26" s="17" t="s">
        <v>114</v>
      </c>
      <c r="EB26" s="39"/>
      <c r="EC26" s="78"/>
      <c r="ED26" s="78"/>
      <c r="EE26" s="40"/>
      <c r="EF26" s="40"/>
      <c r="EG26" s="119"/>
      <c r="EH26" s="17" t="s">
        <v>115</v>
      </c>
      <c r="EI26" s="39"/>
      <c r="EJ26" s="78"/>
      <c r="EK26" s="78"/>
      <c r="EL26" s="40"/>
      <c r="EM26" s="40"/>
      <c r="EN26" s="119"/>
      <c r="ET26" s="155" t="s">
        <v>83</v>
      </c>
      <c r="EU26" s="59"/>
      <c r="EV26" s="77"/>
      <c r="EW26" s="176"/>
      <c r="EX26" s="179"/>
      <c r="EY26" s="179"/>
      <c r="EZ26" s="122"/>
      <c r="FA26" s="155" t="s">
        <v>90</v>
      </c>
      <c r="FB26" s="39"/>
      <c r="FC26" s="77"/>
      <c r="FD26" s="77"/>
      <c r="FE26" s="179"/>
      <c r="FF26" s="179"/>
      <c r="FG26" s="119"/>
      <c r="FH26" s="155" t="s">
        <v>89</v>
      </c>
      <c r="FI26" s="39"/>
      <c r="FJ26" s="77"/>
      <c r="FK26" s="77"/>
      <c r="FL26" s="179"/>
      <c r="FM26" s="179"/>
      <c r="FN26" s="119"/>
      <c r="FO26" s="155" t="s">
        <v>92</v>
      </c>
      <c r="FP26" s="39"/>
      <c r="FQ26" s="77"/>
      <c r="FR26" s="77"/>
      <c r="FS26" s="179"/>
      <c r="FT26" s="179"/>
      <c r="FU26" s="230"/>
    </row>
    <row r="27" spans="1:177" ht="33.75" customHeight="1" x14ac:dyDescent="0.2">
      <c r="A27" s="115" t="str">
        <f t="shared" si="4"/>
        <v xml:space="preserve">Calendar 11 </v>
      </c>
      <c r="B27" s="69" t="str">
        <f t="shared" si="5"/>
        <v>Country_code</v>
      </c>
      <c r="C27" s="43" t="s">
        <v>166</v>
      </c>
      <c r="D27" s="43"/>
      <c r="E27" s="17" t="s">
        <v>94</v>
      </c>
      <c r="F27" s="39"/>
      <c r="G27" s="78"/>
      <c r="H27" s="78"/>
      <c r="I27" s="42"/>
      <c r="J27" s="42"/>
      <c r="K27" s="119"/>
      <c r="L27" s="17" t="s">
        <v>97</v>
      </c>
      <c r="M27" s="41"/>
      <c r="N27" s="78"/>
      <c r="O27" s="78"/>
      <c r="P27" s="40"/>
      <c r="Q27" s="42"/>
      <c r="R27" s="119"/>
      <c r="S27" s="17" t="s">
        <v>98</v>
      </c>
      <c r="T27" s="41"/>
      <c r="U27" s="78"/>
      <c r="V27" s="78"/>
      <c r="W27" s="42"/>
      <c r="X27" s="42"/>
      <c r="Y27" s="118"/>
      <c r="Z27" s="17" t="s">
        <v>99</v>
      </c>
      <c r="AA27" s="41"/>
      <c r="AB27" s="78"/>
      <c r="AC27" s="78"/>
      <c r="AD27" s="42"/>
      <c r="AE27" s="42"/>
      <c r="AF27" s="118"/>
      <c r="AG27" s="17" t="s">
        <v>100</v>
      </c>
      <c r="AH27" s="41"/>
      <c r="AI27" s="78"/>
      <c r="AJ27" s="78"/>
      <c r="AK27" s="42"/>
      <c r="AL27" s="42"/>
      <c r="AM27" s="118"/>
      <c r="AN27" s="17" t="s">
        <v>101</v>
      </c>
      <c r="AO27" s="41"/>
      <c r="AP27" s="78"/>
      <c r="AQ27" s="78"/>
      <c r="AR27" s="42"/>
      <c r="AS27" s="42"/>
      <c r="AT27" s="118"/>
      <c r="AU27" s="17" t="s">
        <v>157</v>
      </c>
      <c r="AV27" s="41"/>
      <c r="AW27" s="78"/>
      <c r="AX27" s="78"/>
      <c r="AY27" s="42"/>
      <c r="AZ27" s="42"/>
      <c r="BA27" s="118"/>
      <c r="BB27" s="17" t="s">
        <v>103</v>
      </c>
      <c r="BC27" s="41"/>
      <c r="BD27" s="78"/>
      <c r="BE27" s="78"/>
      <c r="BF27" s="42"/>
      <c r="BG27" s="42"/>
      <c r="BH27" s="118"/>
      <c r="BI27" s="17" t="s">
        <v>104</v>
      </c>
      <c r="BJ27" s="39"/>
      <c r="BK27" s="78"/>
      <c r="BL27" s="78"/>
      <c r="BM27" s="42"/>
      <c r="BN27" s="42"/>
      <c r="BO27" s="118"/>
      <c r="BP27" s="17" t="s">
        <v>105</v>
      </c>
      <c r="BQ27" s="41"/>
      <c r="BR27" s="78"/>
      <c r="BS27" s="78"/>
      <c r="BT27" s="42"/>
      <c r="BU27" s="42"/>
      <c r="BV27" s="118"/>
      <c r="BW27" s="17" t="s">
        <v>106</v>
      </c>
      <c r="BX27" s="41"/>
      <c r="BY27" s="80"/>
      <c r="BZ27" s="80"/>
      <c r="CA27" s="42"/>
      <c r="CB27" s="42"/>
      <c r="CC27" s="118"/>
      <c r="CD27" s="17" t="s">
        <v>107</v>
      </c>
      <c r="CE27" s="41"/>
      <c r="CF27" s="78"/>
      <c r="CG27" s="78"/>
      <c r="CH27" s="42"/>
      <c r="CI27" s="42"/>
      <c r="CJ27" s="118"/>
      <c r="CK27" s="17" t="s">
        <v>108</v>
      </c>
      <c r="CL27" s="41"/>
      <c r="CM27" s="78"/>
      <c r="CN27" s="78"/>
      <c r="CO27" s="42"/>
      <c r="CP27" s="42"/>
      <c r="CQ27" s="118"/>
      <c r="CR27" s="17" t="s">
        <v>109</v>
      </c>
      <c r="CS27" s="41"/>
      <c r="CT27" s="78"/>
      <c r="CU27" s="78"/>
      <c r="CV27" s="42"/>
      <c r="CW27" s="42"/>
      <c r="CX27" s="118"/>
      <c r="CY27" s="17" t="s">
        <v>110</v>
      </c>
      <c r="CZ27" s="41"/>
      <c r="DA27" s="78"/>
      <c r="DB27" s="78"/>
      <c r="DC27" s="42"/>
      <c r="DD27" s="42"/>
      <c r="DE27" s="118"/>
      <c r="DF27" s="17" t="s">
        <v>111</v>
      </c>
      <c r="DG27" s="41"/>
      <c r="DH27" s="78"/>
      <c r="DI27" s="78"/>
      <c r="DJ27" s="42"/>
      <c r="DK27" s="42"/>
      <c r="DL27" s="118"/>
      <c r="DM27" s="17" t="s">
        <v>112</v>
      </c>
      <c r="DN27" s="41"/>
      <c r="DO27" s="78"/>
      <c r="DP27" s="78"/>
      <c r="DQ27" s="42"/>
      <c r="DR27" s="42"/>
      <c r="DS27" s="118"/>
      <c r="DT27" s="17" t="s">
        <v>113</v>
      </c>
      <c r="DU27" s="41"/>
      <c r="DV27" s="78"/>
      <c r="DW27" s="78"/>
      <c r="DX27" s="42"/>
      <c r="DY27" s="42"/>
      <c r="DZ27" s="118"/>
      <c r="EA27" s="17" t="s">
        <v>114</v>
      </c>
      <c r="EB27" s="41"/>
      <c r="EC27" s="78"/>
      <c r="ED27" s="78"/>
      <c r="EE27" s="42"/>
      <c r="EF27" s="42"/>
      <c r="EG27" s="118"/>
      <c r="EH27" s="17" t="s">
        <v>115</v>
      </c>
      <c r="EI27" s="41"/>
      <c r="EJ27" s="78"/>
      <c r="EK27" s="78"/>
      <c r="EL27" s="42"/>
      <c r="EM27" s="42"/>
      <c r="EN27" s="118"/>
      <c r="ET27" s="155" t="s">
        <v>83</v>
      </c>
      <c r="EU27" s="60"/>
      <c r="EV27" s="77"/>
      <c r="EW27" s="176"/>
      <c r="EX27" s="179"/>
      <c r="EY27" s="179"/>
      <c r="EZ27" s="121"/>
      <c r="FA27" s="155" t="s">
        <v>90</v>
      </c>
      <c r="FB27" s="41"/>
      <c r="FC27" s="77"/>
      <c r="FD27" s="77"/>
      <c r="FE27" s="179"/>
      <c r="FF27" s="179"/>
      <c r="FG27" s="118"/>
      <c r="FH27" s="155" t="s">
        <v>89</v>
      </c>
      <c r="FI27" s="41"/>
      <c r="FJ27" s="77"/>
      <c r="FK27" s="77"/>
      <c r="FL27" s="179"/>
      <c r="FM27" s="179"/>
      <c r="FN27" s="118"/>
      <c r="FO27" s="155" t="s">
        <v>92</v>
      </c>
      <c r="FP27" s="41"/>
      <c r="FQ27" s="77"/>
      <c r="FR27" s="77"/>
      <c r="FS27" s="179"/>
      <c r="FT27" s="179"/>
      <c r="FU27" s="232"/>
    </row>
    <row r="28" spans="1:177" ht="33.75" customHeight="1" x14ac:dyDescent="0.2">
      <c r="A28" s="115" t="str">
        <f t="shared" si="4"/>
        <v>Calendar 12</v>
      </c>
      <c r="B28" s="69" t="str">
        <f t="shared" si="5"/>
        <v>Country_code</v>
      </c>
      <c r="C28" s="43" t="s">
        <v>167</v>
      </c>
      <c r="D28" s="43"/>
      <c r="E28" s="17" t="s">
        <v>94</v>
      </c>
      <c r="F28" s="39"/>
      <c r="G28" s="78"/>
      <c r="H28" s="78"/>
      <c r="I28" s="40"/>
      <c r="J28" s="40"/>
      <c r="K28" s="119"/>
      <c r="L28" s="17" t="s">
        <v>97</v>
      </c>
      <c r="M28" s="39"/>
      <c r="N28" s="78"/>
      <c r="O28" s="78"/>
      <c r="P28" s="40"/>
      <c r="Q28" s="40"/>
      <c r="R28" s="119"/>
      <c r="S28" s="17" t="s">
        <v>98</v>
      </c>
      <c r="T28" s="39"/>
      <c r="U28" s="78"/>
      <c r="V28" s="78"/>
      <c r="W28" s="40"/>
      <c r="X28" s="40"/>
      <c r="Y28" s="119"/>
      <c r="Z28" s="17" t="s">
        <v>99</v>
      </c>
      <c r="AA28" s="39"/>
      <c r="AB28" s="78"/>
      <c r="AC28" s="78"/>
      <c r="AD28" s="40"/>
      <c r="AE28" s="40"/>
      <c r="AF28" s="119"/>
      <c r="AG28" s="17" t="s">
        <v>100</v>
      </c>
      <c r="AH28" s="39"/>
      <c r="AI28" s="78"/>
      <c r="AJ28" s="78"/>
      <c r="AK28" s="40"/>
      <c r="AL28" s="40"/>
      <c r="AM28" s="119"/>
      <c r="AN28" s="17" t="s">
        <v>101</v>
      </c>
      <c r="AO28" s="39"/>
      <c r="AP28" s="78"/>
      <c r="AQ28" s="78"/>
      <c r="AR28" s="40"/>
      <c r="AS28" s="40"/>
      <c r="AT28" s="119"/>
      <c r="AU28" s="17" t="s">
        <v>157</v>
      </c>
      <c r="AV28" s="39"/>
      <c r="AW28" s="78"/>
      <c r="AX28" s="78"/>
      <c r="AY28" s="40"/>
      <c r="AZ28" s="40"/>
      <c r="BA28" s="119"/>
      <c r="BB28" s="17" t="s">
        <v>103</v>
      </c>
      <c r="BC28" s="39"/>
      <c r="BD28" s="78"/>
      <c r="BE28" s="78"/>
      <c r="BF28" s="40"/>
      <c r="BG28" s="40"/>
      <c r="BH28" s="119"/>
      <c r="BI28" s="17" t="s">
        <v>104</v>
      </c>
      <c r="BJ28" s="39"/>
      <c r="BK28" s="78"/>
      <c r="BL28" s="78"/>
      <c r="BM28" s="40"/>
      <c r="BN28" s="40"/>
      <c r="BO28" s="119"/>
      <c r="BP28" s="17" t="s">
        <v>105</v>
      </c>
      <c r="BQ28" s="39"/>
      <c r="BR28" s="78"/>
      <c r="BS28" s="78"/>
      <c r="BT28" s="40"/>
      <c r="BU28" s="40"/>
      <c r="BV28" s="119"/>
      <c r="BW28" s="17" t="s">
        <v>106</v>
      </c>
      <c r="BX28" s="39"/>
      <c r="BY28" s="79"/>
      <c r="BZ28" s="79"/>
      <c r="CA28" s="40"/>
      <c r="CB28" s="40"/>
      <c r="CC28" s="119"/>
      <c r="CD28" s="17" t="s">
        <v>107</v>
      </c>
      <c r="CE28" s="39"/>
      <c r="CF28" s="78"/>
      <c r="CG28" s="78"/>
      <c r="CH28" s="40"/>
      <c r="CI28" s="40"/>
      <c r="CJ28" s="119"/>
      <c r="CK28" s="17" t="s">
        <v>108</v>
      </c>
      <c r="CL28" s="39"/>
      <c r="CM28" s="78"/>
      <c r="CN28" s="78"/>
      <c r="CO28" s="40"/>
      <c r="CP28" s="40"/>
      <c r="CQ28" s="119"/>
      <c r="CR28" s="17" t="s">
        <v>109</v>
      </c>
      <c r="CS28" s="39"/>
      <c r="CT28" s="78"/>
      <c r="CU28" s="78"/>
      <c r="CV28" s="40"/>
      <c r="CW28" s="40"/>
      <c r="CX28" s="119"/>
      <c r="CY28" s="17" t="s">
        <v>110</v>
      </c>
      <c r="CZ28" s="39"/>
      <c r="DA28" s="78"/>
      <c r="DB28" s="78"/>
      <c r="DC28" s="40"/>
      <c r="DD28" s="40"/>
      <c r="DE28" s="119"/>
      <c r="DF28" s="17" t="s">
        <v>111</v>
      </c>
      <c r="DG28" s="39"/>
      <c r="DH28" s="78"/>
      <c r="DI28" s="78"/>
      <c r="DJ28" s="40"/>
      <c r="DK28" s="40"/>
      <c r="DL28" s="119"/>
      <c r="DM28" s="17" t="s">
        <v>112</v>
      </c>
      <c r="DN28" s="39"/>
      <c r="DO28" s="78"/>
      <c r="DP28" s="78"/>
      <c r="DQ28" s="40"/>
      <c r="DR28" s="40"/>
      <c r="DS28" s="119"/>
      <c r="DT28" s="17" t="s">
        <v>113</v>
      </c>
      <c r="DU28" s="39"/>
      <c r="DV28" s="78"/>
      <c r="DW28" s="78"/>
      <c r="DX28" s="40"/>
      <c r="DY28" s="40"/>
      <c r="DZ28" s="119"/>
      <c r="EA28" s="17" t="s">
        <v>114</v>
      </c>
      <c r="EB28" s="39"/>
      <c r="EC28" s="78"/>
      <c r="ED28" s="78"/>
      <c r="EE28" s="40"/>
      <c r="EF28" s="40"/>
      <c r="EG28" s="119"/>
      <c r="EH28" s="17" t="s">
        <v>115</v>
      </c>
      <c r="EI28" s="39"/>
      <c r="EJ28" s="78"/>
      <c r="EK28" s="78"/>
      <c r="EL28" s="40"/>
      <c r="EM28" s="40"/>
      <c r="EN28" s="119"/>
      <c r="ET28" s="155" t="s">
        <v>83</v>
      </c>
      <c r="EU28" s="59"/>
      <c r="EV28" s="77"/>
      <c r="EW28" s="176"/>
      <c r="EX28" s="179"/>
      <c r="EY28" s="179"/>
      <c r="EZ28" s="122"/>
      <c r="FA28" s="155" t="s">
        <v>90</v>
      </c>
      <c r="FB28" s="39"/>
      <c r="FC28" s="77"/>
      <c r="FD28" s="77"/>
      <c r="FE28" s="179"/>
      <c r="FF28" s="179"/>
      <c r="FG28" s="119"/>
      <c r="FH28" s="155" t="s">
        <v>89</v>
      </c>
      <c r="FI28" s="39"/>
      <c r="FJ28" s="77"/>
      <c r="FK28" s="77"/>
      <c r="FL28" s="179"/>
      <c r="FM28" s="179"/>
      <c r="FN28" s="119"/>
      <c r="FO28" s="155" t="s">
        <v>92</v>
      </c>
      <c r="FP28" s="39"/>
      <c r="FQ28" s="77"/>
      <c r="FR28" s="77"/>
      <c r="FS28" s="179"/>
      <c r="FT28" s="179"/>
      <c r="FU28" s="230"/>
    </row>
    <row r="29" spans="1:177" ht="33.75" customHeight="1" x14ac:dyDescent="0.2">
      <c r="A29" s="115" t="str">
        <f t="shared" si="4"/>
        <v>Calendar 12</v>
      </c>
      <c r="B29" s="69" t="str">
        <f t="shared" si="5"/>
        <v>Country_code</v>
      </c>
      <c r="C29" s="43" t="s">
        <v>167</v>
      </c>
      <c r="D29" s="43"/>
      <c r="E29" s="17" t="s">
        <v>94</v>
      </c>
      <c r="F29" s="39"/>
      <c r="G29" s="78"/>
      <c r="H29" s="78"/>
      <c r="I29" s="42"/>
      <c r="J29" s="42"/>
      <c r="K29" s="119"/>
      <c r="L29" s="17" t="s">
        <v>97</v>
      </c>
      <c r="M29" s="41"/>
      <c r="N29" s="78"/>
      <c r="O29" s="78"/>
      <c r="P29" s="40"/>
      <c r="Q29" s="42"/>
      <c r="R29" s="119"/>
      <c r="S29" s="17" t="s">
        <v>98</v>
      </c>
      <c r="T29" s="41"/>
      <c r="U29" s="78"/>
      <c r="V29" s="78"/>
      <c r="W29" s="42"/>
      <c r="X29" s="42"/>
      <c r="Y29" s="118"/>
      <c r="Z29" s="17" t="s">
        <v>99</v>
      </c>
      <c r="AA29" s="41"/>
      <c r="AB29" s="78"/>
      <c r="AC29" s="78"/>
      <c r="AD29" s="42"/>
      <c r="AE29" s="42"/>
      <c r="AF29" s="118"/>
      <c r="AG29" s="17" t="s">
        <v>100</v>
      </c>
      <c r="AH29" s="41"/>
      <c r="AI29" s="78"/>
      <c r="AJ29" s="78"/>
      <c r="AK29" s="42"/>
      <c r="AL29" s="42"/>
      <c r="AM29" s="118"/>
      <c r="AN29" s="17" t="s">
        <v>101</v>
      </c>
      <c r="AO29" s="41"/>
      <c r="AP29" s="78"/>
      <c r="AQ29" s="78"/>
      <c r="AR29" s="42"/>
      <c r="AS29" s="42"/>
      <c r="AT29" s="118"/>
      <c r="AU29" s="17" t="s">
        <v>157</v>
      </c>
      <c r="AV29" s="41"/>
      <c r="AW29" s="78"/>
      <c r="AX29" s="78"/>
      <c r="AY29" s="42"/>
      <c r="AZ29" s="42"/>
      <c r="BA29" s="118"/>
      <c r="BB29" s="17" t="s">
        <v>103</v>
      </c>
      <c r="BC29" s="41"/>
      <c r="BD29" s="78"/>
      <c r="BE29" s="78"/>
      <c r="BF29" s="42"/>
      <c r="BG29" s="42"/>
      <c r="BH29" s="118"/>
      <c r="BI29" s="17" t="s">
        <v>104</v>
      </c>
      <c r="BJ29" s="39"/>
      <c r="BK29" s="78"/>
      <c r="BL29" s="78"/>
      <c r="BM29" s="42"/>
      <c r="BN29" s="42"/>
      <c r="BO29" s="118"/>
      <c r="BP29" s="17" t="s">
        <v>105</v>
      </c>
      <c r="BQ29" s="41"/>
      <c r="BR29" s="78"/>
      <c r="BS29" s="78"/>
      <c r="BT29" s="42"/>
      <c r="BU29" s="42"/>
      <c r="BV29" s="118"/>
      <c r="BW29" s="17" t="s">
        <v>106</v>
      </c>
      <c r="BX29" s="41"/>
      <c r="BY29" s="80"/>
      <c r="BZ29" s="80"/>
      <c r="CA29" s="42"/>
      <c r="CB29" s="42"/>
      <c r="CC29" s="118"/>
      <c r="CD29" s="17" t="s">
        <v>107</v>
      </c>
      <c r="CE29" s="41"/>
      <c r="CF29" s="78"/>
      <c r="CG29" s="78"/>
      <c r="CH29" s="42"/>
      <c r="CI29" s="42"/>
      <c r="CJ29" s="118"/>
      <c r="CK29" s="17" t="s">
        <v>108</v>
      </c>
      <c r="CL29" s="41"/>
      <c r="CM29" s="78"/>
      <c r="CN29" s="78"/>
      <c r="CO29" s="42"/>
      <c r="CP29" s="42"/>
      <c r="CQ29" s="118"/>
      <c r="CR29" s="17" t="s">
        <v>109</v>
      </c>
      <c r="CS29" s="41"/>
      <c r="CT29" s="78"/>
      <c r="CU29" s="78"/>
      <c r="CV29" s="42"/>
      <c r="CW29" s="42"/>
      <c r="CX29" s="118"/>
      <c r="CY29" s="17" t="s">
        <v>110</v>
      </c>
      <c r="CZ29" s="41"/>
      <c r="DA29" s="78"/>
      <c r="DB29" s="78"/>
      <c r="DC29" s="42"/>
      <c r="DD29" s="42"/>
      <c r="DE29" s="118"/>
      <c r="DF29" s="17" t="s">
        <v>111</v>
      </c>
      <c r="DG29" s="41"/>
      <c r="DH29" s="78"/>
      <c r="DI29" s="78"/>
      <c r="DJ29" s="42"/>
      <c r="DK29" s="42"/>
      <c r="DL29" s="118"/>
      <c r="DM29" s="17" t="s">
        <v>112</v>
      </c>
      <c r="DN29" s="41"/>
      <c r="DO29" s="78"/>
      <c r="DP29" s="78"/>
      <c r="DQ29" s="42"/>
      <c r="DR29" s="42"/>
      <c r="DS29" s="118"/>
      <c r="DT29" s="17" t="s">
        <v>113</v>
      </c>
      <c r="DU29" s="41"/>
      <c r="DV29" s="78"/>
      <c r="DW29" s="78"/>
      <c r="DX29" s="42"/>
      <c r="DY29" s="42"/>
      <c r="DZ29" s="118"/>
      <c r="EA29" s="17" t="s">
        <v>114</v>
      </c>
      <c r="EB29" s="41"/>
      <c r="EC29" s="78"/>
      <c r="ED29" s="78"/>
      <c r="EE29" s="42"/>
      <c r="EF29" s="42"/>
      <c r="EG29" s="118"/>
      <c r="EH29" s="17" t="s">
        <v>115</v>
      </c>
      <c r="EI29" s="41"/>
      <c r="EJ29" s="78"/>
      <c r="EK29" s="78"/>
      <c r="EL29" s="42"/>
      <c r="EM29" s="42"/>
      <c r="EN29" s="118"/>
      <c r="ET29" s="155" t="s">
        <v>83</v>
      </c>
      <c r="EU29" s="60"/>
      <c r="EV29" s="77"/>
      <c r="EW29" s="176"/>
      <c r="EX29" s="179"/>
      <c r="EY29" s="179"/>
      <c r="EZ29" s="121"/>
      <c r="FA29" s="155" t="s">
        <v>90</v>
      </c>
      <c r="FB29" s="41"/>
      <c r="FC29" s="77"/>
      <c r="FD29" s="77"/>
      <c r="FE29" s="179"/>
      <c r="FF29" s="179"/>
      <c r="FG29" s="118"/>
      <c r="FH29" s="155" t="s">
        <v>89</v>
      </c>
      <c r="FI29" s="41"/>
      <c r="FJ29" s="77"/>
      <c r="FK29" s="77"/>
      <c r="FL29" s="179"/>
      <c r="FM29" s="179"/>
      <c r="FN29" s="118"/>
      <c r="FO29" s="155" t="s">
        <v>92</v>
      </c>
      <c r="FP29" s="41"/>
      <c r="FQ29" s="77"/>
      <c r="FR29" s="77"/>
      <c r="FS29" s="179"/>
      <c r="FT29" s="179"/>
      <c r="FU29" s="232"/>
    </row>
    <row r="30" spans="1:177" ht="33.75" customHeight="1" x14ac:dyDescent="0.2">
      <c r="A30" s="115" t="str">
        <f t="shared" si="4"/>
        <v>Calendar 13</v>
      </c>
      <c r="B30" s="69" t="str">
        <f t="shared" si="5"/>
        <v>Country_code</v>
      </c>
      <c r="C30" s="43" t="s">
        <v>168</v>
      </c>
      <c r="D30" s="43"/>
      <c r="E30" s="17" t="s">
        <v>94</v>
      </c>
      <c r="F30" s="39"/>
      <c r="G30" s="78"/>
      <c r="H30" s="78"/>
      <c r="I30" s="40"/>
      <c r="J30" s="40"/>
      <c r="K30" s="119"/>
      <c r="L30" s="17" t="s">
        <v>97</v>
      </c>
      <c r="M30" s="39"/>
      <c r="N30" s="78"/>
      <c r="O30" s="78"/>
      <c r="P30" s="40"/>
      <c r="Q30" s="40"/>
      <c r="R30" s="119"/>
      <c r="S30" s="17" t="s">
        <v>98</v>
      </c>
      <c r="T30" s="39"/>
      <c r="U30" s="78"/>
      <c r="V30" s="78"/>
      <c r="W30" s="40"/>
      <c r="X30" s="40"/>
      <c r="Y30" s="119"/>
      <c r="Z30" s="17" t="s">
        <v>99</v>
      </c>
      <c r="AA30" s="39"/>
      <c r="AB30" s="78"/>
      <c r="AC30" s="78"/>
      <c r="AD30" s="40"/>
      <c r="AE30" s="40"/>
      <c r="AF30" s="119"/>
      <c r="AG30" s="17" t="s">
        <v>100</v>
      </c>
      <c r="AH30" s="39"/>
      <c r="AI30" s="78"/>
      <c r="AJ30" s="78"/>
      <c r="AK30" s="40"/>
      <c r="AL30" s="40"/>
      <c r="AM30" s="119"/>
      <c r="AN30" s="17" t="s">
        <v>101</v>
      </c>
      <c r="AO30" s="39"/>
      <c r="AP30" s="78"/>
      <c r="AQ30" s="78"/>
      <c r="AR30" s="40"/>
      <c r="AS30" s="40"/>
      <c r="AT30" s="119"/>
      <c r="AU30" s="17" t="s">
        <v>157</v>
      </c>
      <c r="AV30" s="39"/>
      <c r="AW30" s="78"/>
      <c r="AX30" s="78"/>
      <c r="AY30" s="40"/>
      <c r="AZ30" s="40"/>
      <c r="BA30" s="119"/>
      <c r="BB30" s="17" t="s">
        <v>103</v>
      </c>
      <c r="BC30" s="39"/>
      <c r="BD30" s="78"/>
      <c r="BE30" s="78"/>
      <c r="BF30" s="40"/>
      <c r="BG30" s="40"/>
      <c r="BH30" s="119"/>
      <c r="BI30" s="17" t="s">
        <v>104</v>
      </c>
      <c r="BJ30" s="39"/>
      <c r="BK30" s="78"/>
      <c r="BL30" s="78"/>
      <c r="BM30" s="40"/>
      <c r="BN30" s="40"/>
      <c r="BO30" s="119"/>
      <c r="BP30" s="17" t="s">
        <v>105</v>
      </c>
      <c r="BQ30" s="39"/>
      <c r="BR30" s="78"/>
      <c r="BS30" s="78"/>
      <c r="BT30" s="40"/>
      <c r="BU30" s="40"/>
      <c r="BV30" s="119"/>
      <c r="BW30" s="17" t="s">
        <v>106</v>
      </c>
      <c r="BX30" s="39"/>
      <c r="BY30" s="79"/>
      <c r="BZ30" s="79"/>
      <c r="CA30" s="40"/>
      <c r="CB30" s="40"/>
      <c r="CC30" s="119"/>
      <c r="CD30" s="17" t="s">
        <v>107</v>
      </c>
      <c r="CE30" s="39"/>
      <c r="CF30" s="78"/>
      <c r="CG30" s="78"/>
      <c r="CH30" s="40"/>
      <c r="CI30" s="40"/>
      <c r="CJ30" s="119"/>
      <c r="CK30" s="17" t="s">
        <v>108</v>
      </c>
      <c r="CL30" s="39"/>
      <c r="CM30" s="78"/>
      <c r="CN30" s="78"/>
      <c r="CO30" s="40"/>
      <c r="CP30" s="40"/>
      <c r="CQ30" s="119"/>
      <c r="CR30" s="17" t="s">
        <v>109</v>
      </c>
      <c r="CS30" s="39"/>
      <c r="CT30" s="78"/>
      <c r="CU30" s="78"/>
      <c r="CV30" s="40"/>
      <c r="CW30" s="40"/>
      <c r="CX30" s="119"/>
      <c r="CY30" s="17" t="s">
        <v>110</v>
      </c>
      <c r="CZ30" s="39"/>
      <c r="DA30" s="78"/>
      <c r="DB30" s="78"/>
      <c r="DC30" s="40"/>
      <c r="DD30" s="40"/>
      <c r="DE30" s="119"/>
      <c r="DF30" s="17" t="s">
        <v>111</v>
      </c>
      <c r="DG30" s="39"/>
      <c r="DH30" s="78"/>
      <c r="DI30" s="78"/>
      <c r="DJ30" s="40"/>
      <c r="DK30" s="40"/>
      <c r="DL30" s="119"/>
      <c r="DM30" s="17" t="s">
        <v>112</v>
      </c>
      <c r="DN30" s="39"/>
      <c r="DO30" s="78"/>
      <c r="DP30" s="78"/>
      <c r="DQ30" s="40"/>
      <c r="DR30" s="40"/>
      <c r="DS30" s="119"/>
      <c r="DT30" s="17" t="s">
        <v>113</v>
      </c>
      <c r="DU30" s="39"/>
      <c r="DV30" s="78"/>
      <c r="DW30" s="78"/>
      <c r="DX30" s="40"/>
      <c r="DY30" s="40"/>
      <c r="DZ30" s="119"/>
      <c r="EA30" s="17" t="s">
        <v>114</v>
      </c>
      <c r="EB30" s="39"/>
      <c r="EC30" s="78"/>
      <c r="ED30" s="78"/>
      <c r="EE30" s="40"/>
      <c r="EF30" s="40"/>
      <c r="EG30" s="119"/>
      <c r="EH30" s="17" t="s">
        <v>115</v>
      </c>
      <c r="EI30" s="39"/>
      <c r="EJ30" s="78"/>
      <c r="EK30" s="78"/>
      <c r="EL30" s="40"/>
      <c r="EM30" s="40"/>
      <c r="EN30" s="119"/>
      <c r="ET30" s="155" t="s">
        <v>83</v>
      </c>
      <c r="EU30" s="59"/>
      <c r="EV30" s="77"/>
      <c r="EW30" s="176"/>
      <c r="EX30" s="179"/>
      <c r="EY30" s="179"/>
      <c r="EZ30" s="122"/>
      <c r="FA30" s="155" t="s">
        <v>90</v>
      </c>
      <c r="FB30" s="39"/>
      <c r="FC30" s="77"/>
      <c r="FD30" s="77"/>
      <c r="FE30" s="179"/>
      <c r="FF30" s="179"/>
      <c r="FG30" s="119"/>
      <c r="FH30" s="155" t="s">
        <v>89</v>
      </c>
      <c r="FI30" s="39"/>
      <c r="FJ30" s="77"/>
      <c r="FK30" s="77"/>
      <c r="FL30" s="179"/>
      <c r="FM30" s="179"/>
      <c r="FN30" s="119"/>
      <c r="FO30" s="155" t="s">
        <v>92</v>
      </c>
      <c r="FP30" s="39"/>
      <c r="FQ30" s="77"/>
      <c r="FR30" s="77"/>
      <c r="FS30" s="179"/>
      <c r="FT30" s="179"/>
      <c r="FU30" s="230"/>
    </row>
    <row r="31" spans="1:177" ht="33.75" customHeight="1" x14ac:dyDescent="0.2">
      <c r="A31" s="115" t="str">
        <f t="shared" si="4"/>
        <v>Calendar 13</v>
      </c>
      <c r="B31" s="69" t="str">
        <f t="shared" si="5"/>
        <v>Country_code</v>
      </c>
      <c r="C31" s="43" t="s">
        <v>168</v>
      </c>
      <c r="D31" s="43"/>
      <c r="E31" s="17" t="s">
        <v>94</v>
      </c>
      <c r="F31" s="39"/>
      <c r="G31" s="78"/>
      <c r="H31" s="78"/>
      <c r="I31" s="42"/>
      <c r="J31" s="42"/>
      <c r="K31" s="119"/>
      <c r="L31" s="17" t="s">
        <v>97</v>
      </c>
      <c r="M31" s="41"/>
      <c r="N31" s="78"/>
      <c r="O31" s="78"/>
      <c r="P31" s="40"/>
      <c r="Q31" s="42"/>
      <c r="R31" s="119"/>
      <c r="S31" s="17" t="s">
        <v>98</v>
      </c>
      <c r="T31" s="41"/>
      <c r="U31" s="78"/>
      <c r="V31" s="78"/>
      <c r="W31" s="42"/>
      <c r="X31" s="42"/>
      <c r="Y31" s="118"/>
      <c r="Z31" s="17" t="s">
        <v>99</v>
      </c>
      <c r="AA31" s="41"/>
      <c r="AB31" s="78"/>
      <c r="AC31" s="78"/>
      <c r="AD31" s="42"/>
      <c r="AE31" s="42"/>
      <c r="AF31" s="118"/>
      <c r="AG31" s="17" t="s">
        <v>100</v>
      </c>
      <c r="AH31" s="41"/>
      <c r="AI31" s="78"/>
      <c r="AJ31" s="78"/>
      <c r="AK31" s="42"/>
      <c r="AL31" s="42"/>
      <c r="AM31" s="118"/>
      <c r="AN31" s="17" t="s">
        <v>101</v>
      </c>
      <c r="AO31" s="41"/>
      <c r="AP31" s="78"/>
      <c r="AQ31" s="78"/>
      <c r="AR31" s="42"/>
      <c r="AS31" s="42"/>
      <c r="AT31" s="118"/>
      <c r="AU31" s="17" t="s">
        <v>157</v>
      </c>
      <c r="AV31" s="41"/>
      <c r="AW31" s="78"/>
      <c r="AX31" s="78"/>
      <c r="AY31" s="42"/>
      <c r="AZ31" s="42"/>
      <c r="BA31" s="118"/>
      <c r="BB31" s="17" t="s">
        <v>103</v>
      </c>
      <c r="BC31" s="41"/>
      <c r="BD31" s="78"/>
      <c r="BE31" s="78"/>
      <c r="BF31" s="42"/>
      <c r="BG31" s="42"/>
      <c r="BH31" s="118"/>
      <c r="BI31" s="17" t="s">
        <v>104</v>
      </c>
      <c r="BJ31" s="39"/>
      <c r="BK31" s="78"/>
      <c r="BL31" s="78"/>
      <c r="BM31" s="42"/>
      <c r="BN31" s="42"/>
      <c r="BO31" s="118"/>
      <c r="BP31" s="17" t="s">
        <v>105</v>
      </c>
      <c r="BQ31" s="41"/>
      <c r="BR31" s="78"/>
      <c r="BS31" s="78"/>
      <c r="BT31" s="42"/>
      <c r="BU31" s="42"/>
      <c r="BV31" s="118"/>
      <c r="BW31" s="17" t="s">
        <v>106</v>
      </c>
      <c r="BX31" s="41"/>
      <c r="BY31" s="80"/>
      <c r="BZ31" s="80"/>
      <c r="CA31" s="42"/>
      <c r="CB31" s="42"/>
      <c r="CC31" s="118"/>
      <c r="CD31" s="17" t="s">
        <v>107</v>
      </c>
      <c r="CE31" s="41"/>
      <c r="CF31" s="78"/>
      <c r="CG31" s="78"/>
      <c r="CH31" s="42"/>
      <c r="CI31" s="42"/>
      <c r="CJ31" s="118"/>
      <c r="CK31" s="17" t="s">
        <v>108</v>
      </c>
      <c r="CL31" s="41"/>
      <c r="CM31" s="78"/>
      <c r="CN31" s="78"/>
      <c r="CO31" s="42"/>
      <c r="CP31" s="42"/>
      <c r="CQ31" s="118"/>
      <c r="CR31" s="17" t="s">
        <v>109</v>
      </c>
      <c r="CS31" s="41"/>
      <c r="CT31" s="78"/>
      <c r="CU31" s="78"/>
      <c r="CV31" s="42"/>
      <c r="CW31" s="42"/>
      <c r="CX31" s="118"/>
      <c r="CY31" s="17" t="s">
        <v>110</v>
      </c>
      <c r="CZ31" s="41"/>
      <c r="DA31" s="78"/>
      <c r="DB31" s="78"/>
      <c r="DC31" s="42"/>
      <c r="DD31" s="42"/>
      <c r="DE31" s="118"/>
      <c r="DF31" s="17" t="s">
        <v>111</v>
      </c>
      <c r="DG31" s="41"/>
      <c r="DH31" s="78"/>
      <c r="DI31" s="78"/>
      <c r="DJ31" s="42"/>
      <c r="DK31" s="42"/>
      <c r="DL31" s="118"/>
      <c r="DM31" s="17" t="s">
        <v>112</v>
      </c>
      <c r="DN31" s="41"/>
      <c r="DO31" s="78"/>
      <c r="DP31" s="78"/>
      <c r="DQ31" s="42"/>
      <c r="DR31" s="42"/>
      <c r="DS31" s="118"/>
      <c r="DT31" s="17" t="s">
        <v>113</v>
      </c>
      <c r="DU31" s="41"/>
      <c r="DV31" s="78"/>
      <c r="DW31" s="78"/>
      <c r="DX31" s="42"/>
      <c r="DY31" s="42"/>
      <c r="DZ31" s="118"/>
      <c r="EA31" s="17" t="s">
        <v>114</v>
      </c>
      <c r="EB31" s="41"/>
      <c r="EC31" s="78"/>
      <c r="ED31" s="78"/>
      <c r="EE31" s="42"/>
      <c r="EF31" s="42"/>
      <c r="EG31" s="118"/>
      <c r="EH31" s="17" t="s">
        <v>115</v>
      </c>
      <c r="EI31" s="41"/>
      <c r="EJ31" s="78"/>
      <c r="EK31" s="78"/>
      <c r="EL31" s="42"/>
      <c r="EM31" s="42"/>
      <c r="EN31" s="118"/>
      <c r="ET31" s="155" t="s">
        <v>83</v>
      </c>
      <c r="EU31" s="60"/>
      <c r="EV31" s="77"/>
      <c r="EW31" s="176"/>
      <c r="EX31" s="179"/>
      <c r="EY31" s="179"/>
      <c r="EZ31" s="121"/>
      <c r="FA31" s="155" t="s">
        <v>90</v>
      </c>
      <c r="FB31" s="41"/>
      <c r="FC31" s="77"/>
      <c r="FD31" s="77"/>
      <c r="FE31" s="179"/>
      <c r="FF31" s="179"/>
      <c r="FG31" s="118"/>
      <c r="FH31" s="155" t="s">
        <v>89</v>
      </c>
      <c r="FI31" s="41"/>
      <c r="FJ31" s="77"/>
      <c r="FK31" s="77"/>
      <c r="FL31" s="179"/>
      <c r="FM31" s="179"/>
      <c r="FN31" s="118"/>
      <c r="FO31" s="155" t="s">
        <v>92</v>
      </c>
      <c r="FP31" s="41"/>
      <c r="FQ31" s="77"/>
      <c r="FR31" s="77"/>
      <c r="FS31" s="179"/>
      <c r="FT31" s="179"/>
      <c r="FU31" s="232"/>
    </row>
    <row r="32" spans="1:177" ht="33.75" customHeight="1" x14ac:dyDescent="0.2">
      <c r="A32" s="115" t="str">
        <f t="shared" si="4"/>
        <v>Calendar 14</v>
      </c>
      <c r="B32" s="69" t="str">
        <f t="shared" si="5"/>
        <v>Country_code</v>
      </c>
      <c r="C32" s="43" t="s">
        <v>169</v>
      </c>
      <c r="D32" s="44"/>
      <c r="E32" s="17" t="s">
        <v>94</v>
      </c>
      <c r="F32" s="39"/>
      <c r="G32" s="78"/>
      <c r="H32" s="78"/>
      <c r="I32" s="40"/>
      <c r="J32" s="40"/>
      <c r="K32" s="119"/>
      <c r="L32" s="17" t="s">
        <v>97</v>
      </c>
      <c r="M32" s="39"/>
      <c r="N32" s="78"/>
      <c r="O32" s="78"/>
      <c r="P32" s="40"/>
      <c r="Q32" s="40"/>
      <c r="R32" s="119"/>
      <c r="S32" s="17" t="s">
        <v>98</v>
      </c>
      <c r="T32" s="39"/>
      <c r="U32" s="78"/>
      <c r="V32" s="78"/>
      <c r="W32" s="40"/>
      <c r="X32" s="40"/>
      <c r="Y32" s="119"/>
      <c r="Z32" s="17" t="s">
        <v>99</v>
      </c>
      <c r="AA32" s="39"/>
      <c r="AB32" s="78"/>
      <c r="AC32" s="78"/>
      <c r="AD32" s="40"/>
      <c r="AE32" s="40"/>
      <c r="AF32" s="119"/>
      <c r="AG32" s="17" t="s">
        <v>100</v>
      </c>
      <c r="AH32" s="39"/>
      <c r="AI32" s="78"/>
      <c r="AJ32" s="78"/>
      <c r="AK32" s="40"/>
      <c r="AL32" s="40"/>
      <c r="AM32" s="119"/>
      <c r="AN32" s="17" t="s">
        <v>101</v>
      </c>
      <c r="AO32" s="39"/>
      <c r="AP32" s="78"/>
      <c r="AQ32" s="78"/>
      <c r="AR32" s="40"/>
      <c r="AS32" s="40"/>
      <c r="AT32" s="119"/>
      <c r="AU32" s="17" t="s">
        <v>157</v>
      </c>
      <c r="AV32" s="39"/>
      <c r="AW32" s="78"/>
      <c r="AX32" s="78"/>
      <c r="AY32" s="40"/>
      <c r="AZ32" s="40"/>
      <c r="BA32" s="119"/>
      <c r="BB32" s="17" t="s">
        <v>103</v>
      </c>
      <c r="BC32" s="39"/>
      <c r="BD32" s="78"/>
      <c r="BE32" s="78"/>
      <c r="BF32" s="40"/>
      <c r="BG32" s="40"/>
      <c r="BH32" s="119"/>
      <c r="BI32" s="17" t="s">
        <v>104</v>
      </c>
      <c r="BJ32" s="39"/>
      <c r="BK32" s="78"/>
      <c r="BL32" s="78"/>
      <c r="BM32" s="40"/>
      <c r="BN32" s="40"/>
      <c r="BO32" s="119"/>
      <c r="BP32" s="17" t="s">
        <v>105</v>
      </c>
      <c r="BQ32" s="39"/>
      <c r="BR32" s="78"/>
      <c r="BS32" s="78"/>
      <c r="BT32" s="40"/>
      <c r="BU32" s="40"/>
      <c r="BV32" s="119"/>
      <c r="BW32" s="17" t="s">
        <v>106</v>
      </c>
      <c r="BX32" s="39"/>
      <c r="BY32" s="79"/>
      <c r="BZ32" s="79"/>
      <c r="CA32" s="40"/>
      <c r="CB32" s="40"/>
      <c r="CC32" s="119"/>
      <c r="CD32" s="17" t="s">
        <v>107</v>
      </c>
      <c r="CE32" s="39"/>
      <c r="CF32" s="78"/>
      <c r="CG32" s="78"/>
      <c r="CH32" s="40"/>
      <c r="CI32" s="40"/>
      <c r="CJ32" s="119"/>
      <c r="CK32" s="17" t="s">
        <v>108</v>
      </c>
      <c r="CL32" s="39"/>
      <c r="CM32" s="78"/>
      <c r="CN32" s="78"/>
      <c r="CO32" s="40"/>
      <c r="CP32" s="40"/>
      <c r="CQ32" s="119"/>
      <c r="CR32" s="17" t="s">
        <v>109</v>
      </c>
      <c r="CS32" s="39"/>
      <c r="CT32" s="78"/>
      <c r="CU32" s="78"/>
      <c r="CV32" s="40"/>
      <c r="CW32" s="40"/>
      <c r="CX32" s="119"/>
      <c r="CY32" s="17" t="s">
        <v>110</v>
      </c>
      <c r="CZ32" s="39"/>
      <c r="DA32" s="78"/>
      <c r="DB32" s="78"/>
      <c r="DC32" s="40"/>
      <c r="DD32" s="40"/>
      <c r="DE32" s="119"/>
      <c r="DF32" s="17" t="s">
        <v>111</v>
      </c>
      <c r="DG32" s="39"/>
      <c r="DH32" s="78"/>
      <c r="DI32" s="78"/>
      <c r="DJ32" s="40"/>
      <c r="DK32" s="40"/>
      <c r="DL32" s="119"/>
      <c r="DM32" s="17" t="s">
        <v>112</v>
      </c>
      <c r="DN32" s="39"/>
      <c r="DO32" s="78"/>
      <c r="DP32" s="78"/>
      <c r="DQ32" s="40"/>
      <c r="DR32" s="40"/>
      <c r="DS32" s="119"/>
      <c r="DT32" s="17" t="s">
        <v>113</v>
      </c>
      <c r="DU32" s="39"/>
      <c r="DV32" s="78"/>
      <c r="DW32" s="78"/>
      <c r="DX32" s="40"/>
      <c r="DY32" s="40"/>
      <c r="DZ32" s="119"/>
      <c r="EA32" s="17" t="s">
        <v>114</v>
      </c>
      <c r="EB32" s="39"/>
      <c r="EC32" s="78"/>
      <c r="ED32" s="78"/>
      <c r="EE32" s="40"/>
      <c r="EF32" s="40"/>
      <c r="EG32" s="119"/>
      <c r="EH32" s="17" t="s">
        <v>115</v>
      </c>
      <c r="EI32" s="39"/>
      <c r="EJ32" s="78"/>
      <c r="EK32" s="78"/>
      <c r="EL32" s="40"/>
      <c r="EM32" s="40"/>
      <c r="EN32" s="119"/>
      <c r="ET32" s="155" t="s">
        <v>83</v>
      </c>
      <c r="EU32" s="59"/>
      <c r="EV32" s="77"/>
      <c r="EW32" s="176"/>
      <c r="EX32" s="179"/>
      <c r="EY32" s="179"/>
      <c r="EZ32" s="122"/>
      <c r="FA32" s="155" t="s">
        <v>90</v>
      </c>
      <c r="FB32" s="39"/>
      <c r="FC32" s="77"/>
      <c r="FD32" s="77"/>
      <c r="FE32" s="179"/>
      <c r="FF32" s="179"/>
      <c r="FG32" s="119"/>
      <c r="FH32" s="155" t="s">
        <v>89</v>
      </c>
      <c r="FI32" s="39"/>
      <c r="FJ32" s="77"/>
      <c r="FK32" s="77"/>
      <c r="FL32" s="179"/>
      <c r="FM32" s="179"/>
      <c r="FN32" s="119"/>
      <c r="FO32" s="155" t="s">
        <v>92</v>
      </c>
      <c r="FP32" s="39"/>
      <c r="FQ32" s="77"/>
      <c r="FR32" s="77"/>
      <c r="FS32" s="179"/>
      <c r="FT32" s="179"/>
      <c r="FU32" s="230"/>
    </row>
    <row r="33" spans="1:177" ht="33.75" customHeight="1" x14ac:dyDescent="0.2">
      <c r="A33" s="115" t="str">
        <f t="shared" si="4"/>
        <v xml:space="preserve">Calendar 14 </v>
      </c>
      <c r="B33" s="69" t="str">
        <f t="shared" si="5"/>
        <v>Country_code</v>
      </c>
      <c r="C33" s="43" t="s">
        <v>170</v>
      </c>
      <c r="D33" s="44"/>
      <c r="E33" s="17" t="s">
        <v>94</v>
      </c>
      <c r="F33" s="39"/>
      <c r="G33" s="78"/>
      <c r="H33" s="78"/>
      <c r="I33" s="42"/>
      <c r="J33" s="42"/>
      <c r="K33" s="119"/>
      <c r="L33" s="17" t="s">
        <v>97</v>
      </c>
      <c r="M33" s="41"/>
      <c r="N33" s="78"/>
      <c r="O33" s="78"/>
      <c r="P33" s="40"/>
      <c r="Q33" s="42"/>
      <c r="R33" s="119"/>
      <c r="S33" s="17" t="s">
        <v>98</v>
      </c>
      <c r="T33" s="41"/>
      <c r="U33" s="78"/>
      <c r="V33" s="78"/>
      <c r="W33" s="42"/>
      <c r="X33" s="42"/>
      <c r="Y33" s="118"/>
      <c r="Z33" s="17" t="s">
        <v>99</v>
      </c>
      <c r="AA33" s="41"/>
      <c r="AB33" s="78"/>
      <c r="AC33" s="78"/>
      <c r="AD33" s="42"/>
      <c r="AE33" s="42"/>
      <c r="AF33" s="118"/>
      <c r="AG33" s="17" t="s">
        <v>100</v>
      </c>
      <c r="AH33" s="41"/>
      <c r="AI33" s="78"/>
      <c r="AJ33" s="78"/>
      <c r="AK33" s="42"/>
      <c r="AL33" s="42"/>
      <c r="AM33" s="118"/>
      <c r="AN33" s="17" t="s">
        <v>101</v>
      </c>
      <c r="AO33" s="41"/>
      <c r="AP33" s="78"/>
      <c r="AQ33" s="78"/>
      <c r="AR33" s="42"/>
      <c r="AS33" s="42"/>
      <c r="AT33" s="118"/>
      <c r="AU33" s="17" t="s">
        <v>157</v>
      </c>
      <c r="AV33" s="41"/>
      <c r="AW33" s="78"/>
      <c r="AX33" s="78"/>
      <c r="AY33" s="42"/>
      <c r="AZ33" s="42"/>
      <c r="BA33" s="118"/>
      <c r="BB33" s="17" t="s">
        <v>103</v>
      </c>
      <c r="BC33" s="41"/>
      <c r="BD33" s="78"/>
      <c r="BE33" s="78"/>
      <c r="BF33" s="42"/>
      <c r="BG33" s="42"/>
      <c r="BH33" s="118"/>
      <c r="BI33" s="17" t="s">
        <v>104</v>
      </c>
      <c r="BJ33" s="39"/>
      <c r="BK33" s="78"/>
      <c r="BL33" s="78"/>
      <c r="BM33" s="42"/>
      <c r="BN33" s="42"/>
      <c r="BO33" s="118"/>
      <c r="BP33" s="17" t="s">
        <v>105</v>
      </c>
      <c r="BQ33" s="41"/>
      <c r="BR33" s="78"/>
      <c r="BS33" s="78"/>
      <c r="BT33" s="42"/>
      <c r="BU33" s="42"/>
      <c r="BV33" s="118"/>
      <c r="BW33" s="17" t="s">
        <v>106</v>
      </c>
      <c r="BX33" s="41"/>
      <c r="BY33" s="80"/>
      <c r="BZ33" s="80"/>
      <c r="CA33" s="42"/>
      <c r="CB33" s="42"/>
      <c r="CC33" s="118"/>
      <c r="CD33" s="17" t="s">
        <v>107</v>
      </c>
      <c r="CE33" s="41"/>
      <c r="CF33" s="78"/>
      <c r="CG33" s="78"/>
      <c r="CH33" s="42"/>
      <c r="CI33" s="42"/>
      <c r="CJ33" s="118"/>
      <c r="CK33" s="17" t="s">
        <v>108</v>
      </c>
      <c r="CL33" s="41"/>
      <c r="CM33" s="78"/>
      <c r="CN33" s="78"/>
      <c r="CO33" s="42"/>
      <c r="CP33" s="42"/>
      <c r="CQ33" s="118"/>
      <c r="CR33" s="17" t="s">
        <v>109</v>
      </c>
      <c r="CS33" s="41"/>
      <c r="CT33" s="78"/>
      <c r="CU33" s="78"/>
      <c r="CV33" s="42"/>
      <c r="CW33" s="42"/>
      <c r="CX33" s="118"/>
      <c r="CY33" s="17" t="s">
        <v>110</v>
      </c>
      <c r="CZ33" s="41"/>
      <c r="DA33" s="78"/>
      <c r="DB33" s="78"/>
      <c r="DC33" s="42"/>
      <c r="DD33" s="42"/>
      <c r="DE33" s="118"/>
      <c r="DF33" s="17" t="s">
        <v>111</v>
      </c>
      <c r="DG33" s="41"/>
      <c r="DH33" s="78"/>
      <c r="DI33" s="78"/>
      <c r="DJ33" s="42"/>
      <c r="DK33" s="42"/>
      <c r="DL33" s="118"/>
      <c r="DM33" s="17" t="s">
        <v>112</v>
      </c>
      <c r="DN33" s="41"/>
      <c r="DO33" s="78"/>
      <c r="DP33" s="78"/>
      <c r="DQ33" s="42"/>
      <c r="DR33" s="42"/>
      <c r="DS33" s="118"/>
      <c r="DT33" s="17" t="s">
        <v>113</v>
      </c>
      <c r="DU33" s="41"/>
      <c r="DV33" s="78"/>
      <c r="DW33" s="78"/>
      <c r="DX33" s="42"/>
      <c r="DY33" s="42"/>
      <c r="DZ33" s="118"/>
      <c r="EA33" s="17" t="s">
        <v>114</v>
      </c>
      <c r="EB33" s="41"/>
      <c r="EC33" s="78"/>
      <c r="ED33" s="78"/>
      <c r="EE33" s="42"/>
      <c r="EF33" s="42"/>
      <c r="EG33" s="118"/>
      <c r="EH33" s="17" t="s">
        <v>115</v>
      </c>
      <c r="EI33" s="41"/>
      <c r="EJ33" s="78"/>
      <c r="EK33" s="78"/>
      <c r="EL33" s="42"/>
      <c r="EM33" s="42"/>
      <c r="EN33" s="118"/>
      <c r="ET33" s="155" t="s">
        <v>83</v>
      </c>
      <c r="EU33" s="60"/>
      <c r="EV33" s="77"/>
      <c r="EW33" s="176"/>
      <c r="EX33" s="179"/>
      <c r="EY33" s="179"/>
      <c r="EZ33" s="121"/>
      <c r="FA33" s="155" t="s">
        <v>90</v>
      </c>
      <c r="FB33" s="41"/>
      <c r="FC33" s="77"/>
      <c r="FD33" s="77"/>
      <c r="FE33" s="179"/>
      <c r="FF33" s="179"/>
      <c r="FG33" s="118"/>
      <c r="FH33" s="155" t="s">
        <v>89</v>
      </c>
      <c r="FI33" s="41"/>
      <c r="FJ33" s="77"/>
      <c r="FK33" s="77"/>
      <c r="FL33" s="179"/>
      <c r="FM33" s="179"/>
      <c r="FN33" s="118"/>
      <c r="FO33" s="155" t="s">
        <v>92</v>
      </c>
      <c r="FP33" s="41"/>
      <c r="FQ33" s="77"/>
      <c r="FR33" s="77"/>
      <c r="FS33" s="179"/>
      <c r="FT33" s="179"/>
      <c r="FU33" s="232"/>
    </row>
    <row r="34" spans="1:177" ht="33.75" customHeight="1" x14ac:dyDescent="0.2">
      <c r="A34" s="115" t="str">
        <f t="shared" si="4"/>
        <v>Calendar 15</v>
      </c>
      <c r="B34" s="69" t="str">
        <f t="shared" si="5"/>
        <v>Country_code</v>
      </c>
      <c r="C34" s="43" t="s">
        <v>171</v>
      </c>
      <c r="D34" s="43"/>
      <c r="E34" s="17" t="s">
        <v>94</v>
      </c>
      <c r="F34" s="39"/>
      <c r="G34" s="78"/>
      <c r="H34" s="78"/>
      <c r="I34" s="40"/>
      <c r="J34" s="40"/>
      <c r="K34" s="119"/>
      <c r="L34" s="17" t="s">
        <v>97</v>
      </c>
      <c r="M34" s="39"/>
      <c r="N34" s="78"/>
      <c r="O34" s="78"/>
      <c r="P34" s="40"/>
      <c r="Q34" s="40"/>
      <c r="R34" s="119"/>
      <c r="S34" s="17" t="s">
        <v>98</v>
      </c>
      <c r="T34" s="39"/>
      <c r="U34" s="78"/>
      <c r="V34" s="78"/>
      <c r="W34" s="40"/>
      <c r="X34" s="40"/>
      <c r="Y34" s="119"/>
      <c r="Z34" s="17" t="s">
        <v>99</v>
      </c>
      <c r="AA34" s="39"/>
      <c r="AB34" s="78"/>
      <c r="AC34" s="78"/>
      <c r="AD34" s="40"/>
      <c r="AE34" s="40"/>
      <c r="AF34" s="119"/>
      <c r="AG34" s="17" t="s">
        <v>100</v>
      </c>
      <c r="AH34" s="39"/>
      <c r="AI34" s="78"/>
      <c r="AJ34" s="78"/>
      <c r="AK34" s="40"/>
      <c r="AL34" s="40"/>
      <c r="AM34" s="119"/>
      <c r="AN34" s="17" t="s">
        <v>101</v>
      </c>
      <c r="AO34" s="39"/>
      <c r="AP34" s="78"/>
      <c r="AQ34" s="78"/>
      <c r="AR34" s="40"/>
      <c r="AS34" s="40"/>
      <c r="AT34" s="119"/>
      <c r="AU34" s="17" t="s">
        <v>157</v>
      </c>
      <c r="AV34" s="39"/>
      <c r="AW34" s="78"/>
      <c r="AX34" s="78"/>
      <c r="AY34" s="40"/>
      <c r="AZ34" s="40"/>
      <c r="BA34" s="119"/>
      <c r="BB34" s="17" t="s">
        <v>103</v>
      </c>
      <c r="BC34" s="39"/>
      <c r="BD34" s="78"/>
      <c r="BE34" s="78"/>
      <c r="BF34" s="40"/>
      <c r="BG34" s="40"/>
      <c r="BH34" s="119"/>
      <c r="BI34" s="17" t="s">
        <v>104</v>
      </c>
      <c r="BJ34" s="39"/>
      <c r="BK34" s="78"/>
      <c r="BL34" s="78"/>
      <c r="BM34" s="40"/>
      <c r="BN34" s="40"/>
      <c r="BO34" s="119"/>
      <c r="BP34" s="17" t="s">
        <v>105</v>
      </c>
      <c r="BQ34" s="39"/>
      <c r="BR34" s="78"/>
      <c r="BS34" s="78"/>
      <c r="BT34" s="40"/>
      <c r="BU34" s="40"/>
      <c r="BV34" s="119"/>
      <c r="BW34" s="17" t="s">
        <v>106</v>
      </c>
      <c r="BX34" s="39"/>
      <c r="BY34" s="79"/>
      <c r="BZ34" s="79"/>
      <c r="CA34" s="40"/>
      <c r="CB34" s="40"/>
      <c r="CC34" s="119"/>
      <c r="CD34" s="17" t="s">
        <v>107</v>
      </c>
      <c r="CE34" s="39"/>
      <c r="CF34" s="78"/>
      <c r="CG34" s="78"/>
      <c r="CH34" s="40"/>
      <c r="CI34" s="40"/>
      <c r="CJ34" s="119"/>
      <c r="CK34" s="17" t="s">
        <v>108</v>
      </c>
      <c r="CL34" s="39"/>
      <c r="CM34" s="78"/>
      <c r="CN34" s="78"/>
      <c r="CO34" s="40"/>
      <c r="CP34" s="40"/>
      <c r="CQ34" s="119"/>
      <c r="CR34" s="17" t="s">
        <v>109</v>
      </c>
      <c r="CS34" s="39"/>
      <c r="CT34" s="78"/>
      <c r="CU34" s="78"/>
      <c r="CV34" s="40"/>
      <c r="CW34" s="40"/>
      <c r="CX34" s="119"/>
      <c r="CY34" s="17" t="s">
        <v>110</v>
      </c>
      <c r="CZ34" s="39"/>
      <c r="DA34" s="78"/>
      <c r="DB34" s="78"/>
      <c r="DC34" s="40"/>
      <c r="DD34" s="40"/>
      <c r="DE34" s="119"/>
      <c r="DF34" s="17" t="s">
        <v>111</v>
      </c>
      <c r="DG34" s="39"/>
      <c r="DH34" s="78"/>
      <c r="DI34" s="78"/>
      <c r="DJ34" s="40"/>
      <c r="DK34" s="40"/>
      <c r="DL34" s="119"/>
      <c r="DM34" s="17" t="s">
        <v>112</v>
      </c>
      <c r="DN34" s="39"/>
      <c r="DO34" s="78"/>
      <c r="DP34" s="78"/>
      <c r="DQ34" s="40"/>
      <c r="DR34" s="40"/>
      <c r="DS34" s="119"/>
      <c r="DT34" s="17" t="s">
        <v>113</v>
      </c>
      <c r="DU34" s="39"/>
      <c r="DV34" s="78"/>
      <c r="DW34" s="78"/>
      <c r="DX34" s="40"/>
      <c r="DY34" s="40"/>
      <c r="DZ34" s="119"/>
      <c r="EA34" s="17" t="s">
        <v>114</v>
      </c>
      <c r="EB34" s="39"/>
      <c r="EC34" s="78"/>
      <c r="ED34" s="78"/>
      <c r="EE34" s="40"/>
      <c r="EF34" s="40"/>
      <c r="EG34" s="119"/>
      <c r="EH34" s="17" t="s">
        <v>115</v>
      </c>
      <c r="EI34" s="39"/>
      <c r="EJ34" s="78"/>
      <c r="EK34" s="78"/>
      <c r="EL34" s="40"/>
      <c r="EM34" s="40"/>
      <c r="EN34" s="119"/>
      <c r="ET34" s="155" t="s">
        <v>83</v>
      </c>
      <c r="EU34" s="59"/>
      <c r="EV34" s="77"/>
      <c r="EW34" s="176"/>
      <c r="EX34" s="179"/>
      <c r="EY34" s="179"/>
      <c r="EZ34" s="122"/>
      <c r="FA34" s="155" t="s">
        <v>90</v>
      </c>
      <c r="FB34" s="39"/>
      <c r="FC34" s="77"/>
      <c r="FD34" s="77"/>
      <c r="FE34" s="179"/>
      <c r="FF34" s="179"/>
      <c r="FG34" s="119"/>
      <c r="FH34" s="155" t="s">
        <v>89</v>
      </c>
      <c r="FI34" s="39"/>
      <c r="FJ34" s="77"/>
      <c r="FK34" s="77"/>
      <c r="FL34" s="179"/>
      <c r="FM34" s="179"/>
      <c r="FN34" s="119"/>
      <c r="FO34" s="155" t="s">
        <v>92</v>
      </c>
      <c r="FP34" s="39"/>
      <c r="FQ34" s="77"/>
      <c r="FR34" s="77"/>
      <c r="FS34" s="179"/>
      <c r="FT34" s="179"/>
      <c r="FU34" s="230"/>
    </row>
    <row r="35" spans="1:177" ht="33.75" customHeight="1" x14ac:dyDescent="0.2">
      <c r="A35" s="115" t="str">
        <f t="shared" si="4"/>
        <v xml:space="preserve">Calendar 15 </v>
      </c>
      <c r="B35" s="69" t="str">
        <f t="shared" si="5"/>
        <v>Country_code</v>
      </c>
      <c r="C35" s="43" t="s">
        <v>172</v>
      </c>
      <c r="D35" s="43"/>
      <c r="E35" s="17" t="s">
        <v>94</v>
      </c>
      <c r="F35" s="39"/>
      <c r="G35" s="78"/>
      <c r="H35" s="78"/>
      <c r="I35" s="42"/>
      <c r="J35" s="42"/>
      <c r="K35" s="119"/>
      <c r="L35" s="17" t="s">
        <v>97</v>
      </c>
      <c r="M35" s="41"/>
      <c r="N35" s="78"/>
      <c r="O35" s="78"/>
      <c r="P35" s="40"/>
      <c r="Q35" s="42"/>
      <c r="R35" s="119"/>
      <c r="S35" s="17" t="s">
        <v>98</v>
      </c>
      <c r="T35" s="41"/>
      <c r="U35" s="78"/>
      <c r="V35" s="78"/>
      <c r="W35" s="42"/>
      <c r="X35" s="42"/>
      <c r="Y35" s="118"/>
      <c r="Z35" s="17" t="s">
        <v>99</v>
      </c>
      <c r="AA35" s="41"/>
      <c r="AB35" s="78"/>
      <c r="AC35" s="78"/>
      <c r="AD35" s="42"/>
      <c r="AE35" s="42"/>
      <c r="AF35" s="118"/>
      <c r="AG35" s="17" t="s">
        <v>100</v>
      </c>
      <c r="AH35" s="41"/>
      <c r="AI35" s="78"/>
      <c r="AJ35" s="78"/>
      <c r="AK35" s="42"/>
      <c r="AL35" s="42"/>
      <c r="AM35" s="118"/>
      <c r="AN35" s="17" t="s">
        <v>101</v>
      </c>
      <c r="AO35" s="41"/>
      <c r="AP35" s="78"/>
      <c r="AQ35" s="78"/>
      <c r="AR35" s="42"/>
      <c r="AS35" s="42"/>
      <c r="AT35" s="118"/>
      <c r="AU35" s="17" t="s">
        <v>157</v>
      </c>
      <c r="AV35" s="41"/>
      <c r="AW35" s="78"/>
      <c r="AX35" s="78"/>
      <c r="AY35" s="42"/>
      <c r="AZ35" s="42"/>
      <c r="BA35" s="118"/>
      <c r="BB35" s="17" t="s">
        <v>103</v>
      </c>
      <c r="BC35" s="41"/>
      <c r="BD35" s="78"/>
      <c r="BE35" s="78"/>
      <c r="BF35" s="42"/>
      <c r="BG35" s="42"/>
      <c r="BH35" s="118"/>
      <c r="BI35" s="17" t="s">
        <v>104</v>
      </c>
      <c r="BJ35" s="39"/>
      <c r="BK35" s="78"/>
      <c r="BL35" s="78"/>
      <c r="BM35" s="42"/>
      <c r="BN35" s="42"/>
      <c r="BO35" s="118"/>
      <c r="BP35" s="17" t="s">
        <v>105</v>
      </c>
      <c r="BQ35" s="41"/>
      <c r="BR35" s="78"/>
      <c r="BS35" s="78"/>
      <c r="BT35" s="42"/>
      <c r="BU35" s="42"/>
      <c r="BV35" s="118"/>
      <c r="BW35" s="17" t="s">
        <v>106</v>
      </c>
      <c r="BX35" s="41"/>
      <c r="BY35" s="80"/>
      <c r="BZ35" s="80"/>
      <c r="CA35" s="42"/>
      <c r="CB35" s="42"/>
      <c r="CC35" s="118"/>
      <c r="CD35" s="17" t="s">
        <v>107</v>
      </c>
      <c r="CE35" s="41"/>
      <c r="CF35" s="78"/>
      <c r="CG35" s="78"/>
      <c r="CH35" s="42"/>
      <c r="CI35" s="42"/>
      <c r="CJ35" s="118"/>
      <c r="CK35" s="17" t="s">
        <v>108</v>
      </c>
      <c r="CL35" s="41"/>
      <c r="CM35" s="78"/>
      <c r="CN35" s="78"/>
      <c r="CO35" s="42"/>
      <c r="CP35" s="42"/>
      <c r="CQ35" s="118"/>
      <c r="CR35" s="17" t="s">
        <v>109</v>
      </c>
      <c r="CS35" s="41"/>
      <c r="CT35" s="78"/>
      <c r="CU35" s="78"/>
      <c r="CV35" s="42"/>
      <c r="CW35" s="42"/>
      <c r="CX35" s="118"/>
      <c r="CY35" s="17" t="s">
        <v>110</v>
      </c>
      <c r="CZ35" s="41"/>
      <c r="DA35" s="78"/>
      <c r="DB35" s="78"/>
      <c r="DC35" s="42"/>
      <c r="DD35" s="42"/>
      <c r="DE35" s="118"/>
      <c r="DF35" s="17" t="s">
        <v>111</v>
      </c>
      <c r="DG35" s="41"/>
      <c r="DH35" s="78"/>
      <c r="DI35" s="78"/>
      <c r="DJ35" s="42"/>
      <c r="DK35" s="42"/>
      <c r="DL35" s="118"/>
      <c r="DM35" s="17" t="s">
        <v>112</v>
      </c>
      <c r="DN35" s="41"/>
      <c r="DO35" s="78"/>
      <c r="DP35" s="78"/>
      <c r="DQ35" s="42"/>
      <c r="DR35" s="42"/>
      <c r="DS35" s="118"/>
      <c r="DT35" s="17" t="s">
        <v>113</v>
      </c>
      <c r="DU35" s="41"/>
      <c r="DV35" s="78"/>
      <c r="DW35" s="78"/>
      <c r="DX35" s="42"/>
      <c r="DY35" s="42"/>
      <c r="DZ35" s="118"/>
      <c r="EA35" s="17" t="s">
        <v>114</v>
      </c>
      <c r="EB35" s="41"/>
      <c r="EC35" s="78"/>
      <c r="ED35" s="78"/>
      <c r="EE35" s="42"/>
      <c r="EF35" s="42"/>
      <c r="EG35" s="118"/>
      <c r="EH35" s="17" t="s">
        <v>115</v>
      </c>
      <c r="EI35" s="41"/>
      <c r="EJ35" s="78"/>
      <c r="EK35" s="78"/>
      <c r="EL35" s="42"/>
      <c r="EM35" s="42"/>
      <c r="EN35" s="118"/>
      <c r="ET35" s="155" t="s">
        <v>83</v>
      </c>
      <c r="EU35" s="60"/>
      <c r="EV35" s="77"/>
      <c r="EW35" s="176"/>
      <c r="EX35" s="179"/>
      <c r="EY35" s="179"/>
      <c r="EZ35" s="121"/>
      <c r="FA35" s="155" t="s">
        <v>90</v>
      </c>
      <c r="FB35" s="41"/>
      <c r="FC35" s="77"/>
      <c r="FD35" s="77"/>
      <c r="FE35" s="179"/>
      <c r="FF35" s="179"/>
      <c r="FG35" s="118"/>
      <c r="FH35" s="155" t="s">
        <v>89</v>
      </c>
      <c r="FI35" s="41"/>
      <c r="FJ35" s="77"/>
      <c r="FK35" s="77"/>
      <c r="FL35" s="179"/>
      <c r="FM35" s="179"/>
      <c r="FN35" s="118"/>
      <c r="FO35" s="155" t="s">
        <v>92</v>
      </c>
      <c r="FP35" s="41"/>
      <c r="FQ35" s="77"/>
      <c r="FR35" s="77"/>
      <c r="FS35" s="179"/>
      <c r="FT35" s="179"/>
      <c r="FU35" s="232"/>
    </row>
    <row r="36" spans="1:177" ht="33.75" customHeight="1" x14ac:dyDescent="0.2">
      <c r="A36" s="115" t="str">
        <f t="shared" si="4"/>
        <v>Calendar 16</v>
      </c>
      <c r="B36" s="69" t="str">
        <f t="shared" si="5"/>
        <v>Country_code</v>
      </c>
      <c r="C36" s="43" t="s">
        <v>173</v>
      </c>
      <c r="D36" s="43"/>
      <c r="E36" s="17" t="s">
        <v>94</v>
      </c>
      <c r="F36" s="39"/>
      <c r="G36" s="78"/>
      <c r="H36" s="78"/>
      <c r="I36" s="40"/>
      <c r="J36" s="40"/>
      <c r="K36" s="119"/>
      <c r="L36" s="17" t="s">
        <v>97</v>
      </c>
      <c r="M36" s="39"/>
      <c r="N36" s="78"/>
      <c r="O36" s="78"/>
      <c r="P36" s="40"/>
      <c r="Q36" s="40"/>
      <c r="R36" s="119"/>
      <c r="S36" s="17" t="s">
        <v>98</v>
      </c>
      <c r="T36" s="39"/>
      <c r="U36" s="78"/>
      <c r="V36" s="78"/>
      <c r="W36" s="40"/>
      <c r="X36" s="40"/>
      <c r="Y36" s="119"/>
      <c r="Z36" s="17" t="s">
        <v>99</v>
      </c>
      <c r="AA36" s="39"/>
      <c r="AB36" s="78"/>
      <c r="AC36" s="78"/>
      <c r="AD36" s="40"/>
      <c r="AE36" s="40"/>
      <c r="AF36" s="119"/>
      <c r="AG36" s="17" t="s">
        <v>100</v>
      </c>
      <c r="AH36" s="39"/>
      <c r="AI36" s="78"/>
      <c r="AJ36" s="78"/>
      <c r="AK36" s="40"/>
      <c r="AL36" s="40"/>
      <c r="AM36" s="119"/>
      <c r="AN36" s="17" t="s">
        <v>101</v>
      </c>
      <c r="AO36" s="39"/>
      <c r="AP36" s="78"/>
      <c r="AQ36" s="78"/>
      <c r="AR36" s="40"/>
      <c r="AS36" s="40"/>
      <c r="AT36" s="119"/>
      <c r="AU36" s="17" t="s">
        <v>157</v>
      </c>
      <c r="AV36" s="39"/>
      <c r="AW36" s="78"/>
      <c r="AX36" s="78"/>
      <c r="AY36" s="40"/>
      <c r="AZ36" s="40"/>
      <c r="BA36" s="119"/>
      <c r="BB36" s="17" t="s">
        <v>103</v>
      </c>
      <c r="BC36" s="39"/>
      <c r="BD36" s="78"/>
      <c r="BE36" s="78"/>
      <c r="BF36" s="40"/>
      <c r="BG36" s="40"/>
      <c r="BH36" s="119"/>
      <c r="BI36" s="17" t="s">
        <v>104</v>
      </c>
      <c r="BJ36" s="39"/>
      <c r="BK36" s="78"/>
      <c r="BL36" s="78"/>
      <c r="BM36" s="40"/>
      <c r="BN36" s="40"/>
      <c r="BO36" s="119"/>
      <c r="BP36" s="17" t="s">
        <v>105</v>
      </c>
      <c r="BQ36" s="39"/>
      <c r="BR36" s="78"/>
      <c r="BS36" s="78"/>
      <c r="BT36" s="40"/>
      <c r="BU36" s="40"/>
      <c r="BV36" s="119"/>
      <c r="BW36" s="17" t="s">
        <v>106</v>
      </c>
      <c r="BX36" s="39"/>
      <c r="BY36" s="79"/>
      <c r="BZ36" s="79"/>
      <c r="CA36" s="40"/>
      <c r="CB36" s="40"/>
      <c r="CC36" s="119"/>
      <c r="CD36" s="17" t="s">
        <v>107</v>
      </c>
      <c r="CE36" s="39"/>
      <c r="CF36" s="78"/>
      <c r="CG36" s="78"/>
      <c r="CH36" s="40"/>
      <c r="CI36" s="40"/>
      <c r="CJ36" s="119"/>
      <c r="CK36" s="17" t="s">
        <v>108</v>
      </c>
      <c r="CL36" s="39"/>
      <c r="CM36" s="78"/>
      <c r="CN36" s="78"/>
      <c r="CO36" s="40"/>
      <c r="CP36" s="40"/>
      <c r="CQ36" s="119"/>
      <c r="CR36" s="17" t="s">
        <v>109</v>
      </c>
      <c r="CS36" s="39"/>
      <c r="CT36" s="78"/>
      <c r="CU36" s="78"/>
      <c r="CV36" s="40"/>
      <c r="CW36" s="40"/>
      <c r="CX36" s="119"/>
      <c r="CY36" s="17" t="s">
        <v>110</v>
      </c>
      <c r="CZ36" s="39"/>
      <c r="DA36" s="78"/>
      <c r="DB36" s="78"/>
      <c r="DC36" s="40"/>
      <c r="DD36" s="40"/>
      <c r="DE36" s="119"/>
      <c r="DF36" s="17" t="s">
        <v>111</v>
      </c>
      <c r="DG36" s="39"/>
      <c r="DH36" s="78"/>
      <c r="DI36" s="78"/>
      <c r="DJ36" s="40"/>
      <c r="DK36" s="40"/>
      <c r="DL36" s="119"/>
      <c r="DM36" s="17" t="s">
        <v>112</v>
      </c>
      <c r="DN36" s="39"/>
      <c r="DO36" s="78"/>
      <c r="DP36" s="78"/>
      <c r="DQ36" s="40"/>
      <c r="DR36" s="40"/>
      <c r="DS36" s="119"/>
      <c r="DT36" s="17" t="s">
        <v>113</v>
      </c>
      <c r="DU36" s="39"/>
      <c r="DV36" s="78"/>
      <c r="DW36" s="78"/>
      <c r="DX36" s="40"/>
      <c r="DY36" s="40"/>
      <c r="DZ36" s="119"/>
      <c r="EA36" s="17" t="s">
        <v>114</v>
      </c>
      <c r="EB36" s="39"/>
      <c r="EC36" s="78"/>
      <c r="ED36" s="78"/>
      <c r="EE36" s="40"/>
      <c r="EF36" s="40"/>
      <c r="EG36" s="119"/>
      <c r="EH36" s="17" t="s">
        <v>115</v>
      </c>
      <c r="EI36" s="39"/>
      <c r="EJ36" s="78"/>
      <c r="EK36" s="78"/>
      <c r="EL36" s="40"/>
      <c r="EM36" s="40"/>
      <c r="EN36" s="119"/>
      <c r="ET36" s="155" t="s">
        <v>83</v>
      </c>
      <c r="EU36" s="59"/>
      <c r="EV36" s="77"/>
      <c r="EW36" s="176"/>
      <c r="EX36" s="179"/>
      <c r="EY36" s="179"/>
      <c r="EZ36" s="122"/>
      <c r="FA36" s="155" t="s">
        <v>90</v>
      </c>
      <c r="FB36" s="39"/>
      <c r="FC36" s="77"/>
      <c r="FD36" s="77"/>
      <c r="FE36" s="179"/>
      <c r="FF36" s="179"/>
      <c r="FG36" s="119"/>
      <c r="FH36" s="155" t="s">
        <v>89</v>
      </c>
      <c r="FI36" s="39"/>
      <c r="FJ36" s="77"/>
      <c r="FK36" s="77"/>
      <c r="FL36" s="179"/>
      <c r="FM36" s="179"/>
      <c r="FN36" s="119"/>
      <c r="FO36" s="155" t="s">
        <v>92</v>
      </c>
      <c r="FP36" s="39"/>
      <c r="FQ36" s="77"/>
      <c r="FR36" s="77"/>
      <c r="FS36" s="179"/>
      <c r="FT36" s="179"/>
      <c r="FU36" s="230"/>
    </row>
    <row r="37" spans="1:177" ht="33.75" customHeight="1" x14ac:dyDescent="0.2">
      <c r="A37" s="115" t="str">
        <f t="shared" si="4"/>
        <v xml:space="preserve">Calendar 16 </v>
      </c>
      <c r="B37" s="69" t="str">
        <f t="shared" si="5"/>
        <v>Country_code</v>
      </c>
      <c r="C37" s="43" t="s">
        <v>174</v>
      </c>
      <c r="D37" s="43"/>
      <c r="E37" s="17" t="s">
        <v>94</v>
      </c>
      <c r="F37" s="39"/>
      <c r="G37" s="78"/>
      <c r="H37" s="78"/>
      <c r="I37" s="42"/>
      <c r="J37" s="42"/>
      <c r="K37" s="119"/>
      <c r="L37" s="17" t="s">
        <v>97</v>
      </c>
      <c r="M37" s="41"/>
      <c r="N37" s="78"/>
      <c r="O37" s="78"/>
      <c r="P37" s="40"/>
      <c r="Q37" s="42"/>
      <c r="R37" s="119"/>
      <c r="S37" s="17" t="s">
        <v>98</v>
      </c>
      <c r="T37" s="41"/>
      <c r="U37" s="78"/>
      <c r="V37" s="78"/>
      <c r="W37" s="42"/>
      <c r="X37" s="42"/>
      <c r="Y37" s="118"/>
      <c r="Z37" s="17" t="s">
        <v>99</v>
      </c>
      <c r="AA37" s="41"/>
      <c r="AB37" s="78"/>
      <c r="AC37" s="78"/>
      <c r="AD37" s="42"/>
      <c r="AE37" s="42"/>
      <c r="AF37" s="118"/>
      <c r="AG37" s="17" t="s">
        <v>100</v>
      </c>
      <c r="AH37" s="41"/>
      <c r="AI37" s="78"/>
      <c r="AJ37" s="78"/>
      <c r="AK37" s="42"/>
      <c r="AL37" s="42"/>
      <c r="AM37" s="118"/>
      <c r="AN37" s="17" t="s">
        <v>101</v>
      </c>
      <c r="AO37" s="41"/>
      <c r="AP37" s="78"/>
      <c r="AQ37" s="78"/>
      <c r="AR37" s="42"/>
      <c r="AS37" s="42"/>
      <c r="AT37" s="118"/>
      <c r="AU37" s="17" t="s">
        <v>157</v>
      </c>
      <c r="AV37" s="41"/>
      <c r="AW37" s="78"/>
      <c r="AX37" s="78"/>
      <c r="AY37" s="42"/>
      <c r="AZ37" s="42"/>
      <c r="BA37" s="118"/>
      <c r="BB37" s="17" t="s">
        <v>103</v>
      </c>
      <c r="BC37" s="41"/>
      <c r="BD37" s="78"/>
      <c r="BE37" s="78"/>
      <c r="BF37" s="42"/>
      <c r="BG37" s="42"/>
      <c r="BH37" s="118"/>
      <c r="BI37" s="17" t="s">
        <v>104</v>
      </c>
      <c r="BJ37" s="39"/>
      <c r="BK37" s="78"/>
      <c r="BL37" s="78"/>
      <c r="BM37" s="42"/>
      <c r="BN37" s="42"/>
      <c r="BO37" s="118"/>
      <c r="BP37" s="17" t="s">
        <v>105</v>
      </c>
      <c r="BQ37" s="41"/>
      <c r="BR37" s="78"/>
      <c r="BS37" s="78"/>
      <c r="BT37" s="42"/>
      <c r="BU37" s="42"/>
      <c r="BV37" s="118"/>
      <c r="BW37" s="17" t="s">
        <v>106</v>
      </c>
      <c r="BX37" s="41"/>
      <c r="BY37" s="80"/>
      <c r="BZ37" s="80"/>
      <c r="CA37" s="42"/>
      <c r="CB37" s="42"/>
      <c r="CC37" s="118"/>
      <c r="CD37" s="17" t="s">
        <v>107</v>
      </c>
      <c r="CE37" s="41"/>
      <c r="CF37" s="78"/>
      <c r="CG37" s="78"/>
      <c r="CH37" s="42"/>
      <c r="CI37" s="42"/>
      <c r="CJ37" s="118"/>
      <c r="CK37" s="17" t="s">
        <v>108</v>
      </c>
      <c r="CL37" s="41"/>
      <c r="CM37" s="78"/>
      <c r="CN37" s="78"/>
      <c r="CO37" s="42"/>
      <c r="CP37" s="42"/>
      <c r="CQ37" s="118"/>
      <c r="CR37" s="17" t="s">
        <v>109</v>
      </c>
      <c r="CS37" s="41"/>
      <c r="CT37" s="78"/>
      <c r="CU37" s="78"/>
      <c r="CV37" s="42"/>
      <c r="CW37" s="42"/>
      <c r="CX37" s="118"/>
      <c r="CY37" s="17" t="s">
        <v>110</v>
      </c>
      <c r="CZ37" s="41"/>
      <c r="DA37" s="78"/>
      <c r="DB37" s="78"/>
      <c r="DC37" s="42"/>
      <c r="DD37" s="42"/>
      <c r="DE37" s="118"/>
      <c r="DF37" s="17" t="s">
        <v>111</v>
      </c>
      <c r="DG37" s="41"/>
      <c r="DH37" s="78"/>
      <c r="DI37" s="78"/>
      <c r="DJ37" s="42"/>
      <c r="DK37" s="42"/>
      <c r="DL37" s="118"/>
      <c r="DM37" s="17" t="s">
        <v>112</v>
      </c>
      <c r="DN37" s="41"/>
      <c r="DO37" s="78"/>
      <c r="DP37" s="78"/>
      <c r="DQ37" s="42"/>
      <c r="DR37" s="42"/>
      <c r="DS37" s="118"/>
      <c r="DT37" s="17" t="s">
        <v>113</v>
      </c>
      <c r="DU37" s="41"/>
      <c r="DV37" s="78"/>
      <c r="DW37" s="78"/>
      <c r="DX37" s="42"/>
      <c r="DY37" s="42"/>
      <c r="DZ37" s="118"/>
      <c r="EA37" s="17" t="s">
        <v>114</v>
      </c>
      <c r="EB37" s="41"/>
      <c r="EC37" s="78"/>
      <c r="ED37" s="78"/>
      <c r="EE37" s="42"/>
      <c r="EF37" s="42"/>
      <c r="EG37" s="118"/>
      <c r="EH37" s="17" t="s">
        <v>115</v>
      </c>
      <c r="EI37" s="41"/>
      <c r="EJ37" s="78"/>
      <c r="EK37" s="78"/>
      <c r="EL37" s="42"/>
      <c r="EM37" s="42"/>
      <c r="EN37" s="118"/>
      <c r="ET37" s="155" t="s">
        <v>83</v>
      </c>
      <c r="EU37" s="60"/>
      <c r="EV37" s="77"/>
      <c r="EW37" s="176"/>
      <c r="EX37" s="179"/>
      <c r="EY37" s="179"/>
      <c r="EZ37" s="121"/>
      <c r="FA37" s="155" t="s">
        <v>90</v>
      </c>
      <c r="FB37" s="41"/>
      <c r="FC37" s="77"/>
      <c r="FD37" s="77"/>
      <c r="FE37" s="179"/>
      <c r="FF37" s="179"/>
      <c r="FG37" s="118"/>
      <c r="FH37" s="155" t="s">
        <v>89</v>
      </c>
      <c r="FI37" s="41"/>
      <c r="FJ37" s="77"/>
      <c r="FK37" s="77"/>
      <c r="FL37" s="179"/>
      <c r="FM37" s="179"/>
      <c r="FN37" s="118"/>
      <c r="FO37" s="155" t="s">
        <v>92</v>
      </c>
      <c r="FP37" s="41"/>
      <c r="FQ37" s="77"/>
      <c r="FR37" s="77"/>
      <c r="FS37" s="179"/>
      <c r="FT37" s="179"/>
      <c r="FU37" s="232"/>
    </row>
    <row r="38" spans="1:177" ht="33.75" customHeight="1" x14ac:dyDescent="0.2">
      <c r="A38" s="115" t="str">
        <f t="shared" si="4"/>
        <v>Calendar 17</v>
      </c>
      <c r="B38" s="69" t="str">
        <f t="shared" si="5"/>
        <v>Country_code</v>
      </c>
      <c r="C38" s="43" t="s">
        <v>175</v>
      </c>
      <c r="D38" s="43"/>
      <c r="E38" s="17" t="s">
        <v>94</v>
      </c>
      <c r="F38" s="39"/>
      <c r="G38" s="78"/>
      <c r="H38" s="78"/>
      <c r="I38" s="40"/>
      <c r="J38" s="40"/>
      <c r="K38" s="119"/>
      <c r="L38" s="17" t="s">
        <v>97</v>
      </c>
      <c r="M38" s="39"/>
      <c r="N38" s="78"/>
      <c r="O38" s="78"/>
      <c r="P38" s="40"/>
      <c r="Q38" s="40"/>
      <c r="R38" s="119"/>
      <c r="S38" s="17" t="s">
        <v>98</v>
      </c>
      <c r="T38" s="39"/>
      <c r="U38" s="78"/>
      <c r="V38" s="78"/>
      <c r="W38" s="40"/>
      <c r="X38" s="40"/>
      <c r="Y38" s="119"/>
      <c r="Z38" s="17" t="s">
        <v>99</v>
      </c>
      <c r="AA38" s="39"/>
      <c r="AB38" s="78"/>
      <c r="AC38" s="78"/>
      <c r="AD38" s="40"/>
      <c r="AE38" s="40"/>
      <c r="AF38" s="119"/>
      <c r="AG38" s="17" t="s">
        <v>100</v>
      </c>
      <c r="AH38" s="39"/>
      <c r="AI38" s="78"/>
      <c r="AJ38" s="78"/>
      <c r="AK38" s="40"/>
      <c r="AL38" s="40"/>
      <c r="AM38" s="119"/>
      <c r="AN38" s="17" t="s">
        <v>101</v>
      </c>
      <c r="AO38" s="39"/>
      <c r="AP38" s="78"/>
      <c r="AQ38" s="78"/>
      <c r="AR38" s="40"/>
      <c r="AS38" s="40"/>
      <c r="AT38" s="119"/>
      <c r="AU38" s="17" t="s">
        <v>157</v>
      </c>
      <c r="AV38" s="39"/>
      <c r="AW38" s="78"/>
      <c r="AX38" s="78"/>
      <c r="AY38" s="40"/>
      <c r="AZ38" s="40"/>
      <c r="BA38" s="119"/>
      <c r="BB38" s="17" t="s">
        <v>103</v>
      </c>
      <c r="BC38" s="39"/>
      <c r="BD38" s="78"/>
      <c r="BE38" s="78"/>
      <c r="BF38" s="40"/>
      <c r="BG38" s="40"/>
      <c r="BH38" s="119"/>
      <c r="BI38" s="17" t="s">
        <v>104</v>
      </c>
      <c r="BJ38" s="39"/>
      <c r="BK38" s="78"/>
      <c r="BL38" s="78"/>
      <c r="BM38" s="40"/>
      <c r="BN38" s="40"/>
      <c r="BO38" s="119"/>
      <c r="BP38" s="17" t="s">
        <v>105</v>
      </c>
      <c r="BQ38" s="39"/>
      <c r="BR38" s="78"/>
      <c r="BS38" s="78"/>
      <c r="BT38" s="40"/>
      <c r="BU38" s="40"/>
      <c r="BV38" s="119"/>
      <c r="BW38" s="17" t="s">
        <v>106</v>
      </c>
      <c r="BX38" s="39"/>
      <c r="BY38" s="79"/>
      <c r="BZ38" s="79"/>
      <c r="CA38" s="40"/>
      <c r="CB38" s="40"/>
      <c r="CC38" s="119"/>
      <c r="CD38" s="17" t="s">
        <v>107</v>
      </c>
      <c r="CE38" s="39"/>
      <c r="CF38" s="78"/>
      <c r="CG38" s="78"/>
      <c r="CH38" s="40"/>
      <c r="CI38" s="40"/>
      <c r="CJ38" s="119"/>
      <c r="CK38" s="17" t="s">
        <v>108</v>
      </c>
      <c r="CL38" s="39"/>
      <c r="CM38" s="78"/>
      <c r="CN38" s="78"/>
      <c r="CO38" s="40"/>
      <c r="CP38" s="40"/>
      <c r="CQ38" s="119"/>
      <c r="CR38" s="17" t="s">
        <v>109</v>
      </c>
      <c r="CS38" s="39"/>
      <c r="CT38" s="78"/>
      <c r="CU38" s="78"/>
      <c r="CV38" s="40"/>
      <c r="CW38" s="40"/>
      <c r="CX38" s="119"/>
      <c r="CY38" s="17" t="s">
        <v>110</v>
      </c>
      <c r="CZ38" s="39"/>
      <c r="DA38" s="78"/>
      <c r="DB38" s="78"/>
      <c r="DC38" s="40"/>
      <c r="DD38" s="40"/>
      <c r="DE38" s="119"/>
      <c r="DF38" s="17" t="s">
        <v>111</v>
      </c>
      <c r="DG38" s="39"/>
      <c r="DH38" s="78"/>
      <c r="DI38" s="78"/>
      <c r="DJ38" s="40"/>
      <c r="DK38" s="40"/>
      <c r="DL38" s="119"/>
      <c r="DM38" s="17" t="s">
        <v>112</v>
      </c>
      <c r="DN38" s="39"/>
      <c r="DO38" s="78"/>
      <c r="DP38" s="78"/>
      <c r="DQ38" s="40"/>
      <c r="DR38" s="40"/>
      <c r="DS38" s="119"/>
      <c r="DT38" s="17" t="s">
        <v>113</v>
      </c>
      <c r="DU38" s="39"/>
      <c r="DV38" s="78"/>
      <c r="DW38" s="78"/>
      <c r="DX38" s="40"/>
      <c r="DY38" s="40"/>
      <c r="DZ38" s="119"/>
      <c r="EA38" s="17" t="s">
        <v>114</v>
      </c>
      <c r="EB38" s="39"/>
      <c r="EC38" s="78"/>
      <c r="ED38" s="78"/>
      <c r="EE38" s="40"/>
      <c r="EF38" s="40"/>
      <c r="EG38" s="119"/>
      <c r="EH38" s="17" t="s">
        <v>115</v>
      </c>
      <c r="EI38" s="39"/>
      <c r="EJ38" s="78"/>
      <c r="EK38" s="78"/>
      <c r="EL38" s="40"/>
      <c r="EM38" s="40"/>
      <c r="EN38" s="119"/>
      <c r="ET38" s="155" t="s">
        <v>83</v>
      </c>
      <c r="EU38" s="59"/>
      <c r="EV38" s="77"/>
      <c r="EW38" s="176"/>
      <c r="EX38" s="179"/>
      <c r="EY38" s="179"/>
      <c r="EZ38" s="122"/>
      <c r="FA38" s="155" t="s">
        <v>90</v>
      </c>
      <c r="FB38" s="39"/>
      <c r="FC38" s="77"/>
      <c r="FD38" s="77"/>
      <c r="FE38" s="179"/>
      <c r="FF38" s="179"/>
      <c r="FG38" s="119"/>
      <c r="FH38" s="155" t="s">
        <v>89</v>
      </c>
      <c r="FI38" s="39"/>
      <c r="FJ38" s="77"/>
      <c r="FK38" s="77"/>
      <c r="FL38" s="179"/>
      <c r="FM38" s="179"/>
      <c r="FN38" s="119"/>
      <c r="FO38" s="155" t="s">
        <v>92</v>
      </c>
      <c r="FP38" s="39"/>
      <c r="FQ38" s="77"/>
      <c r="FR38" s="77"/>
      <c r="FS38" s="179"/>
      <c r="FT38" s="179"/>
      <c r="FU38" s="230"/>
    </row>
    <row r="39" spans="1:177" ht="33.75" customHeight="1" x14ac:dyDescent="0.2">
      <c r="A39" s="115" t="str">
        <f t="shared" si="4"/>
        <v xml:space="preserve">Calendar 17 </v>
      </c>
      <c r="B39" s="69" t="str">
        <f t="shared" si="5"/>
        <v>Country_code</v>
      </c>
      <c r="C39" s="43" t="s">
        <v>176</v>
      </c>
      <c r="D39" s="43"/>
      <c r="E39" s="17" t="s">
        <v>94</v>
      </c>
      <c r="F39" s="39"/>
      <c r="G39" s="78"/>
      <c r="H39" s="78"/>
      <c r="I39" s="42"/>
      <c r="J39" s="42"/>
      <c r="K39" s="119"/>
      <c r="L39" s="17" t="s">
        <v>97</v>
      </c>
      <c r="M39" s="41"/>
      <c r="N39" s="78"/>
      <c r="O39" s="78"/>
      <c r="P39" s="40"/>
      <c r="Q39" s="42"/>
      <c r="R39" s="119"/>
      <c r="S39" s="17" t="s">
        <v>98</v>
      </c>
      <c r="T39" s="41"/>
      <c r="U39" s="78"/>
      <c r="V39" s="78"/>
      <c r="W39" s="42"/>
      <c r="X39" s="42"/>
      <c r="Y39" s="118"/>
      <c r="Z39" s="17" t="s">
        <v>99</v>
      </c>
      <c r="AA39" s="41"/>
      <c r="AB39" s="78"/>
      <c r="AC39" s="78"/>
      <c r="AD39" s="42"/>
      <c r="AE39" s="42"/>
      <c r="AF39" s="118"/>
      <c r="AG39" s="17" t="s">
        <v>100</v>
      </c>
      <c r="AH39" s="41"/>
      <c r="AI39" s="78"/>
      <c r="AJ39" s="78"/>
      <c r="AK39" s="42"/>
      <c r="AL39" s="42"/>
      <c r="AM39" s="118"/>
      <c r="AN39" s="17" t="s">
        <v>101</v>
      </c>
      <c r="AO39" s="41"/>
      <c r="AP39" s="78"/>
      <c r="AQ39" s="78"/>
      <c r="AR39" s="42"/>
      <c r="AS39" s="42"/>
      <c r="AT39" s="118"/>
      <c r="AU39" s="17" t="s">
        <v>157</v>
      </c>
      <c r="AV39" s="41"/>
      <c r="AW39" s="78"/>
      <c r="AX39" s="78"/>
      <c r="AY39" s="42"/>
      <c r="AZ39" s="42"/>
      <c r="BA39" s="118"/>
      <c r="BB39" s="17" t="s">
        <v>103</v>
      </c>
      <c r="BC39" s="41"/>
      <c r="BD39" s="78"/>
      <c r="BE39" s="78"/>
      <c r="BF39" s="42"/>
      <c r="BG39" s="42"/>
      <c r="BH39" s="118"/>
      <c r="BI39" s="17" t="s">
        <v>104</v>
      </c>
      <c r="BJ39" s="39"/>
      <c r="BK39" s="78"/>
      <c r="BL39" s="78"/>
      <c r="BM39" s="42"/>
      <c r="BN39" s="42"/>
      <c r="BO39" s="118"/>
      <c r="BP39" s="17" t="s">
        <v>105</v>
      </c>
      <c r="BQ39" s="41"/>
      <c r="BR39" s="78"/>
      <c r="BS39" s="78"/>
      <c r="BT39" s="42"/>
      <c r="BU39" s="42"/>
      <c r="BV39" s="118"/>
      <c r="BW39" s="17" t="s">
        <v>106</v>
      </c>
      <c r="BX39" s="41"/>
      <c r="BY39" s="80"/>
      <c r="BZ39" s="80"/>
      <c r="CA39" s="42"/>
      <c r="CB39" s="42"/>
      <c r="CC39" s="118"/>
      <c r="CD39" s="17" t="s">
        <v>107</v>
      </c>
      <c r="CE39" s="41"/>
      <c r="CF39" s="78"/>
      <c r="CG39" s="78"/>
      <c r="CH39" s="42"/>
      <c r="CI39" s="42"/>
      <c r="CJ39" s="118"/>
      <c r="CK39" s="17" t="s">
        <v>108</v>
      </c>
      <c r="CL39" s="41"/>
      <c r="CM39" s="78"/>
      <c r="CN39" s="78"/>
      <c r="CO39" s="42"/>
      <c r="CP39" s="42"/>
      <c r="CQ39" s="118"/>
      <c r="CR39" s="17" t="s">
        <v>109</v>
      </c>
      <c r="CS39" s="41"/>
      <c r="CT39" s="78"/>
      <c r="CU39" s="78"/>
      <c r="CV39" s="42"/>
      <c r="CW39" s="42"/>
      <c r="CX39" s="118"/>
      <c r="CY39" s="17" t="s">
        <v>110</v>
      </c>
      <c r="CZ39" s="41"/>
      <c r="DA39" s="78"/>
      <c r="DB39" s="78"/>
      <c r="DC39" s="42"/>
      <c r="DD39" s="42"/>
      <c r="DE39" s="118"/>
      <c r="DF39" s="17" t="s">
        <v>111</v>
      </c>
      <c r="DG39" s="41"/>
      <c r="DH39" s="78"/>
      <c r="DI39" s="78"/>
      <c r="DJ39" s="42"/>
      <c r="DK39" s="42"/>
      <c r="DL39" s="118"/>
      <c r="DM39" s="17" t="s">
        <v>112</v>
      </c>
      <c r="DN39" s="41"/>
      <c r="DO39" s="78"/>
      <c r="DP39" s="78"/>
      <c r="DQ39" s="42"/>
      <c r="DR39" s="42"/>
      <c r="DS39" s="118"/>
      <c r="DT39" s="17" t="s">
        <v>113</v>
      </c>
      <c r="DU39" s="41"/>
      <c r="DV39" s="78"/>
      <c r="DW39" s="78"/>
      <c r="DX39" s="42"/>
      <c r="DY39" s="42"/>
      <c r="DZ39" s="118"/>
      <c r="EA39" s="17" t="s">
        <v>114</v>
      </c>
      <c r="EB39" s="41"/>
      <c r="EC39" s="78"/>
      <c r="ED39" s="78"/>
      <c r="EE39" s="42"/>
      <c r="EF39" s="42"/>
      <c r="EG39" s="118"/>
      <c r="EH39" s="17" t="s">
        <v>115</v>
      </c>
      <c r="EI39" s="41"/>
      <c r="EJ39" s="78"/>
      <c r="EK39" s="78"/>
      <c r="EL39" s="42"/>
      <c r="EM39" s="42"/>
      <c r="EN39" s="118"/>
      <c r="ET39" s="155" t="s">
        <v>83</v>
      </c>
      <c r="EU39" s="60"/>
      <c r="EV39" s="77"/>
      <c r="EW39" s="176"/>
      <c r="EX39" s="179"/>
      <c r="EY39" s="179"/>
      <c r="EZ39" s="121"/>
      <c r="FA39" s="155" t="s">
        <v>90</v>
      </c>
      <c r="FB39" s="41"/>
      <c r="FC39" s="77"/>
      <c r="FD39" s="77"/>
      <c r="FE39" s="179"/>
      <c r="FF39" s="179"/>
      <c r="FG39" s="118"/>
      <c r="FH39" s="155" t="s">
        <v>89</v>
      </c>
      <c r="FI39" s="41"/>
      <c r="FJ39" s="77"/>
      <c r="FK39" s="77"/>
      <c r="FL39" s="179"/>
      <c r="FM39" s="179"/>
      <c r="FN39" s="118"/>
      <c r="FO39" s="155" t="s">
        <v>92</v>
      </c>
      <c r="FP39" s="41"/>
      <c r="FQ39" s="77"/>
      <c r="FR39" s="77"/>
      <c r="FS39" s="179"/>
      <c r="FT39" s="179"/>
      <c r="FU39" s="232"/>
    </row>
    <row r="40" spans="1:177" ht="33.75" customHeight="1" x14ac:dyDescent="0.2">
      <c r="A40" s="115" t="str">
        <f t="shared" si="4"/>
        <v>Calendar 18</v>
      </c>
      <c r="B40" s="69" t="str">
        <f t="shared" si="5"/>
        <v>Country_code</v>
      </c>
      <c r="C40" s="43" t="s">
        <v>177</v>
      </c>
      <c r="D40" s="43"/>
      <c r="E40" s="17" t="s">
        <v>94</v>
      </c>
      <c r="F40" s="39"/>
      <c r="G40" s="78"/>
      <c r="H40" s="78"/>
      <c r="I40" s="40"/>
      <c r="J40" s="40"/>
      <c r="K40" s="119"/>
      <c r="L40" s="17" t="s">
        <v>97</v>
      </c>
      <c r="M40" s="39"/>
      <c r="N40" s="78"/>
      <c r="O40" s="78"/>
      <c r="P40" s="40"/>
      <c r="Q40" s="40"/>
      <c r="R40" s="119"/>
      <c r="S40" s="17" t="s">
        <v>98</v>
      </c>
      <c r="T40" s="39"/>
      <c r="U40" s="78"/>
      <c r="V40" s="78"/>
      <c r="W40" s="40"/>
      <c r="X40" s="40"/>
      <c r="Y40" s="119"/>
      <c r="Z40" s="17" t="s">
        <v>99</v>
      </c>
      <c r="AA40" s="39"/>
      <c r="AB40" s="78"/>
      <c r="AC40" s="78"/>
      <c r="AD40" s="40"/>
      <c r="AE40" s="40"/>
      <c r="AF40" s="119"/>
      <c r="AG40" s="17" t="s">
        <v>100</v>
      </c>
      <c r="AH40" s="39"/>
      <c r="AI40" s="78"/>
      <c r="AJ40" s="78"/>
      <c r="AK40" s="40"/>
      <c r="AL40" s="40"/>
      <c r="AM40" s="119"/>
      <c r="AN40" s="17" t="s">
        <v>101</v>
      </c>
      <c r="AO40" s="39"/>
      <c r="AP40" s="78"/>
      <c r="AQ40" s="78"/>
      <c r="AR40" s="40"/>
      <c r="AS40" s="40"/>
      <c r="AT40" s="119"/>
      <c r="AU40" s="17" t="s">
        <v>157</v>
      </c>
      <c r="AV40" s="39"/>
      <c r="AW40" s="78"/>
      <c r="AX40" s="78"/>
      <c r="AY40" s="40"/>
      <c r="AZ40" s="40"/>
      <c r="BA40" s="119"/>
      <c r="BB40" s="17" t="s">
        <v>103</v>
      </c>
      <c r="BC40" s="39"/>
      <c r="BD40" s="78"/>
      <c r="BE40" s="78"/>
      <c r="BF40" s="40"/>
      <c r="BG40" s="40"/>
      <c r="BH40" s="119"/>
      <c r="BI40" s="17" t="s">
        <v>104</v>
      </c>
      <c r="BJ40" s="39"/>
      <c r="BK40" s="78"/>
      <c r="BL40" s="78"/>
      <c r="BM40" s="40"/>
      <c r="BN40" s="40"/>
      <c r="BO40" s="119"/>
      <c r="BP40" s="17" t="s">
        <v>105</v>
      </c>
      <c r="BQ40" s="39"/>
      <c r="BR40" s="78"/>
      <c r="BS40" s="78"/>
      <c r="BT40" s="40"/>
      <c r="BU40" s="40"/>
      <c r="BV40" s="119"/>
      <c r="BW40" s="17" t="s">
        <v>106</v>
      </c>
      <c r="BX40" s="39"/>
      <c r="BY40" s="79"/>
      <c r="BZ40" s="79"/>
      <c r="CA40" s="40"/>
      <c r="CB40" s="40"/>
      <c r="CC40" s="119"/>
      <c r="CD40" s="17" t="s">
        <v>107</v>
      </c>
      <c r="CE40" s="39"/>
      <c r="CF40" s="78"/>
      <c r="CG40" s="78"/>
      <c r="CH40" s="40"/>
      <c r="CI40" s="40"/>
      <c r="CJ40" s="119"/>
      <c r="CK40" s="17" t="s">
        <v>108</v>
      </c>
      <c r="CL40" s="39"/>
      <c r="CM40" s="78"/>
      <c r="CN40" s="78"/>
      <c r="CO40" s="40"/>
      <c r="CP40" s="40"/>
      <c r="CQ40" s="119"/>
      <c r="CR40" s="17" t="s">
        <v>109</v>
      </c>
      <c r="CS40" s="39"/>
      <c r="CT40" s="78"/>
      <c r="CU40" s="78"/>
      <c r="CV40" s="40"/>
      <c r="CW40" s="40"/>
      <c r="CX40" s="119"/>
      <c r="CY40" s="17" t="s">
        <v>110</v>
      </c>
      <c r="CZ40" s="39"/>
      <c r="DA40" s="78"/>
      <c r="DB40" s="78"/>
      <c r="DC40" s="40"/>
      <c r="DD40" s="40"/>
      <c r="DE40" s="119"/>
      <c r="DF40" s="17" t="s">
        <v>111</v>
      </c>
      <c r="DG40" s="39"/>
      <c r="DH40" s="78"/>
      <c r="DI40" s="78"/>
      <c r="DJ40" s="40"/>
      <c r="DK40" s="40"/>
      <c r="DL40" s="119"/>
      <c r="DM40" s="17" t="s">
        <v>112</v>
      </c>
      <c r="DN40" s="39"/>
      <c r="DO40" s="78"/>
      <c r="DP40" s="78"/>
      <c r="DQ40" s="40"/>
      <c r="DR40" s="40"/>
      <c r="DS40" s="119"/>
      <c r="DT40" s="17" t="s">
        <v>113</v>
      </c>
      <c r="DU40" s="39"/>
      <c r="DV40" s="78"/>
      <c r="DW40" s="78"/>
      <c r="DX40" s="40"/>
      <c r="DY40" s="40"/>
      <c r="DZ40" s="119"/>
      <c r="EA40" s="17" t="s">
        <v>114</v>
      </c>
      <c r="EB40" s="39"/>
      <c r="EC40" s="78"/>
      <c r="ED40" s="78"/>
      <c r="EE40" s="40"/>
      <c r="EF40" s="40"/>
      <c r="EG40" s="119"/>
      <c r="EH40" s="17" t="s">
        <v>115</v>
      </c>
      <c r="EI40" s="39"/>
      <c r="EJ40" s="78"/>
      <c r="EK40" s="78"/>
      <c r="EL40" s="40"/>
      <c r="EM40" s="40"/>
      <c r="EN40" s="119"/>
      <c r="ET40" s="155" t="s">
        <v>83</v>
      </c>
      <c r="EU40" s="59"/>
      <c r="EV40" s="77"/>
      <c r="EW40" s="176"/>
      <c r="EX40" s="179"/>
      <c r="EY40" s="179"/>
      <c r="EZ40" s="122"/>
      <c r="FA40" s="155" t="s">
        <v>90</v>
      </c>
      <c r="FB40" s="39"/>
      <c r="FC40" s="77"/>
      <c r="FD40" s="77"/>
      <c r="FE40" s="179"/>
      <c r="FF40" s="179"/>
      <c r="FG40" s="119"/>
      <c r="FH40" s="155" t="s">
        <v>89</v>
      </c>
      <c r="FI40" s="39"/>
      <c r="FJ40" s="77"/>
      <c r="FK40" s="77"/>
      <c r="FL40" s="179"/>
      <c r="FM40" s="179"/>
      <c r="FN40" s="119"/>
      <c r="FO40" s="155" t="s">
        <v>92</v>
      </c>
      <c r="FP40" s="39"/>
      <c r="FQ40" s="77"/>
      <c r="FR40" s="77"/>
      <c r="FS40" s="179"/>
      <c r="FT40" s="179"/>
      <c r="FU40" s="230"/>
    </row>
    <row r="41" spans="1:177" ht="33.75" customHeight="1" x14ac:dyDescent="0.2">
      <c r="A41" s="115" t="str">
        <f t="shared" si="4"/>
        <v xml:space="preserve">Calendar 18 </v>
      </c>
      <c r="B41" s="69" t="str">
        <f t="shared" si="5"/>
        <v>Country_code</v>
      </c>
      <c r="C41" s="43" t="s">
        <v>178</v>
      </c>
      <c r="D41" s="43"/>
      <c r="E41" s="17" t="s">
        <v>94</v>
      </c>
      <c r="F41" s="39"/>
      <c r="G41" s="78"/>
      <c r="H41" s="78"/>
      <c r="I41" s="42"/>
      <c r="J41" s="42"/>
      <c r="K41" s="119"/>
      <c r="L41" s="17" t="s">
        <v>97</v>
      </c>
      <c r="M41" s="41"/>
      <c r="N41" s="78"/>
      <c r="O41" s="78"/>
      <c r="P41" s="40"/>
      <c r="Q41" s="42"/>
      <c r="R41" s="119"/>
      <c r="S41" s="17" t="s">
        <v>98</v>
      </c>
      <c r="T41" s="41"/>
      <c r="U41" s="78"/>
      <c r="V41" s="78"/>
      <c r="W41" s="42"/>
      <c r="X41" s="42"/>
      <c r="Y41" s="118"/>
      <c r="Z41" s="17" t="s">
        <v>99</v>
      </c>
      <c r="AA41" s="41"/>
      <c r="AB41" s="78"/>
      <c r="AC41" s="78"/>
      <c r="AD41" s="42"/>
      <c r="AE41" s="42"/>
      <c r="AF41" s="118"/>
      <c r="AG41" s="17" t="s">
        <v>100</v>
      </c>
      <c r="AH41" s="41"/>
      <c r="AI41" s="78"/>
      <c r="AJ41" s="78"/>
      <c r="AK41" s="42"/>
      <c r="AL41" s="42"/>
      <c r="AM41" s="118"/>
      <c r="AN41" s="17" t="s">
        <v>101</v>
      </c>
      <c r="AO41" s="41"/>
      <c r="AP41" s="78"/>
      <c r="AQ41" s="78"/>
      <c r="AR41" s="42"/>
      <c r="AS41" s="42"/>
      <c r="AT41" s="118"/>
      <c r="AU41" s="17" t="s">
        <v>157</v>
      </c>
      <c r="AV41" s="41"/>
      <c r="AW41" s="78"/>
      <c r="AX41" s="78"/>
      <c r="AY41" s="42"/>
      <c r="AZ41" s="42"/>
      <c r="BA41" s="118"/>
      <c r="BB41" s="17" t="s">
        <v>103</v>
      </c>
      <c r="BC41" s="41"/>
      <c r="BD41" s="78"/>
      <c r="BE41" s="78"/>
      <c r="BF41" s="42"/>
      <c r="BG41" s="42"/>
      <c r="BH41" s="118"/>
      <c r="BI41" s="17" t="s">
        <v>104</v>
      </c>
      <c r="BJ41" s="39"/>
      <c r="BK41" s="78"/>
      <c r="BL41" s="78"/>
      <c r="BM41" s="42"/>
      <c r="BN41" s="42"/>
      <c r="BO41" s="118"/>
      <c r="BP41" s="17" t="s">
        <v>105</v>
      </c>
      <c r="BQ41" s="41"/>
      <c r="BR41" s="78"/>
      <c r="BS41" s="78"/>
      <c r="BT41" s="42"/>
      <c r="BU41" s="42"/>
      <c r="BV41" s="118"/>
      <c r="BW41" s="17" t="s">
        <v>106</v>
      </c>
      <c r="BX41" s="41"/>
      <c r="BY41" s="80"/>
      <c r="BZ41" s="80"/>
      <c r="CA41" s="42"/>
      <c r="CB41" s="42"/>
      <c r="CC41" s="118"/>
      <c r="CD41" s="17" t="s">
        <v>107</v>
      </c>
      <c r="CE41" s="41"/>
      <c r="CF41" s="78"/>
      <c r="CG41" s="78"/>
      <c r="CH41" s="42"/>
      <c r="CI41" s="42"/>
      <c r="CJ41" s="118"/>
      <c r="CK41" s="17" t="s">
        <v>108</v>
      </c>
      <c r="CL41" s="41"/>
      <c r="CM41" s="78"/>
      <c r="CN41" s="78"/>
      <c r="CO41" s="42"/>
      <c r="CP41" s="42"/>
      <c r="CQ41" s="118"/>
      <c r="CR41" s="17" t="s">
        <v>109</v>
      </c>
      <c r="CS41" s="41"/>
      <c r="CT41" s="78"/>
      <c r="CU41" s="78"/>
      <c r="CV41" s="42"/>
      <c r="CW41" s="42"/>
      <c r="CX41" s="118"/>
      <c r="CY41" s="17" t="s">
        <v>110</v>
      </c>
      <c r="CZ41" s="41"/>
      <c r="DA41" s="78"/>
      <c r="DB41" s="78"/>
      <c r="DC41" s="42"/>
      <c r="DD41" s="42"/>
      <c r="DE41" s="118"/>
      <c r="DF41" s="17" t="s">
        <v>111</v>
      </c>
      <c r="DG41" s="41"/>
      <c r="DH41" s="78"/>
      <c r="DI41" s="78"/>
      <c r="DJ41" s="42"/>
      <c r="DK41" s="42"/>
      <c r="DL41" s="118"/>
      <c r="DM41" s="17" t="s">
        <v>112</v>
      </c>
      <c r="DN41" s="41"/>
      <c r="DO41" s="78"/>
      <c r="DP41" s="78"/>
      <c r="DQ41" s="42"/>
      <c r="DR41" s="42"/>
      <c r="DS41" s="118"/>
      <c r="DT41" s="17" t="s">
        <v>113</v>
      </c>
      <c r="DU41" s="41"/>
      <c r="DV41" s="78"/>
      <c r="DW41" s="78"/>
      <c r="DX41" s="42"/>
      <c r="DY41" s="42"/>
      <c r="DZ41" s="118"/>
      <c r="EA41" s="17" t="s">
        <v>114</v>
      </c>
      <c r="EB41" s="41"/>
      <c r="EC41" s="78"/>
      <c r="ED41" s="78"/>
      <c r="EE41" s="42"/>
      <c r="EF41" s="42"/>
      <c r="EG41" s="118"/>
      <c r="EH41" s="17" t="s">
        <v>115</v>
      </c>
      <c r="EI41" s="41"/>
      <c r="EJ41" s="78"/>
      <c r="EK41" s="78"/>
      <c r="EL41" s="42"/>
      <c r="EM41" s="42"/>
      <c r="EN41" s="118"/>
      <c r="ET41" s="155" t="s">
        <v>83</v>
      </c>
      <c r="EU41" s="60"/>
      <c r="EV41" s="77"/>
      <c r="EW41" s="176"/>
      <c r="EX41" s="179"/>
      <c r="EY41" s="179"/>
      <c r="EZ41" s="121"/>
      <c r="FA41" s="155" t="s">
        <v>90</v>
      </c>
      <c r="FB41" s="41"/>
      <c r="FC41" s="77"/>
      <c r="FD41" s="77"/>
      <c r="FE41" s="179"/>
      <c r="FF41" s="179"/>
      <c r="FG41" s="118"/>
      <c r="FH41" s="155" t="s">
        <v>89</v>
      </c>
      <c r="FI41" s="41"/>
      <c r="FJ41" s="77"/>
      <c r="FK41" s="77"/>
      <c r="FL41" s="179"/>
      <c r="FM41" s="179"/>
      <c r="FN41" s="118"/>
      <c r="FO41" s="155" t="s">
        <v>92</v>
      </c>
      <c r="FP41" s="41"/>
      <c r="FQ41" s="77"/>
      <c r="FR41" s="77"/>
      <c r="FS41" s="179"/>
      <c r="FT41" s="179"/>
      <c r="FU41" s="232"/>
    </row>
    <row r="42" spans="1:177" ht="33.75" customHeight="1" x14ac:dyDescent="0.2">
      <c r="A42" s="115" t="str">
        <f t="shared" si="4"/>
        <v>Calendar 19</v>
      </c>
      <c r="B42" s="69" t="str">
        <f t="shared" si="5"/>
        <v>Country_code</v>
      </c>
      <c r="C42" s="43" t="s">
        <v>179</v>
      </c>
      <c r="D42" s="43"/>
      <c r="E42" s="17" t="s">
        <v>94</v>
      </c>
      <c r="F42" s="39"/>
      <c r="G42" s="78"/>
      <c r="H42" s="78"/>
      <c r="I42" s="40"/>
      <c r="J42" s="40"/>
      <c r="K42" s="119"/>
      <c r="L42" s="17" t="s">
        <v>97</v>
      </c>
      <c r="M42" s="39"/>
      <c r="N42" s="78"/>
      <c r="O42" s="78"/>
      <c r="P42" s="40"/>
      <c r="Q42" s="40"/>
      <c r="R42" s="119"/>
      <c r="S42" s="17" t="s">
        <v>98</v>
      </c>
      <c r="T42" s="39"/>
      <c r="U42" s="78"/>
      <c r="V42" s="78"/>
      <c r="W42" s="40"/>
      <c r="X42" s="40"/>
      <c r="Y42" s="119"/>
      <c r="Z42" s="17" t="s">
        <v>99</v>
      </c>
      <c r="AA42" s="39"/>
      <c r="AB42" s="78"/>
      <c r="AC42" s="78"/>
      <c r="AD42" s="40"/>
      <c r="AE42" s="40"/>
      <c r="AF42" s="119"/>
      <c r="AG42" s="17" t="s">
        <v>100</v>
      </c>
      <c r="AH42" s="39"/>
      <c r="AI42" s="78"/>
      <c r="AJ42" s="78"/>
      <c r="AK42" s="40"/>
      <c r="AL42" s="40"/>
      <c r="AM42" s="119"/>
      <c r="AN42" s="17" t="s">
        <v>101</v>
      </c>
      <c r="AO42" s="39"/>
      <c r="AP42" s="78"/>
      <c r="AQ42" s="78"/>
      <c r="AR42" s="40"/>
      <c r="AS42" s="40"/>
      <c r="AT42" s="119"/>
      <c r="AU42" s="17" t="s">
        <v>157</v>
      </c>
      <c r="AV42" s="39"/>
      <c r="AW42" s="78"/>
      <c r="AX42" s="78"/>
      <c r="AY42" s="40"/>
      <c r="AZ42" s="40"/>
      <c r="BA42" s="119"/>
      <c r="BB42" s="17" t="s">
        <v>103</v>
      </c>
      <c r="BC42" s="39"/>
      <c r="BD42" s="78"/>
      <c r="BE42" s="78"/>
      <c r="BF42" s="40"/>
      <c r="BG42" s="40"/>
      <c r="BH42" s="119"/>
      <c r="BI42" s="17" t="s">
        <v>104</v>
      </c>
      <c r="BJ42" s="39"/>
      <c r="BK42" s="78"/>
      <c r="BL42" s="78"/>
      <c r="BM42" s="40"/>
      <c r="BN42" s="40"/>
      <c r="BO42" s="119"/>
      <c r="BP42" s="17" t="s">
        <v>105</v>
      </c>
      <c r="BQ42" s="39"/>
      <c r="BR42" s="78"/>
      <c r="BS42" s="78"/>
      <c r="BT42" s="40"/>
      <c r="BU42" s="40"/>
      <c r="BV42" s="119"/>
      <c r="BW42" s="17" t="s">
        <v>106</v>
      </c>
      <c r="BX42" s="39"/>
      <c r="BY42" s="79"/>
      <c r="BZ42" s="79"/>
      <c r="CA42" s="40"/>
      <c r="CB42" s="40"/>
      <c r="CC42" s="119"/>
      <c r="CD42" s="17" t="s">
        <v>107</v>
      </c>
      <c r="CE42" s="39"/>
      <c r="CF42" s="78"/>
      <c r="CG42" s="78"/>
      <c r="CH42" s="40"/>
      <c r="CI42" s="40"/>
      <c r="CJ42" s="119"/>
      <c r="CK42" s="17" t="s">
        <v>108</v>
      </c>
      <c r="CL42" s="39"/>
      <c r="CM42" s="78"/>
      <c r="CN42" s="78"/>
      <c r="CO42" s="40"/>
      <c r="CP42" s="40"/>
      <c r="CQ42" s="119"/>
      <c r="CR42" s="17" t="s">
        <v>109</v>
      </c>
      <c r="CS42" s="39"/>
      <c r="CT42" s="78"/>
      <c r="CU42" s="78"/>
      <c r="CV42" s="40"/>
      <c r="CW42" s="40"/>
      <c r="CX42" s="119"/>
      <c r="CY42" s="17" t="s">
        <v>110</v>
      </c>
      <c r="CZ42" s="39"/>
      <c r="DA42" s="78"/>
      <c r="DB42" s="78"/>
      <c r="DC42" s="40"/>
      <c r="DD42" s="40"/>
      <c r="DE42" s="119"/>
      <c r="DF42" s="17" t="s">
        <v>111</v>
      </c>
      <c r="DG42" s="39"/>
      <c r="DH42" s="78"/>
      <c r="DI42" s="78"/>
      <c r="DJ42" s="40"/>
      <c r="DK42" s="40"/>
      <c r="DL42" s="119"/>
      <c r="DM42" s="17" t="s">
        <v>112</v>
      </c>
      <c r="DN42" s="39"/>
      <c r="DO42" s="78"/>
      <c r="DP42" s="78"/>
      <c r="DQ42" s="40"/>
      <c r="DR42" s="40"/>
      <c r="DS42" s="119"/>
      <c r="DT42" s="17" t="s">
        <v>113</v>
      </c>
      <c r="DU42" s="39"/>
      <c r="DV42" s="78"/>
      <c r="DW42" s="78"/>
      <c r="DX42" s="40"/>
      <c r="DY42" s="40"/>
      <c r="DZ42" s="119"/>
      <c r="EA42" s="17" t="s">
        <v>114</v>
      </c>
      <c r="EB42" s="39"/>
      <c r="EC42" s="78"/>
      <c r="ED42" s="78"/>
      <c r="EE42" s="40"/>
      <c r="EF42" s="40"/>
      <c r="EG42" s="119"/>
      <c r="EH42" s="17" t="s">
        <v>115</v>
      </c>
      <c r="EI42" s="39"/>
      <c r="EJ42" s="78"/>
      <c r="EK42" s="78"/>
      <c r="EL42" s="40"/>
      <c r="EM42" s="40"/>
      <c r="EN42" s="119"/>
      <c r="ET42" s="155" t="s">
        <v>83</v>
      </c>
      <c r="EU42" s="59"/>
      <c r="EV42" s="77"/>
      <c r="EW42" s="176"/>
      <c r="EX42" s="179"/>
      <c r="EY42" s="179"/>
      <c r="EZ42" s="122"/>
      <c r="FA42" s="155" t="s">
        <v>90</v>
      </c>
      <c r="FB42" s="39"/>
      <c r="FC42" s="77"/>
      <c r="FD42" s="77"/>
      <c r="FE42" s="179"/>
      <c r="FF42" s="179"/>
      <c r="FG42" s="119"/>
      <c r="FH42" s="155" t="s">
        <v>89</v>
      </c>
      <c r="FI42" s="39"/>
      <c r="FJ42" s="77"/>
      <c r="FK42" s="77"/>
      <c r="FL42" s="179"/>
      <c r="FM42" s="179"/>
      <c r="FN42" s="119"/>
      <c r="FO42" s="155" t="s">
        <v>92</v>
      </c>
      <c r="FP42" s="39"/>
      <c r="FQ42" s="77"/>
      <c r="FR42" s="77"/>
      <c r="FS42" s="179"/>
      <c r="FT42" s="179"/>
      <c r="FU42" s="230"/>
    </row>
    <row r="43" spans="1:177" ht="33.75" customHeight="1" x14ac:dyDescent="0.2">
      <c r="A43" s="115" t="str">
        <f t="shared" si="4"/>
        <v>Calendar 19</v>
      </c>
      <c r="B43" s="69" t="str">
        <f t="shared" si="5"/>
        <v>Country_code</v>
      </c>
      <c r="C43" s="43" t="s">
        <v>179</v>
      </c>
      <c r="D43" s="43"/>
      <c r="E43" s="17" t="s">
        <v>94</v>
      </c>
      <c r="F43" s="39"/>
      <c r="G43" s="78"/>
      <c r="H43" s="78"/>
      <c r="I43" s="42"/>
      <c r="J43" s="42"/>
      <c r="K43" s="119"/>
      <c r="L43" s="17" t="s">
        <v>97</v>
      </c>
      <c r="M43" s="41"/>
      <c r="N43" s="78"/>
      <c r="O43" s="78"/>
      <c r="P43" s="40"/>
      <c r="Q43" s="42"/>
      <c r="R43" s="119"/>
      <c r="S43" s="17" t="s">
        <v>98</v>
      </c>
      <c r="T43" s="41"/>
      <c r="U43" s="78"/>
      <c r="V43" s="78"/>
      <c r="W43" s="42"/>
      <c r="X43" s="42"/>
      <c r="Y43" s="118"/>
      <c r="Z43" s="17" t="s">
        <v>99</v>
      </c>
      <c r="AA43" s="41"/>
      <c r="AB43" s="78"/>
      <c r="AC43" s="78"/>
      <c r="AD43" s="42"/>
      <c r="AE43" s="42"/>
      <c r="AF43" s="118"/>
      <c r="AG43" s="17" t="s">
        <v>100</v>
      </c>
      <c r="AH43" s="41"/>
      <c r="AI43" s="78"/>
      <c r="AJ43" s="78"/>
      <c r="AK43" s="42"/>
      <c r="AL43" s="42"/>
      <c r="AM43" s="118"/>
      <c r="AN43" s="17" t="s">
        <v>101</v>
      </c>
      <c r="AO43" s="41"/>
      <c r="AP43" s="78"/>
      <c r="AQ43" s="78"/>
      <c r="AR43" s="42"/>
      <c r="AS43" s="42"/>
      <c r="AT43" s="118"/>
      <c r="AU43" s="17" t="s">
        <v>157</v>
      </c>
      <c r="AV43" s="41"/>
      <c r="AW43" s="78"/>
      <c r="AX43" s="78"/>
      <c r="AY43" s="42"/>
      <c r="AZ43" s="42"/>
      <c r="BA43" s="118"/>
      <c r="BB43" s="17" t="s">
        <v>103</v>
      </c>
      <c r="BC43" s="41"/>
      <c r="BD43" s="78"/>
      <c r="BE43" s="78"/>
      <c r="BF43" s="42"/>
      <c r="BG43" s="42"/>
      <c r="BH43" s="118"/>
      <c r="BI43" s="17" t="s">
        <v>104</v>
      </c>
      <c r="BJ43" s="39"/>
      <c r="BK43" s="78"/>
      <c r="BL43" s="78"/>
      <c r="BM43" s="42"/>
      <c r="BN43" s="42"/>
      <c r="BO43" s="118"/>
      <c r="BP43" s="17" t="s">
        <v>105</v>
      </c>
      <c r="BQ43" s="41"/>
      <c r="BR43" s="78"/>
      <c r="BS43" s="78"/>
      <c r="BT43" s="42"/>
      <c r="BU43" s="42"/>
      <c r="BV43" s="118"/>
      <c r="BW43" s="17" t="s">
        <v>106</v>
      </c>
      <c r="BX43" s="41"/>
      <c r="BY43" s="80"/>
      <c r="BZ43" s="80"/>
      <c r="CA43" s="42"/>
      <c r="CB43" s="42"/>
      <c r="CC43" s="118"/>
      <c r="CD43" s="17" t="s">
        <v>107</v>
      </c>
      <c r="CE43" s="41"/>
      <c r="CF43" s="78"/>
      <c r="CG43" s="78"/>
      <c r="CH43" s="42"/>
      <c r="CI43" s="42"/>
      <c r="CJ43" s="118"/>
      <c r="CK43" s="17" t="s">
        <v>108</v>
      </c>
      <c r="CL43" s="41"/>
      <c r="CM43" s="78"/>
      <c r="CN43" s="78"/>
      <c r="CO43" s="42"/>
      <c r="CP43" s="42"/>
      <c r="CQ43" s="118"/>
      <c r="CR43" s="17" t="s">
        <v>109</v>
      </c>
      <c r="CS43" s="41"/>
      <c r="CT43" s="78"/>
      <c r="CU43" s="78"/>
      <c r="CV43" s="42"/>
      <c r="CW43" s="42"/>
      <c r="CX43" s="118"/>
      <c r="CY43" s="17" t="s">
        <v>110</v>
      </c>
      <c r="CZ43" s="41"/>
      <c r="DA43" s="78"/>
      <c r="DB43" s="78"/>
      <c r="DC43" s="42"/>
      <c r="DD43" s="42"/>
      <c r="DE43" s="118"/>
      <c r="DF43" s="17" t="s">
        <v>111</v>
      </c>
      <c r="DG43" s="41"/>
      <c r="DH43" s="78"/>
      <c r="DI43" s="78"/>
      <c r="DJ43" s="42"/>
      <c r="DK43" s="42"/>
      <c r="DL43" s="118"/>
      <c r="DM43" s="17" t="s">
        <v>112</v>
      </c>
      <c r="DN43" s="41"/>
      <c r="DO43" s="78"/>
      <c r="DP43" s="78"/>
      <c r="DQ43" s="42"/>
      <c r="DR43" s="42"/>
      <c r="DS43" s="118"/>
      <c r="DT43" s="17" t="s">
        <v>113</v>
      </c>
      <c r="DU43" s="41"/>
      <c r="DV43" s="78"/>
      <c r="DW43" s="78"/>
      <c r="DX43" s="42"/>
      <c r="DY43" s="42"/>
      <c r="DZ43" s="118"/>
      <c r="EA43" s="17" t="s">
        <v>114</v>
      </c>
      <c r="EB43" s="41"/>
      <c r="EC43" s="78"/>
      <c r="ED43" s="78"/>
      <c r="EE43" s="42"/>
      <c r="EF43" s="42"/>
      <c r="EG43" s="118"/>
      <c r="EH43" s="17" t="s">
        <v>115</v>
      </c>
      <c r="EI43" s="41"/>
      <c r="EJ43" s="78"/>
      <c r="EK43" s="78"/>
      <c r="EL43" s="42"/>
      <c r="EM43" s="42"/>
      <c r="EN43" s="118"/>
      <c r="ET43" s="155" t="s">
        <v>83</v>
      </c>
      <c r="EU43" s="60"/>
      <c r="EV43" s="77"/>
      <c r="EW43" s="176"/>
      <c r="EX43" s="179"/>
      <c r="EY43" s="179"/>
      <c r="EZ43" s="121"/>
      <c r="FA43" s="155" t="s">
        <v>90</v>
      </c>
      <c r="FB43" s="41"/>
      <c r="FC43" s="77"/>
      <c r="FD43" s="77"/>
      <c r="FE43" s="179"/>
      <c r="FF43" s="179"/>
      <c r="FG43" s="118"/>
      <c r="FH43" s="155" t="s">
        <v>89</v>
      </c>
      <c r="FI43" s="41"/>
      <c r="FJ43" s="77"/>
      <c r="FK43" s="77"/>
      <c r="FL43" s="179"/>
      <c r="FM43" s="179"/>
      <c r="FN43" s="118"/>
      <c r="FO43" s="155" t="s">
        <v>92</v>
      </c>
      <c r="FP43" s="41"/>
      <c r="FQ43" s="77"/>
      <c r="FR43" s="77"/>
      <c r="FS43" s="179"/>
      <c r="FT43" s="179"/>
      <c r="FU43" s="232"/>
    </row>
    <row r="44" spans="1:177" ht="33.75" customHeight="1" x14ac:dyDescent="0.2">
      <c r="A44" s="115" t="str">
        <f t="shared" si="4"/>
        <v>Calendar 20</v>
      </c>
      <c r="B44" s="69" t="str">
        <f t="shared" si="5"/>
        <v>Country_code</v>
      </c>
      <c r="C44" s="43" t="s">
        <v>180</v>
      </c>
      <c r="D44" s="43"/>
      <c r="E44" s="17" t="s">
        <v>94</v>
      </c>
      <c r="F44" s="39"/>
      <c r="G44" s="78"/>
      <c r="H44" s="78"/>
      <c r="I44" s="40"/>
      <c r="J44" s="40"/>
      <c r="K44" s="119"/>
      <c r="L44" s="17" t="s">
        <v>97</v>
      </c>
      <c r="M44" s="39"/>
      <c r="N44" s="78"/>
      <c r="O44" s="78"/>
      <c r="P44" s="40"/>
      <c r="Q44" s="40"/>
      <c r="R44" s="119"/>
      <c r="S44" s="17" t="s">
        <v>98</v>
      </c>
      <c r="T44" s="39"/>
      <c r="U44" s="78"/>
      <c r="V44" s="78"/>
      <c r="W44" s="40"/>
      <c r="X44" s="40"/>
      <c r="Y44" s="119"/>
      <c r="Z44" s="17" t="s">
        <v>99</v>
      </c>
      <c r="AA44" s="39"/>
      <c r="AB44" s="78"/>
      <c r="AC44" s="78"/>
      <c r="AD44" s="40"/>
      <c r="AE44" s="40"/>
      <c r="AF44" s="119"/>
      <c r="AG44" s="17" t="s">
        <v>100</v>
      </c>
      <c r="AH44" s="39"/>
      <c r="AI44" s="78"/>
      <c r="AJ44" s="78"/>
      <c r="AK44" s="40"/>
      <c r="AL44" s="40"/>
      <c r="AM44" s="119"/>
      <c r="AN44" s="17" t="s">
        <v>101</v>
      </c>
      <c r="AO44" s="39"/>
      <c r="AP44" s="78"/>
      <c r="AQ44" s="78"/>
      <c r="AR44" s="40"/>
      <c r="AS44" s="40"/>
      <c r="AT44" s="119"/>
      <c r="AU44" s="17" t="s">
        <v>157</v>
      </c>
      <c r="AV44" s="39"/>
      <c r="AW44" s="78"/>
      <c r="AX44" s="78"/>
      <c r="AY44" s="40"/>
      <c r="AZ44" s="40"/>
      <c r="BA44" s="119"/>
      <c r="BB44" s="17" t="s">
        <v>103</v>
      </c>
      <c r="BC44" s="39"/>
      <c r="BD44" s="78"/>
      <c r="BE44" s="78"/>
      <c r="BF44" s="40"/>
      <c r="BG44" s="40"/>
      <c r="BH44" s="119"/>
      <c r="BI44" s="17" t="s">
        <v>104</v>
      </c>
      <c r="BJ44" s="39"/>
      <c r="BK44" s="78"/>
      <c r="BL44" s="78"/>
      <c r="BM44" s="40"/>
      <c r="BN44" s="40"/>
      <c r="BO44" s="119"/>
      <c r="BP44" s="17" t="s">
        <v>105</v>
      </c>
      <c r="BQ44" s="39"/>
      <c r="BR44" s="78"/>
      <c r="BS44" s="78"/>
      <c r="BT44" s="40"/>
      <c r="BU44" s="40"/>
      <c r="BV44" s="119"/>
      <c r="BW44" s="17" t="s">
        <v>106</v>
      </c>
      <c r="BX44" s="39"/>
      <c r="BY44" s="79"/>
      <c r="BZ44" s="79"/>
      <c r="CA44" s="40"/>
      <c r="CB44" s="40"/>
      <c r="CC44" s="119"/>
      <c r="CD44" s="17" t="s">
        <v>107</v>
      </c>
      <c r="CE44" s="39"/>
      <c r="CF44" s="78"/>
      <c r="CG44" s="78"/>
      <c r="CH44" s="40"/>
      <c r="CI44" s="40"/>
      <c r="CJ44" s="119"/>
      <c r="CK44" s="17" t="s">
        <v>108</v>
      </c>
      <c r="CL44" s="39"/>
      <c r="CM44" s="78"/>
      <c r="CN44" s="78"/>
      <c r="CO44" s="40"/>
      <c r="CP44" s="40"/>
      <c r="CQ44" s="119"/>
      <c r="CR44" s="17" t="s">
        <v>109</v>
      </c>
      <c r="CS44" s="39"/>
      <c r="CT44" s="78"/>
      <c r="CU44" s="78"/>
      <c r="CV44" s="40"/>
      <c r="CW44" s="40"/>
      <c r="CX44" s="119"/>
      <c r="CY44" s="17" t="s">
        <v>110</v>
      </c>
      <c r="CZ44" s="39"/>
      <c r="DA44" s="78"/>
      <c r="DB44" s="78"/>
      <c r="DC44" s="40"/>
      <c r="DD44" s="40"/>
      <c r="DE44" s="119"/>
      <c r="DF44" s="17" t="s">
        <v>111</v>
      </c>
      <c r="DG44" s="39"/>
      <c r="DH44" s="78"/>
      <c r="DI44" s="78"/>
      <c r="DJ44" s="40"/>
      <c r="DK44" s="40"/>
      <c r="DL44" s="119"/>
      <c r="DM44" s="17" t="s">
        <v>112</v>
      </c>
      <c r="DN44" s="39"/>
      <c r="DO44" s="78"/>
      <c r="DP44" s="78"/>
      <c r="DQ44" s="40"/>
      <c r="DR44" s="40"/>
      <c r="DS44" s="119"/>
      <c r="DT44" s="17" t="s">
        <v>113</v>
      </c>
      <c r="DU44" s="39"/>
      <c r="DV44" s="78"/>
      <c r="DW44" s="78"/>
      <c r="DX44" s="40"/>
      <c r="DY44" s="40"/>
      <c r="DZ44" s="119"/>
      <c r="EA44" s="17" t="s">
        <v>114</v>
      </c>
      <c r="EB44" s="39"/>
      <c r="EC44" s="78"/>
      <c r="ED44" s="78"/>
      <c r="EE44" s="40"/>
      <c r="EF44" s="40"/>
      <c r="EG44" s="119"/>
      <c r="EH44" s="17" t="s">
        <v>115</v>
      </c>
      <c r="EI44" s="39"/>
      <c r="EJ44" s="78"/>
      <c r="EK44" s="78"/>
      <c r="EL44" s="40"/>
      <c r="EM44" s="40"/>
      <c r="EN44" s="119"/>
      <c r="ET44" s="155" t="s">
        <v>83</v>
      </c>
      <c r="EU44" s="59"/>
      <c r="EV44" s="77"/>
      <c r="EW44" s="176"/>
      <c r="EX44" s="179"/>
      <c r="EY44" s="179"/>
      <c r="EZ44" s="122"/>
      <c r="FA44" s="155" t="s">
        <v>90</v>
      </c>
      <c r="FB44" s="39"/>
      <c r="FC44" s="77"/>
      <c r="FD44" s="77"/>
      <c r="FE44" s="179"/>
      <c r="FF44" s="179"/>
      <c r="FG44" s="119"/>
      <c r="FH44" s="155" t="s">
        <v>89</v>
      </c>
      <c r="FI44" s="39"/>
      <c r="FJ44" s="77"/>
      <c r="FK44" s="77"/>
      <c r="FL44" s="179"/>
      <c r="FM44" s="179"/>
      <c r="FN44" s="119"/>
      <c r="FO44" s="155" t="s">
        <v>92</v>
      </c>
      <c r="FP44" s="39"/>
      <c r="FQ44" s="77"/>
      <c r="FR44" s="77"/>
      <c r="FS44" s="179"/>
      <c r="FT44" s="179"/>
      <c r="FU44" s="230"/>
    </row>
    <row r="45" spans="1:177" ht="33.75" customHeight="1" x14ac:dyDescent="0.2">
      <c r="A45" s="115" t="str">
        <f t="shared" si="4"/>
        <v>Calendar 20</v>
      </c>
      <c r="B45" s="69" t="str">
        <f t="shared" si="5"/>
        <v>Country_code</v>
      </c>
      <c r="C45" s="43" t="s">
        <v>180</v>
      </c>
      <c r="D45" s="43"/>
      <c r="E45" s="17" t="s">
        <v>94</v>
      </c>
      <c r="F45" s="39"/>
      <c r="G45" s="78"/>
      <c r="H45" s="78"/>
      <c r="I45" s="42"/>
      <c r="J45" s="42"/>
      <c r="K45" s="119"/>
      <c r="L45" s="17" t="s">
        <v>97</v>
      </c>
      <c r="M45" s="41"/>
      <c r="N45" s="78"/>
      <c r="O45" s="78"/>
      <c r="P45" s="40"/>
      <c r="Q45" s="42"/>
      <c r="R45" s="119"/>
      <c r="S45" s="17" t="s">
        <v>98</v>
      </c>
      <c r="T45" s="41"/>
      <c r="U45" s="78"/>
      <c r="V45" s="78"/>
      <c r="W45" s="42"/>
      <c r="X45" s="42"/>
      <c r="Y45" s="118"/>
      <c r="Z45" s="17" t="s">
        <v>99</v>
      </c>
      <c r="AA45" s="41"/>
      <c r="AB45" s="78"/>
      <c r="AC45" s="78"/>
      <c r="AD45" s="42"/>
      <c r="AE45" s="42"/>
      <c r="AF45" s="118"/>
      <c r="AG45" s="17" t="s">
        <v>100</v>
      </c>
      <c r="AH45" s="41"/>
      <c r="AI45" s="78"/>
      <c r="AJ45" s="78"/>
      <c r="AK45" s="42"/>
      <c r="AL45" s="42"/>
      <c r="AM45" s="118"/>
      <c r="AN45" s="17" t="s">
        <v>101</v>
      </c>
      <c r="AO45" s="41"/>
      <c r="AP45" s="78"/>
      <c r="AQ45" s="78"/>
      <c r="AR45" s="42"/>
      <c r="AS45" s="42"/>
      <c r="AT45" s="118"/>
      <c r="AU45" s="17" t="s">
        <v>157</v>
      </c>
      <c r="AV45" s="41"/>
      <c r="AW45" s="78"/>
      <c r="AX45" s="78"/>
      <c r="AY45" s="42"/>
      <c r="AZ45" s="42"/>
      <c r="BA45" s="118"/>
      <c r="BB45" s="17" t="s">
        <v>103</v>
      </c>
      <c r="BC45" s="41"/>
      <c r="BD45" s="78"/>
      <c r="BE45" s="78"/>
      <c r="BF45" s="42"/>
      <c r="BG45" s="42"/>
      <c r="BH45" s="118"/>
      <c r="BI45" s="17" t="s">
        <v>104</v>
      </c>
      <c r="BJ45" s="39"/>
      <c r="BK45" s="78"/>
      <c r="BL45" s="78"/>
      <c r="BM45" s="42"/>
      <c r="BN45" s="42"/>
      <c r="BO45" s="118"/>
      <c r="BP45" s="17" t="s">
        <v>105</v>
      </c>
      <c r="BQ45" s="41"/>
      <c r="BR45" s="78"/>
      <c r="BS45" s="78"/>
      <c r="BT45" s="42"/>
      <c r="BU45" s="42"/>
      <c r="BV45" s="118"/>
      <c r="BW45" s="17" t="s">
        <v>106</v>
      </c>
      <c r="BX45" s="41"/>
      <c r="BY45" s="80"/>
      <c r="BZ45" s="80"/>
      <c r="CA45" s="42"/>
      <c r="CB45" s="42"/>
      <c r="CC45" s="118"/>
      <c r="CD45" s="17" t="s">
        <v>107</v>
      </c>
      <c r="CE45" s="41"/>
      <c r="CF45" s="78"/>
      <c r="CG45" s="78"/>
      <c r="CH45" s="42"/>
      <c r="CI45" s="42"/>
      <c r="CJ45" s="118"/>
      <c r="CK45" s="17" t="s">
        <v>108</v>
      </c>
      <c r="CL45" s="41"/>
      <c r="CM45" s="78"/>
      <c r="CN45" s="78"/>
      <c r="CO45" s="42"/>
      <c r="CP45" s="42"/>
      <c r="CQ45" s="118"/>
      <c r="CR45" s="17" t="s">
        <v>109</v>
      </c>
      <c r="CS45" s="41"/>
      <c r="CT45" s="78"/>
      <c r="CU45" s="78"/>
      <c r="CV45" s="42"/>
      <c r="CW45" s="42"/>
      <c r="CX45" s="118"/>
      <c r="CY45" s="17" t="s">
        <v>110</v>
      </c>
      <c r="CZ45" s="41"/>
      <c r="DA45" s="78"/>
      <c r="DB45" s="78"/>
      <c r="DC45" s="42"/>
      <c r="DD45" s="42"/>
      <c r="DE45" s="118"/>
      <c r="DF45" s="17" t="s">
        <v>111</v>
      </c>
      <c r="DG45" s="41"/>
      <c r="DH45" s="78"/>
      <c r="DI45" s="78"/>
      <c r="DJ45" s="42"/>
      <c r="DK45" s="42"/>
      <c r="DL45" s="118"/>
      <c r="DM45" s="17" t="s">
        <v>112</v>
      </c>
      <c r="DN45" s="41"/>
      <c r="DO45" s="78"/>
      <c r="DP45" s="78"/>
      <c r="DQ45" s="42"/>
      <c r="DR45" s="42"/>
      <c r="DS45" s="118"/>
      <c r="DT45" s="17" t="s">
        <v>113</v>
      </c>
      <c r="DU45" s="41"/>
      <c r="DV45" s="78"/>
      <c r="DW45" s="78"/>
      <c r="DX45" s="42"/>
      <c r="DY45" s="42"/>
      <c r="DZ45" s="118"/>
      <c r="EA45" s="17" t="s">
        <v>114</v>
      </c>
      <c r="EB45" s="41"/>
      <c r="EC45" s="78"/>
      <c r="ED45" s="78"/>
      <c r="EE45" s="42"/>
      <c r="EF45" s="42"/>
      <c r="EG45" s="118"/>
      <c r="EH45" s="17" t="s">
        <v>115</v>
      </c>
      <c r="EI45" s="41"/>
      <c r="EJ45" s="78"/>
      <c r="EK45" s="78"/>
      <c r="EL45" s="42"/>
      <c r="EM45" s="42"/>
      <c r="EN45" s="118"/>
      <c r="ET45" s="155" t="s">
        <v>83</v>
      </c>
      <c r="EU45" s="60"/>
      <c r="EV45" s="77"/>
      <c r="EW45" s="176"/>
      <c r="EX45" s="179"/>
      <c r="EY45" s="179"/>
      <c r="EZ45" s="121"/>
      <c r="FA45" s="155" t="s">
        <v>90</v>
      </c>
      <c r="FB45" s="41"/>
      <c r="FC45" s="77"/>
      <c r="FD45" s="77"/>
      <c r="FE45" s="179"/>
      <c r="FF45" s="179"/>
      <c r="FG45" s="118"/>
      <c r="FH45" s="155" t="s">
        <v>89</v>
      </c>
      <c r="FI45" s="41"/>
      <c r="FJ45" s="77"/>
      <c r="FK45" s="77"/>
      <c r="FL45" s="179"/>
      <c r="FM45" s="179"/>
      <c r="FN45" s="118"/>
      <c r="FO45" s="155" t="s">
        <v>92</v>
      </c>
      <c r="FP45" s="41"/>
      <c r="FQ45" s="77"/>
      <c r="FR45" s="77"/>
      <c r="FS45" s="179"/>
      <c r="FT45" s="179"/>
      <c r="FU45" s="232"/>
    </row>
    <row r="46" spans="1:177" ht="33.75" customHeight="1" x14ac:dyDescent="0.2">
      <c r="A46" s="115" t="str">
        <f t="shared" si="4"/>
        <v>Calendar 21</v>
      </c>
      <c r="B46" s="69" t="str">
        <f t="shared" si="5"/>
        <v>Country_code</v>
      </c>
      <c r="C46" s="43" t="s">
        <v>181</v>
      </c>
      <c r="D46" s="43"/>
      <c r="E46" s="17" t="s">
        <v>94</v>
      </c>
      <c r="F46" s="39"/>
      <c r="G46" s="78"/>
      <c r="H46" s="78"/>
      <c r="I46" s="40"/>
      <c r="J46" s="40"/>
      <c r="K46" s="119"/>
      <c r="L46" s="17" t="s">
        <v>97</v>
      </c>
      <c r="M46" s="39"/>
      <c r="N46" s="78"/>
      <c r="O46" s="78"/>
      <c r="P46" s="40"/>
      <c r="Q46" s="40"/>
      <c r="R46" s="119"/>
      <c r="S46" s="17" t="s">
        <v>98</v>
      </c>
      <c r="T46" s="39"/>
      <c r="U46" s="78"/>
      <c r="V46" s="78"/>
      <c r="W46" s="40"/>
      <c r="X46" s="40"/>
      <c r="Y46" s="119"/>
      <c r="Z46" s="17" t="s">
        <v>99</v>
      </c>
      <c r="AA46" s="39"/>
      <c r="AB46" s="78"/>
      <c r="AC46" s="78"/>
      <c r="AD46" s="40"/>
      <c r="AE46" s="40"/>
      <c r="AF46" s="119"/>
      <c r="AG46" s="17" t="s">
        <v>100</v>
      </c>
      <c r="AH46" s="39"/>
      <c r="AI46" s="78"/>
      <c r="AJ46" s="78"/>
      <c r="AK46" s="40"/>
      <c r="AL46" s="40"/>
      <c r="AM46" s="119"/>
      <c r="AN46" s="17" t="s">
        <v>101</v>
      </c>
      <c r="AO46" s="39"/>
      <c r="AP46" s="78"/>
      <c r="AQ46" s="78"/>
      <c r="AR46" s="40"/>
      <c r="AS46" s="40"/>
      <c r="AT46" s="119"/>
      <c r="AU46" s="17" t="s">
        <v>157</v>
      </c>
      <c r="AV46" s="39"/>
      <c r="AW46" s="78"/>
      <c r="AX46" s="78"/>
      <c r="AY46" s="40"/>
      <c r="AZ46" s="40"/>
      <c r="BA46" s="119"/>
      <c r="BB46" s="17" t="s">
        <v>103</v>
      </c>
      <c r="BC46" s="39"/>
      <c r="BD46" s="78"/>
      <c r="BE46" s="78"/>
      <c r="BF46" s="40"/>
      <c r="BG46" s="40"/>
      <c r="BH46" s="119"/>
      <c r="BI46" s="17" t="s">
        <v>104</v>
      </c>
      <c r="BJ46" s="39"/>
      <c r="BK46" s="78"/>
      <c r="BL46" s="78"/>
      <c r="BM46" s="40"/>
      <c r="BN46" s="40"/>
      <c r="BO46" s="119"/>
      <c r="BP46" s="17" t="s">
        <v>105</v>
      </c>
      <c r="BQ46" s="39"/>
      <c r="BR46" s="78"/>
      <c r="BS46" s="78"/>
      <c r="BT46" s="40"/>
      <c r="BU46" s="40"/>
      <c r="BV46" s="119"/>
      <c r="BW46" s="17" t="s">
        <v>106</v>
      </c>
      <c r="BX46" s="39"/>
      <c r="BY46" s="79"/>
      <c r="BZ46" s="79"/>
      <c r="CA46" s="40"/>
      <c r="CB46" s="40"/>
      <c r="CC46" s="119"/>
      <c r="CD46" s="17" t="s">
        <v>107</v>
      </c>
      <c r="CE46" s="39"/>
      <c r="CF46" s="78"/>
      <c r="CG46" s="78"/>
      <c r="CH46" s="40"/>
      <c r="CI46" s="40"/>
      <c r="CJ46" s="119"/>
      <c r="CK46" s="17" t="s">
        <v>108</v>
      </c>
      <c r="CL46" s="39"/>
      <c r="CM46" s="78"/>
      <c r="CN46" s="78"/>
      <c r="CO46" s="40"/>
      <c r="CP46" s="40"/>
      <c r="CQ46" s="119"/>
      <c r="CR46" s="17" t="s">
        <v>109</v>
      </c>
      <c r="CS46" s="39"/>
      <c r="CT46" s="78"/>
      <c r="CU46" s="78"/>
      <c r="CV46" s="40"/>
      <c r="CW46" s="40"/>
      <c r="CX46" s="119"/>
      <c r="CY46" s="17" t="s">
        <v>110</v>
      </c>
      <c r="CZ46" s="39"/>
      <c r="DA46" s="78"/>
      <c r="DB46" s="78"/>
      <c r="DC46" s="40"/>
      <c r="DD46" s="40"/>
      <c r="DE46" s="119"/>
      <c r="DF46" s="17" t="s">
        <v>111</v>
      </c>
      <c r="DG46" s="39"/>
      <c r="DH46" s="78"/>
      <c r="DI46" s="78"/>
      <c r="DJ46" s="40"/>
      <c r="DK46" s="40"/>
      <c r="DL46" s="119"/>
      <c r="DM46" s="17" t="s">
        <v>112</v>
      </c>
      <c r="DN46" s="39"/>
      <c r="DO46" s="78"/>
      <c r="DP46" s="78"/>
      <c r="DQ46" s="40"/>
      <c r="DR46" s="40"/>
      <c r="DS46" s="119"/>
      <c r="DT46" s="17" t="s">
        <v>113</v>
      </c>
      <c r="DU46" s="39"/>
      <c r="DV46" s="78"/>
      <c r="DW46" s="78"/>
      <c r="DX46" s="40"/>
      <c r="DY46" s="40"/>
      <c r="DZ46" s="119"/>
      <c r="EA46" s="17" t="s">
        <v>114</v>
      </c>
      <c r="EB46" s="39"/>
      <c r="EC46" s="78"/>
      <c r="ED46" s="78"/>
      <c r="EE46" s="40"/>
      <c r="EF46" s="40"/>
      <c r="EG46" s="119"/>
      <c r="EH46" s="17" t="s">
        <v>115</v>
      </c>
      <c r="EI46" s="39"/>
      <c r="EJ46" s="78"/>
      <c r="EK46" s="78"/>
      <c r="EL46" s="40"/>
      <c r="EM46" s="40"/>
      <c r="EN46" s="119"/>
      <c r="ET46" s="155" t="s">
        <v>83</v>
      </c>
      <c r="EU46" s="59"/>
      <c r="EV46" s="77"/>
      <c r="EW46" s="176"/>
      <c r="EX46" s="179"/>
      <c r="EY46" s="179"/>
      <c r="EZ46" s="122"/>
      <c r="FA46" s="155" t="s">
        <v>90</v>
      </c>
      <c r="FB46" s="39"/>
      <c r="FC46" s="77"/>
      <c r="FD46" s="77"/>
      <c r="FE46" s="179"/>
      <c r="FF46" s="179"/>
      <c r="FG46" s="119"/>
      <c r="FH46" s="155" t="s">
        <v>89</v>
      </c>
      <c r="FI46" s="39"/>
      <c r="FJ46" s="77"/>
      <c r="FK46" s="77"/>
      <c r="FL46" s="179"/>
      <c r="FM46" s="179"/>
      <c r="FN46" s="119"/>
      <c r="FO46" s="155" t="s">
        <v>92</v>
      </c>
      <c r="FP46" s="39"/>
      <c r="FQ46" s="77"/>
      <c r="FR46" s="77"/>
      <c r="FS46" s="179"/>
      <c r="FT46" s="179"/>
      <c r="FU46" s="230"/>
    </row>
    <row r="47" spans="1:177" ht="33.75" customHeight="1" x14ac:dyDescent="0.2">
      <c r="A47" s="115" t="str">
        <f t="shared" si="4"/>
        <v>Calendar 21</v>
      </c>
      <c r="B47" s="69" t="str">
        <f t="shared" si="5"/>
        <v>Country_code</v>
      </c>
      <c r="C47" s="43" t="s">
        <v>181</v>
      </c>
      <c r="D47" s="43"/>
      <c r="E47" s="17" t="s">
        <v>94</v>
      </c>
      <c r="F47" s="39"/>
      <c r="G47" s="78"/>
      <c r="H47" s="78"/>
      <c r="I47" s="42"/>
      <c r="J47" s="42"/>
      <c r="K47" s="119"/>
      <c r="L47" s="17" t="s">
        <v>97</v>
      </c>
      <c r="M47" s="41"/>
      <c r="N47" s="78"/>
      <c r="O47" s="78"/>
      <c r="P47" s="40"/>
      <c r="Q47" s="42"/>
      <c r="R47" s="119"/>
      <c r="S47" s="17" t="s">
        <v>98</v>
      </c>
      <c r="T47" s="41"/>
      <c r="U47" s="78"/>
      <c r="V47" s="78"/>
      <c r="W47" s="42"/>
      <c r="X47" s="42"/>
      <c r="Y47" s="118"/>
      <c r="Z47" s="17" t="s">
        <v>99</v>
      </c>
      <c r="AA47" s="41"/>
      <c r="AB47" s="78"/>
      <c r="AC47" s="78"/>
      <c r="AD47" s="42"/>
      <c r="AE47" s="42"/>
      <c r="AF47" s="118"/>
      <c r="AG47" s="17" t="s">
        <v>100</v>
      </c>
      <c r="AH47" s="41"/>
      <c r="AI47" s="78"/>
      <c r="AJ47" s="78"/>
      <c r="AK47" s="42"/>
      <c r="AL47" s="42"/>
      <c r="AM47" s="118"/>
      <c r="AN47" s="17" t="s">
        <v>101</v>
      </c>
      <c r="AO47" s="41"/>
      <c r="AP47" s="78"/>
      <c r="AQ47" s="78"/>
      <c r="AR47" s="42"/>
      <c r="AS47" s="42"/>
      <c r="AT47" s="118"/>
      <c r="AU47" s="17" t="s">
        <v>157</v>
      </c>
      <c r="AV47" s="41"/>
      <c r="AW47" s="78"/>
      <c r="AX47" s="78"/>
      <c r="AY47" s="42"/>
      <c r="AZ47" s="42"/>
      <c r="BA47" s="118"/>
      <c r="BB47" s="17" t="s">
        <v>103</v>
      </c>
      <c r="BC47" s="41"/>
      <c r="BD47" s="78"/>
      <c r="BE47" s="78"/>
      <c r="BF47" s="42"/>
      <c r="BG47" s="42"/>
      <c r="BH47" s="118"/>
      <c r="BI47" s="17" t="s">
        <v>104</v>
      </c>
      <c r="BJ47" s="39"/>
      <c r="BK47" s="78"/>
      <c r="BL47" s="78"/>
      <c r="BM47" s="42"/>
      <c r="BN47" s="42"/>
      <c r="BO47" s="118"/>
      <c r="BP47" s="17" t="s">
        <v>105</v>
      </c>
      <c r="BQ47" s="41"/>
      <c r="BR47" s="78"/>
      <c r="BS47" s="78"/>
      <c r="BT47" s="42"/>
      <c r="BU47" s="42"/>
      <c r="BV47" s="118"/>
      <c r="BW47" s="17" t="s">
        <v>106</v>
      </c>
      <c r="BX47" s="41"/>
      <c r="BY47" s="80"/>
      <c r="BZ47" s="80"/>
      <c r="CA47" s="42"/>
      <c r="CB47" s="42"/>
      <c r="CC47" s="118"/>
      <c r="CD47" s="17" t="s">
        <v>107</v>
      </c>
      <c r="CE47" s="41"/>
      <c r="CF47" s="78"/>
      <c r="CG47" s="78"/>
      <c r="CH47" s="42"/>
      <c r="CI47" s="42"/>
      <c r="CJ47" s="118"/>
      <c r="CK47" s="17" t="s">
        <v>108</v>
      </c>
      <c r="CL47" s="41"/>
      <c r="CM47" s="78"/>
      <c r="CN47" s="78"/>
      <c r="CO47" s="42"/>
      <c r="CP47" s="42"/>
      <c r="CQ47" s="118"/>
      <c r="CR47" s="17" t="s">
        <v>109</v>
      </c>
      <c r="CS47" s="41"/>
      <c r="CT47" s="78"/>
      <c r="CU47" s="78"/>
      <c r="CV47" s="42"/>
      <c r="CW47" s="42"/>
      <c r="CX47" s="118"/>
      <c r="CY47" s="17" t="s">
        <v>110</v>
      </c>
      <c r="CZ47" s="41"/>
      <c r="DA47" s="78"/>
      <c r="DB47" s="78"/>
      <c r="DC47" s="42"/>
      <c r="DD47" s="42"/>
      <c r="DE47" s="118"/>
      <c r="DF47" s="17" t="s">
        <v>111</v>
      </c>
      <c r="DG47" s="41"/>
      <c r="DH47" s="78"/>
      <c r="DI47" s="78"/>
      <c r="DJ47" s="42"/>
      <c r="DK47" s="42"/>
      <c r="DL47" s="118"/>
      <c r="DM47" s="17" t="s">
        <v>112</v>
      </c>
      <c r="DN47" s="41"/>
      <c r="DO47" s="78"/>
      <c r="DP47" s="78"/>
      <c r="DQ47" s="42"/>
      <c r="DR47" s="42"/>
      <c r="DS47" s="118"/>
      <c r="DT47" s="17" t="s">
        <v>113</v>
      </c>
      <c r="DU47" s="41"/>
      <c r="DV47" s="78"/>
      <c r="DW47" s="78"/>
      <c r="DX47" s="42"/>
      <c r="DY47" s="42"/>
      <c r="DZ47" s="118"/>
      <c r="EA47" s="17" t="s">
        <v>114</v>
      </c>
      <c r="EB47" s="41"/>
      <c r="EC47" s="78"/>
      <c r="ED47" s="78"/>
      <c r="EE47" s="42"/>
      <c r="EF47" s="42"/>
      <c r="EG47" s="118"/>
      <c r="EH47" s="17" t="s">
        <v>115</v>
      </c>
      <c r="EI47" s="41"/>
      <c r="EJ47" s="78"/>
      <c r="EK47" s="78"/>
      <c r="EL47" s="42"/>
      <c r="EM47" s="42"/>
      <c r="EN47" s="118"/>
      <c r="ET47" s="155" t="s">
        <v>83</v>
      </c>
      <c r="EU47" s="60"/>
      <c r="EV47" s="77"/>
      <c r="EW47" s="176"/>
      <c r="EX47" s="179"/>
      <c r="EY47" s="179"/>
      <c r="EZ47" s="121"/>
      <c r="FA47" s="155" t="s">
        <v>90</v>
      </c>
      <c r="FB47" s="41"/>
      <c r="FC47" s="77"/>
      <c r="FD47" s="77"/>
      <c r="FE47" s="179"/>
      <c r="FF47" s="179"/>
      <c r="FG47" s="118"/>
      <c r="FH47" s="155" t="s">
        <v>89</v>
      </c>
      <c r="FI47" s="41"/>
      <c r="FJ47" s="77"/>
      <c r="FK47" s="77"/>
      <c r="FL47" s="179"/>
      <c r="FM47" s="179"/>
      <c r="FN47" s="118"/>
      <c r="FO47" s="155" t="s">
        <v>92</v>
      </c>
      <c r="FP47" s="41"/>
      <c r="FQ47" s="77"/>
      <c r="FR47" s="77"/>
      <c r="FS47" s="179"/>
      <c r="FT47" s="179"/>
      <c r="FU47" s="232"/>
    </row>
    <row r="48" spans="1:177" ht="33.75" customHeight="1" x14ac:dyDescent="0.2">
      <c r="A48" s="115" t="str">
        <f t="shared" si="4"/>
        <v>Calendar 22</v>
      </c>
      <c r="B48" s="69" t="str">
        <f t="shared" si="5"/>
        <v>Country_code</v>
      </c>
      <c r="C48" s="43" t="s">
        <v>182</v>
      </c>
      <c r="D48" s="43"/>
      <c r="E48" s="17" t="s">
        <v>94</v>
      </c>
      <c r="F48" s="39"/>
      <c r="G48" s="78"/>
      <c r="H48" s="78"/>
      <c r="I48" s="40"/>
      <c r="J48" s="40"/>
      <c r="K48" s="119"/>
      <c r="L48" s="17" t="s">
        <v>97</v>
      </c>
      <c r="M48" s="39"/>
      <c r="N48" s="78"/>
      <c r="O48" s="78"/>
      <c r="P48" s="40"/>
      <c r="Q48" s="40"/>
      <c r="R48" s="119"/>
      <c r="S48" s="17" t="s">
        <v>98</v>
      </c>
      <c r="T48" s="39"/>
      <c r="U48" s="78"/>
      <c r="V48" s="78"/>
      <c r="W48" s="40"/>
      <c r="X48" s="40"/>
      <c r="Y48" s="119"/>
      <c r="Z48" s="17" t="s">
        <v>99</v>
      </c>
      <c r="AA48" s="39"/>
      <c r="AB48" s="78"/>
      <c r="AC48" s="78"/>
      <c r="AD48" s="40"/>
      <c r="AE48" s="40"/>
      <c r="AF48" s="119"/>
      <c r="AG48" s="17" t="s">
        <v>100</v>
      </c>
      <c r="AH48" s="39"/>
      <c r="AI48" s="78"/>
      <c r="AJ48" s="78"/>
      <c r="AK48" s="40"/>
      <c r="AL48" s="40"/>
      <c r="AM48" s="119"/>
      <c r="AN48" s="17" t="s">
        <v>101</v>
      </c>
      <c r="AO48" s="39"/>
      <c r="AP48" s="78"/>
      <c r="AQ48" s="78"/>
      <c r="AR48" s="40"/>
      <c r="AS48" s="40"/>
      <c r="AT48" s="119"/>
      <c r="AU48" s="17" t="s">
        <v>157</v>
      </c>
      <c r="AV48" s="39"/>
      <c r="AW48" s="78"/>
      <c r="AX48" s="78"/>
      <c r="AY48" s="40"/>
      <c r="AZ48" s="40"/>
      <c r="BA48" s="119"/>
      <c r="BB48" s="17" t="s">
        <v>103</v>
      </c>
      <c r="BC48" s="39"/>
      <c r="BD48" s="78"/>
      <c r="BE48" s="78"/>
      <c r="BF48" s="40"/>
      <c r="BG48" s="40"/>
      <c r="BH48" s="119"/>
      <c r="BI48" s="17" t="s">
        <v>104</v>
      </c>
      <c r="BJ48" s="39"/>
      <c r="BK48" s="78"/>
      <c r="BL48" s="78"/>
      <c r="BM48" s="40"/>
      <c r="BN48" s="40"/>
      <c r="BO48" s="119"/>
      <c r="BP48" s="17" t="s">
        <v>105</v>
      </c>
      <c r="BQ48" s="39"/>
      <c r="BR48" s="78"/>
      <c r="BS48" s="78"/>
      <c r="BT48" s="40"/>
      <c r="BU48" s="40"/>
      <c r="BV48" s="119"/>
      <c r="BW48" s="17" t="s">
        <v>106</v>
      </c>
      <c r="BX48" s="39"/>
      <c r="BY48" s="79"/>
      <c r="BZ48" s="79"/>
      <c r="CA48" s="40"/>
      <c r="CB48" s="40"/>
      <c r="CC48" s="119"/>
      <c r="CD48" s="17" t="s">
        <v>107</v>
      </c>
      <c r="CE48" s="39"/>
      <c r="CF48" s="78"/>
      <c r="CG48" s="78"/>
      <c r="CH48" s="40"/>
      <c r="CI48" s="40"/>
      <c r="CJ48" s="119"/>
      <c r="CK48" s="17" t="s">
        <v>108</v>
      </c>
      <c r="CL48" s="39"/>
      <c r="CM48" s="78"/>
      <c r="CN48" s="78"/>
      <c r="CO48" s="40"/>
      <c r="CP48" s="40"/>
      <c r="CQ48" s="119"/>
      <c r="CR48" s="17" t="s">
        <v>109</v>
      </c>
      <c r="CS48" s="39"/>
      <c r="CT48" s="78"/>
      <c r="CU48" s="78"/>
      <c r="CV48" s="40"/>
      <c r="CW48" s="40"/>
      <c r="CX48" s="119"/>
      <c r="CY48" s="17" t="s">
        <v>110</v>
      </c>
      <c r="CZ48" s="39"/>
      <c r="DA48" s="78"/>
      <c r="DB48" s="78"/>
      <c r="DC48" s="40"/>
      <c r="DD48" s="40"/>
      <c r="DE48" s="119"/>
      <c r="DF48" s="17" t="s">
        <v>111</v>
      </c>
      <c r="DG48" s="39"/>
      <c r="DH48" s="78"/>
      <c r="DI48" s="78"/>
      <c r="DJ48" s="40"/>
      <c r="DK48" s="40"/>
      <c r="DL48" s="119"/>
      <c r="DM48" s="17" t="s">
        <v>112</v>
      </c>
      <c r="DN48" s="39"/>
      <c r="DO48" s="78"/>
      <c r="DP48" s="78"/>
      <c r="DQ48" s="40"/>
      <c r="DR48" s="40"/>
      <c r="DS48" s="119"/>
      <c r="DT48" s="17" t="s">
        <v>113</v>
      </c>
      <c r="DU48" s="39"/>
      <c r="DV48" s="78"/>
      <c r="DW48" s="78"/>
      <c r="DX48" s="40"/>
      <c r="DY48" s="40"/>
      <c r="DZ48" s="119"/>
      <c r="EA48" s="17" t="s">
        <v>114</v>
      </c>
      <c r="EB48" s="39"/>
      <c r="EC48" s="78"/>
      <c r="ED48" s="78"/>
      <c r="EE48" s="40"/>
      <c r="EF48" s="40"/>
      <c r="EG48" s="119"/>
      <c r="EH48" s="17" t="s">
        <v>115</v>
      </c>
      <c r="EI48" s="39"/>
      <c r="EJ48" s="78"/>
      <c r="EK48" s="78"/>
      <c r="EL48" s="40"/>
      <c r="EM48" s="40"/>
      <c r="EN48" s="119"/>
      <c r="ET48" s="155" t="s">
        <v>83</v>
      </c>
      <c r="EU48" s="59"/>
      <c r="EV48" s="77"/>
      <c r="EW48" s="176"/>
      <c r="EX48" s="179"/>
      <c r="EY48" s="179"/>
      <c r="EZ48" s="122"/>
      <c r="FA48" s="155" t="s">
        <v>90</v>
      </c>
      <c r="FB48" s="39"/>
      <c r="FC48" s="77"/>
      <c r="FD48" s="77"/>
      <c r="FE48" s="179"/>
      <c r="FF48" s="179"/>
      <c r="FG48" s="119"/>
      <c r="FH48" s="155" t="s">
        <v>89</v>
      </c>
      <c r="FI48" s="39"/>
      <c r="FJ48" s="77"/>
      <c r="FK48" s="77"/>
      <c r="FL48" s="179"/>
      <c r="FM48" s="179"/>
      <c r="FN48" s="119"/>
      <c r="FO48" s="155" t="s">
        <v>92</v>
      </c>
      <c r="FP48" s="39"/>
      <c r="FQ48" s="77"/>
      <c r="FR48" s="77"/>
      <c r="FS48" s="179"/>
      <c r="FT48" s="179"/>
      <c r="FU48" s="230"/>
    </row>
    <row r="49" spans="1:177" ht="33.75" customHeight="1" x14ac:dyDescent="0.2">
      <c r="A49" s="115" t="str">
        <f t="shared" si="4"/>
        <v>Calendar 22</v>
      </c>
      <c r="B49" s="69" t="str">
        <f t="shared" si="5"/>
        <v>Country_code</v>
      </c>
      <c r="C49" s="43" t="s">
        <v>182</v>
      </c>
      <c r="D49" s="43"/>
      <c r="E49" s="17" t="s">
        <v>94</v>
      </c>
      <c r="F49" s="39"/>
      <c r="G49" s="78"/>
      <c r="H49" s="78"/>
      <c r="I49" s="42"/>
      <c r="J49" s="42"/>
      <c r="K49" s="119"/>
      <c r="L49" s="17" t="s">
        <v>97</v>
      </c>
      <c r="M49" s="41"/>
      <c r="N49" s="78"/>
      <c r="O49" s="78"/>
      <c r="P49" s="40"/>
      <c r="Q49" s="42"/>
      <c r="R49" s="119"/>
      <c r="S49" s="17" t="s">
        <v>98</v>
      </c>
      <c r="T49" s="41"/>
      <c r="U49" s="78"/>
      <c r="V49" s="78"/>
      <c r="W49" s="42"/>
      <c r="X49" s="42"/>
      <c r="Y49" s="118"/>
      <c r="Z49" s="17" t="s">
        <v>99</v>
      </c>
      <c r="AA49" s="41"/>
      <c r="AB49" s="78"/>
      <c r="AC49" s="78"/>
      <c r="AD49" s="42"/>
      <c r="AE49" s="42"/>
      <c r="AF49" s="118"/>
      <c r="AG49" s="17" t="s">
        <v>100</v>
      </c>
      <c r="AH49" s="41"/>
      <c r="AI49" s="78"/>
      <c r="AJ49" s="78"/>
      <c r="AK49" s="42"/>
      <c r="AL49" s="42"/>
      <c r="AM49" s="118"/>
      <c r="AN49" s="17" t="s">
        <v>101</v>
      </c>
      <c r="AO49" s="41"/>
      <c r="AP49" s="78"/>
      <c r="AQ49" s="78"/>
      <c r="AR49" s="42"/>
      <c r="AS49" s="42"/>
      <c r="AT49" s="118"/>
      <c r="AU49" s="17" t="s">
        <v>157</v>
      </c>
      <c r="AV49" s="41"/>
      <c r="AW49" s="78"/>
      <c r="AX49" s="78"/>
      <c r="AY49" s="42"/>
      <c r="AZ49" s="42"/>
      <c r="BA49" s="118"/>
      <c r="BB49" s="17" t="s">
        <v>103</v>
      </c>
      <c r="BC49" s="41"/>
      <c r="BD49" s="78"/>
      <c r="BE49" s="78"/>
      <c r="BF49" s="42"/>
      <c r="BG49" s="42"/>
      <c r="BH49" s="118"/>
      <c r="BI49" s="17" t="s">
        <v>104</v>
      </c>
      <c r="BJ49" s="39"/>
      <c r="BK49" s="78"/>
      <c r="BL49" s="78"/>
      <c r="BM49" s="42"/>
      <c r="BN49" s="42"/>
      <c r="BO49" s="118"/>
      <c r="BP49" s="17" t="s">
        <v>105</v>
      </c>
      <c r="BQ49" s="41"/>
      <c r="BR49" s="78"/>
      <c r="BS49" s="78"/>
      <c r="BT49" s="42"/>
      <c r="BU49" s="42"/>
      <c r="BV49" s="118"/>
      <c r="BW49" s="17" t="s">
        <v>106</v>
      </c>
      <c r="BX49" s="41"/>
      <c r="BY49" s="80"/>
      <c r="BZ49" s="80"/>
      <c r="CA49" s="42"/>
      <c r="CB49" s="42"/>
      <c r="CC49" s="118"/>
      <c r="CD49" s="17" t="s">
        <v>107</v>
      </c>
      <c r="CE49" s="41"/>
      <c r="CF49" s="78"/>
      <c r="CG49" s="78"/>
      <c r="CH49" s="42"/>
      <c r="CI49" s="42"/>
      <c r="CJ49" s="118"/>
      <c r="CK49" s="17" t="s">
        <v>108</v>
      </c>
      <c r="CL49" s="41"/>
      <c r="CM49" s="78"/>
      <c r="CN49" s="78"/>
      <c r="CO49" s="42"/>
      <c r="CP49" s="42"/>
      <c r="CQ49" s="118"/>
      <c r="CR49" s="17" t="s">
        <v>109</v>
      </c>
      <c r="CS49" s="41"/>
      <c r="CT49" s="78"/>
      <c r="CU49" s="78"/>
      <c r="CV49" s="42"/>
      <c r="CW49" s="42"/>
      <c r="CX49" s="118"/>
      <c r="CY49" s="17" t="s">
        <v>110</v>
      </c>
      <c r="CZ49" s="41"/>
      <c r="DA49" s="78"/>
      <c r="DB49" s="78"/>
      <c r="DC49" s="42"/>
      <c r="DD49" s="42"/>
      <c r="DE49" s="118"/>
      <c r="DF49" s="17" t="s">
        <v>111</v>
      </c>
      <c r="DG49" s="41"/>
      <c r="DH49" s="78"/>
      <c r="DI49" s="78"/>
      <c r="DJ49" s="42"/>
      <c r="DK49" s="42"/>
      <c r="DL49" s="118"/>
      <c r="DM49" s="17" t="s">
        <v>112</v>
      </c>
      <c r="DN49" s="41"/>
      <c r="DO49" s="78"/>
      <c r="DP49" s="78"/>
      <c r="DQ49" s="42"/>
      <c r="DR49" s="42"/>
      <c r="DS49" s="118"/>
      <c r="DT49" s="17" t="s">
        <v>113</v>
      </c>
      <c r="DU49" s="41"/>
      <c r="DV49" s="78"/>
      <c r="DW49" s="78"/>
      <c r="DX49" s="42"/>
      <c r="DY49" s="42"/>
      <c r="DZ49" s="118"/>
      <c r="EA49" s="17" t="s">
        <v>114</v>
      </c>
      <c r="EB49" s="41"/>
      <c r="EC49" s="78"/>
      <c r="ED49" s="78"/>
      <c r="EE49" s="42"/>
      <c r="EF49" s="42"/>
      <c r="EG49" s="118"/>
      <c r="EH49" s="17" t="s">
        <v>115</v>
      </c>
      <c r="EI49" s="41"/>
      <c r="EJ49" s="78"/>
      <c r="EK49" s="78"/>
      <c r="EL49" s="42"/>
      <c r="EM49" s="42"/>
      <c r="EN49" s="118"/>
      <c r="ET49" s="155" t="s">
        <v>83</v>
      </c>
      <c r="EU49" s="60"/>
      <c r="EV49" s="77"/>
      <c r="EW49" s="176"/>
      <c r="EX49" s="179"/>
      <c r="EY49" s="179"/>
      <c r="EZ49" s="121"/>
      <c r="FA49" s="155" t="s">
        <v>90</v>
      </c>
      <c r="FB49" s="41"/>
      <c r="FC49" s="77"/>
      <c r="FD49" s="77"/>
      <c r="FE49" s="179"/>
      <c r="FF49" s="179"/>
      <c r="FG49" s="118"/>
      <c r="FH49" s="155" t="s">
        <v>89</v>
      </c>
      <c r="FI49" s="41"/>
      <c r="FJ49" s="77"/>
      <c r="FK49" s="77"/>
      <c r="FL49" s="179"/>
      <c r="FM49" s="179"/>
      <c r="FN49" s="118"/>
      <c r="FO49" s="155" t="s">
        <v>92</v>
      </c>
      <c r="FP49" s="41"/>
      <c r="FQ49" s="77"/>
      <c r="FR49" s="77"/>
      <c r="FS49" s="179"/>
      <c r="FT49" s="179"/>
      <c r="FU49" s="232"/>
    </row>
    <row r="50" spans="1:177" ht="33.75" customHeight="1" x14ac:dyDescent="0.2">
      <c r="A50" s="115" t="str">
        <f t="shared" si="4"/>
        <v>Calendar 23</v>
      </c>
      <c r="B50" s="69" t="str">
        <f t="shared" si="5"/>
        <v>Country_code</v>
      </c>
      <c r="C50" s="43" t="s">
        <v>183</v>
      </c>
      <c r="D50" s="43"/>
      <c r="E50" s="17" t="s">
        <v>94</v>
      </c>
      <c r="F50" s="39"/>
      <c r="G50" s="78"/>
      <c r="H50" s="78"/>
      <c r="I50" s="40"/>
      <c r="J50" s="40"/>
      <c r="K50" s="119"/>
      <c r="L50" s="17" t="s">
        <v>97</v>
      </c>
      <c r="M50" s="39"/>
      <c r="N50" s="78"/>
      <c r="O50" s="78"/>
      <c r="P50" s="40"/>
      <c r="Q50" s="40"/>
      <c r="R50" s="119"/>
      <c r="S50" s="17" t="s">
        <v>98</v>
      </c>
      <c r="T50" s="39"/>
      <c r="U50" s="78"/>
      <c r="V50" s="78"/>
      <c r="W50" s="40"/>
      <c r="X50" s="40"/>
      <c r="Y50" s="119"/>
      <c r="Z50" s="17" t="s">
        <v>99</v>
      </c>
      <c r="AA50" s="39"/>
      <c r="AB50" s="78"/>
      <c r="AC50" s="78"/>
      <c r="AD50" s="40"/>
      <c r="AE50" s="40"/>
      <c r="AF50" s="119"/>
      <c r="AG50" s="17" t="s">
        <v>100</v>
      </c>
      <c r="AH50" s="39"/>
      <c r="AI50" s="78"/>
      <c r="AJ50" s="78"/>
      <c r="AK50" s="40"/>
      <c r="AL50" s="40"/>
      <c r="AM50" s="119"/>
      <c r="AN50" s="17" t="s">
        <v>101</v>
      </c>
      <c r="AO50" s="39"/>
      <c r="AP50" s="78"/>
      <c r="AQ50" s="78"/>
      <c r="AR50" s="40"/>
      <c r="AS50" s="40"/>
      <c r="AT50" s="119"/>
      <c r="AU50" s="17" t="s">
        <v>157</v>
      </c>
      <c r="AV50" s="39"/>
      <c r="AW50" s="78"/>
      <c r="AX50" s="78"/>
      <c r="AY50" s="40"/>
      <c r="AZ50" s="40"/>
      <c r="BA50" s="119"/>
      <c r="BB50" s="17" t="s">
        <v>103</v>
      </c>
      <c r="BC50" s="39"/>
      <c r="BD50" s="78"/>
      <c r="BE50" s="78"/>
      <c r="BF50" s="40"/>
      <c r="BG50" s="40"/>
      <c r="BH50" s="119"/>
      <c r="BI50" s="17" t="s">
        <v>104</v>
      </c>
      <c r="BJ50" s="39"/>
      <c r="BK50" s="78"/>
      <c r="BL50" s="78"/>
      <c r="BM50" s="40"/>
      <c r="BN50" s="40"/>
      <c r="BO50" s="119"/>
      <c r="BP50" s="17" t="s">
        <v>105</v>
      </c>
      <c r="BQ50" s="39"/>
      <c r="BR50" s="78"/>
      <c r="BS50" s="78"/>
      <c r="BT50" s="40"/>
      <c r="BU50" s="40"/>
      <c r="BV50" s="119"/>
      <c r="BW50" s="17" t="s">
        <v>106</v>
      </c>
      <c r="BX50" s="39"/>
      <c r="BY50" s="79"/>
      <c r="BZ50" s="79"/>
      <c r="CA50" s="40"/>
      <c r="CB50" s="40"/>
      <c r="CC50" s="119"/>
      <c r="CD50" s="17" t="s">
        <v>107</v>
      </c>
      <c r="CE50" s="39"/>
      <c r="CF50" s="78"/>
      <c r="CG50" s="78"/>
      <c r="CH50" s="40"/>
      <c r="CI50" s="40"/>
      <c r="CJ50" s="119"/>
      <c r="CK50" s="17" t="s">
        <v>108</v>
      </c>
      <c r="CL50" s="39"/>
      <c r="CM50" s="78"/>
      <c r="CN50" s="78"/>
      <c r="CO50" s="40"/>
      <c r="CP50" s="40"/>
      <c r="CQ50" s="119"/>
      <c r="CR50" s="17" t="s">
        <v>109</v>
      </c>
      <c r="CS50" s="39"/>
      <c r="CT50" s="78"/>
      <c r="CU50" s="78"/>
      <c r="CV50" s="40"/>
      <c r="CW50" s="40"/>
      <c r="CX50" s="119"/>
      <c r="CY50" s="17" t="s">
        <v>110</v>
      </c>
      <c r="CZ50" s="39"/>
      <c r="DA50" s="78"/>
      <c r="DB50" s="78"/>
      <c r="DC50" s="40"/>
      <c r="DD50" s="40"/>
      <c r="DE50" s="119"/>
      <c r="DF50" s="17" t="s">
        <v>111</v>
      </c>
      <c r="DG50" s="39"/>
      <c r="DH50" s="78"/>
      <c r="DI50" s="78"/>
      <c r="DJ50" s="40"/>
      <c r="DK50" s="40"/>
      <c r="DL50" s="119"/>
      <c r="DM50" s="17" t="s">
        <v>112</v>
      </c>
      <c r="DN50" s="39"/>
      <c r="DO50" s="78"/>
      <c r="DP50" s="78"/>
      <c r="DQ50" s="40"/>
      <c r="DR50" s="40"/>
      <c r="DS50" s="119"/>
      <c r="DT50" s="17" t="s">
        <v>113</v>
      </c>
      <c r="DU50" s="39"/>
      <c r="DV50" s="78"/>
      <c r="DW50" s="78"/>
      <c r="DX50" s="40"/>
      <c r="DY50" s="40"/>
      <c r="DZ50" s="119"/>
      <c r="EA50" s="17" t="s">
        <v>114</v>
      </c>
      <c r="EB50" s="39"/>
      <c r="EC50" s="78"/>
      <c r="ED50" s="78"/>
      <c r="EE50" s="40"/>
      <c r="EF50" s="40"/>
      <c r="EG50" s="119"/>
      <c r="EH50" s="17" t="s">
        <v>115</v>
      </c>
      <c r="EI50" s="39"/>
      <c r="EJ50" s="78"/>
      <c r="EK50" s="78"/>
      <c r="EL50" s="40"/>
      <c r="EM50" s="40"/>
      <c r="EN50" s="119"/>
      <c r="ET50" s="155" t="s">
        <v>83</v>
      </c>
      <c r="EU50" s="59"/>
      <c r="EV50" s="77"/>
      <c r="EW50" s="176"/>
      <c r="EX50" s="179"/>
      <c r="EY50" s="179"/>
      <c r="EZ50" s="122"/>
      <c r="FA50" s="155" t="s">
        <v>90</v>
      </c>
      <c r="FB50" s="39"/>
      <c r="FC50" s="77"/>
      <c r="FD50" s="77"/>
      <c r="FE50" s="179"/>
      <c r="FF50" s="179"/>
      <c r="FG50" s="119"/>
      <c r="FH50" s="155" t="s">
        <v>89</v>
      </c>
      <c r="FI50" s="39"/>
      <c r="FJ50" s="77"/>
      <c r="FK50" s="77"/>
      <c r="FL50" s="179"/>
      <c r="FM50" s="179"/>
      <c r="FN50" s="119"/>
      <c r="FO50" s="155" t="s">
        <v>92</v>
      </c>
      <c r="FP50" s="39"/>
      <c r="FQ50" s="77"/>
      <c r="FR50" s="77"/>
      <c r="FS50" s="179"/>
      <c r="FT50" s="179"/>
      <c r="FU50" s="230"/>
    </row>
    <row r="51" spans="1:177" ht="33.75" customHeight="1" x14ac:dyDescent="0.2">
      <c r="A51" s="115" t="str">
        <f t="shared" si="4"/>
        <v>Calendar 23</v>
      </c>
      <c r="B51" s="69" t="str">
        <f t="shared" si="5"/>
        <v>Country_code</v>
      </c>
      <c r="C51" s="43" t="s">
        <v>183</v>
      </c>
      <c r="D51" s="43"/>
      <c r="E51" s="17" t="s">
        <v>94</v>
      </c>
      <c r="F51" s="39"/>
      <c r="G51" s="78"/>
      <c r="H51" s="78"/>
      <c r="I51" s="42"/>
      <c r="J51" s="42"/>
      <c r="K51" s="119"/>
      <c r="L51" s="17" t="s">
        <v>97</v>
      </c>
      <c r="M51" s="41"/>
      <c r="N51" s="78"/>
      <c r="O51" s="78"/>
      <c r="P51" s="40"/>
      <c r="Q51" s="42"/>
      <c r="R51" s="119"/>
      <c r="S51" s="17" t="s">
        <v>98</v>
      </c>
      <c r="T51" s="41"/>
      <c r="U51" s="78"/>
      <c r="V51" s="78"/>
      <c r="W51" s="42"/>
      <c r="X51" s="42"/>
      <c r="Y51" s="118"/>
      <c r="Z51" s="17" t="s">
        <v>99</v>
      </c>
      <c r="AA51" s="41"/>
      <c r="AB51" s="78"/>
      <c r="AC51" s="78"/>
      <c r="AD51" s="42"/>
      <c r="AE51" s="42"/>
      <c r="AF51" s="118"/>
      <c r="AG51" s="17" t="s">
        <v>100</v>
      </c>
      <c r="AH51" s="41"/>
      <c r="AI51" s="78"/>
      <c r="AJ51" s="78"/>
      <c r="AK51" s="42"/>
      <c r="AL51" s="42"/>
      <c r="AM51" s="118"/>
      <c r="AN51" s="17" t="s">
        <v>101</v>
      </c>
      <c r="AO51" s="41"/>
      <c r="AP51" s="78"/>
      <c r="AQ51" s="78"/>
      <c r="AR51" s="42"/>
      <c r="AS51" s="42"/>
      <c r="AT51" s="118"/>
      <c r="AU51" s="17" t="s">
        <v>157</v>
      </c>
      <c r="AV51" s="41"/>
      <c r="AW51" s="78"/>
      <c r="AX51" s="78"/>
      <c r="AY51" s="42"/>
      <c r="AZ51" s="42"/>
      <c r="BA51" s="118"/>
      <c r="BB51" s="17" t="s">
        <v>103</v>
      </c>
      <c r="BC51" s="41"/>
      <c r="BD51" s="78"/>
      <c r="BE51" s="78"/>
      <c r="BF51" s="42"/>
      <c r="BG51" s="42"/>
      <c r="BH51" s="118"/>
      <c r="BI51" s="17" t="s">
        <v>104</v>
      </c>
      <c r="BJ51" s="39"/>
      <c r="BK51" s="78"/>
      <c r="BL51" s="78"/>
      <c r="BM51" s="42"/>
      <c r="BN51" s="42"/>
      <c r="BO51" s="118"/>
      <c r="BP51" s="17" t="s">
        <v>105</v>
      </c>
      <c r="BQ51" s="41"/>
      <c r="BR51" s="78"/>
      <c r="BS51" s="78"/>
      <c r="BT51" s="42"/>
      <c r="BU51" s="42"/>
      <c r="BV51" s="118"/>
      <c r="BW51" s="17" t="s">
        <v>106</v>
      </c>
      <c r="BX51" s="41"/>
      <c r="BY51" s="80"/>
      <c r="BZ51" s="80"/>
      <c r="CA51" s="42"/>
      <c r="CB51" s="42"/>
      <c r="CC51" s="118"/>
      <c r="CD51" s="17" t="s">
        <v>107</v>
      </c>
      <c r="CE51" s="41"/>
      <c r="CF51" s="78"/>
      <c r="CG51" s="78"/>
      <c r="CH51" s="42"/>
      <c r="CI51" s="42"/>
      <c r="CJ51" s="118"/>
      <c r="CK51" s="17" t="s">
        <v>108</v>
      </c>
      <c r="CL51" s="41"/>
      <c r="CM51" s="78"/>
      <c r="CN51" s="78"/>
      <c r="CO51" s="42"/>
      <c r="CP51" s="42"/>
      <c r="CQ51" s="118"/>
      <c r="CR51" s="17" t="s">
        <v>109</v>
      </c>
      <c r="CS51" s="41"/>
      <c r="CT51" s="78"/>
      <c r="CU51" s="78"/>
      <c r="CV51" s="42"/>
      <c r="CW51" s="42"/>
      <c r="CX51" s="118"/>
      <c r="CY51" s="17" t="s">
        <v>110</v>
      </c>
      <c r="CZ51" s="41"/>
      <c r="DA51" s="78"/>
      <c r="DB51" s="78"/>
      <c r="DC51" s="42"/>
      <c r="DD51" s="42"/>
      <c r="DE51" s="118"/>
      <c r="DF51" s="17" t="s">
        <v>111</v>
      </c>
      <c r="DG51" s="41"/>
      <c r="DH51" s="78"/>
      <c r="DI51" s="78"/>
      <c r="DJ51" s="42"/>
      <c r="DK51" s="42"/>
      <c r="DL51" s="118"/>
      <c r="DM51" s="17" t="s">
        <v>112</v>
      </c>
      <c r="DN51" s="41"/>
      <c r="DO51" s="78"/>
      <c r="DP51" s="78"/>
      <c r="DQ51" s="42"/>
      <c r="DR51" s="42"/>
      <c r="DS51" s="118"/>
      <c r="DT51" s="17" t="s">
        <v>113</v>
      </c>
      <c r="DU51" s="41"/>
      <c r="DV51" s="78"/>
      <c r="DW51" s="78"/>
      <c r="DX51" s="42"/>
      <c r="DY51" s="42"/>
      <c r="DZ51" s="118"/>
      <c r="EA51" s="17" t="s">
        <v>114</v>
      </c>
      <c r="EB51" s="41"/>
      <c r="EC51" s="78"/>
      <c r="ED51" s="78"/>
      <c r="EE51" s="42"/>
      <c r="EF51" s="42"/>
      <c r="EG51" s="118"/>
      <c r="EH51" s="17" t="s">
        <v>115</v>
      </c>
      <c r="EI51" s="41"/>
      <c r="EJ51" s="78"/>
      <c r="EK51" s="78"/>
      <c r="EL51" s="42"/>
      <c r="EM51" s="42"/>
      <c r="EN51" s="118"/>
      <c r="ET51" s="155" t="s">
        <v>83</v>
      </c>
      <c r="EU51" s="60"/>
      <c r="EV51" s="77"/>
      <c r="EW51" s="176"/>
      <c r="EX51" s="179"/>
      <c r="EY51" s="179"/>
      <c r="EZ51" s="121"/>
      <c r="FA51" s="155" t="s">
        <v>90</v>
      </c>
      <c r="FB51" s="41"/>
      <c r="FC51" s="77"/>
      <c r="FD51" s="77"/>
      <c r="FE51" s="179"/>
      <c r="FF51" s="179"/>
      <c r="FG51" s="118"/>
      <c r="FH51" s="155" t="s">
        <v>89</v>
      </c>
      <c r="FI51" s="41"/>
      <c r="FJ51" s="77"/>
      <c r="FK51" s="77"/>
      <c r="FL51" s="179"/>
      <c r="FM51" s="179"/>
      <c r="FN51" s="118"/>
      <c r="FO51" s="155" t="s">
        <v>92</v>
      </c>
      <c r="FP51" s="41"/>
      <c r="FQ51" s="77"/>
      <c r="FR51" s="77"/>
      <c r="FS51" s="179"/>
      <c r="FT51" s="179"/>
      <c r="FU51" s="232"/>
    </row>
    <row r="52" spans="1:177" ht="33.75" customHeight="1" x14ac:dyDescent="0.2">
      <c r="A52" s="115" t="str">
        <f t="shared" si="4"/>
        <v>Calendar 24</v>
      </c>
      <c r="B52" s="69" t="str">
        <f t="shared" si="5"/>
        <v>Country_code</v>
      </c>
      <c r="C52" s="43" t="s">
        <v>184</v>
      </c>
      <c r="D52" s="43"/>
      <c r="E52" s="17" t="s">
        <v>94</v>
      </c>
      <c r="F52" s="39"/>
      <c r="G52" s="78"/>
      <c r="H52" s="78"/>
      <c r="I52" s="40"/>
      <c r="J52" s="40"/>
      <c r="K52" s="119"/>
      <c r="L52" s="17" t="s">
        <v>97</v>
      </c>
      <c r="M52" s="39"/>
      <c r="N52" s="78"/>
      <c r="O52" s="78"/>
      <c r="P52" s="40"/>
      <c r="Q52" s="40"/>
      <c r="R52" s="119"/>
      <c r="S52" s="17" t="s">
        <v>98</v>
      </c>
      <c r="T52" s="39"/>
      <c r="U52" s="78"/>
      <c r="V52" s="78"/>
      <c r="W52" s="40"/>
      <c r="X52" s="40"/>
      <c r="Y52" s="119"/>
      <c r="Z52" s="17" t="s">
        <v>99</v>
      </c>
      <c r="AA52" s="39"/>
      <c r="AB52" s="78"/>
      <c r="AC52" s="78"/>
      <c r="AD52" s="40"/>
      <c r="AE52" s="40"/>
      <c r="AF52" s="119"/>
      <c r="AG52" s="17" t="s">
        <v>100</v>
      </c>
      <c r="AH52" s="39"/>
      <c r="AI52" s="78"/>
      <c r="AJ52" s="78"/>
      <c r="AK52" s="40"/>
      <c r="AL52" s="40"/>
      <c r="AM52" s="119"/>
      <c r="AN52" s="17" t="s">
        <v>101</v>
      </c>
      <c r="AO52" s="39"/>
      <c r="AP52" s="78"/>
      <c r="AQ52" s="78"/>
      <c r="AR52" s="40"/>
      <c r="AS52" s="40"/>
      <c r="AT52" s="119"/>
      <c r="AU52" s="17" t="s">
        <v>157</v>
      </c>
      <c r="AV52" s="39"/>
      <c r="AW52" s="78"/>
      <c r="AX52" s="78"/>
      <c r="AY52" s="40"/>
      <c r="AZ52" s="40"/>
      <c r="BA52" s="119"/>
      <c r="BB52" s="17" t="s">
        <v>103</v>
      </c>
      <c r="BC52" s="39"/>
      <c r="BD52" s="78"/>
      <c r="BE52" s="78"/>
      <c r="BF52" s="40"/>
      <c r="BG52" s="40"/>
      <c r="BH52" s="119"/>
      <c r="BI52" s="17" t="s">
        <v>104</v>
      </c>
      <c r="BJ52" s="39"/>
      <c r="BK52" s="78"/>
      <c r="BL52" s="78"/>
      <c r="BM52" s="40"/>
      <c r="BN52" s="40"/>
      <c r="BO52" s="119"/>
      <c r="BP52" s="17" t="s">
        <v>105</v>
      </c>
      <c r="BQ52" s="39"/>
      <c r="BR52" s="78"/>
      <c r="BS52" s="78"/>
      <c r="BT52" s="40"/>
      <c r="BU52" s="40"/>
      <c r="BV52" s="119"/>
      <c r="BW52" s="17" t="s">
        <v>106</v>
      </c>
      <c r="BX52" s="39"/>
      <c r="BY52" s="79"/>
      <c r="BZ52" s="79"/>
      <c r="CA52" s="40"/>
      <c r="CB52" s="40"/>
      <c r="CC52" s="119"/>
      <c r="CD52" s="17" t="s">
        <v>107</v>
      </c>
      <c r="CE52" s="39"/>
      <c r="CF52" s="78"/>
      <c r="CG52" s="78"/>
      <c r="CH52" s="40"/>
      <c r="CI52" s="40"/>
      <c r="CJ52" s="119"/>
      <c r="CK52" s="17" t="s">
        <v>108</v>
      </c>
      <c r="CL52" s="39"/>
      <c r="CM52" s="78"/>
      <c r="CN52" s="78"/>
      <c r="CO52" s="40"/>
      <c r="CP52" s="40"/>
      <c r="CQ52" s="119"/>
      <c r="CR52" s="17" t="s">
        <v>109</v>
      </c>
      <c r="CS52" s="39"/>
      <c r="CT52" s="78"/>
      <c r="CU52" s="78"/>
      <c r="CV52" s="40"/>
      <c r="CW52" s="40"/>
      <c r="CX52" s="119"/>
      <c r="CY52" s="17" t="s">
        <v>110</v>
      </c>
      <c r="CZ52" s="39"/>
      <c r="DA52" s="78"/>
      <c r="DB52" s="78"/>
      <c r="DC52" s="40"/>
      <c r="DD52" s="40"/>
      <c r="DE52" s="119"/>
      <c r="DF52" s="17" t="s">
        <v>111</v>
      </c>
      <c r="DG52" s="39"/>
      <c r="DH52" s="78"/>
      <c r="DI52" s="78"/>
      <c r="DJ52" s="40"/>
      <c r="DK52" s="40"/>
      <c r="DL52" s="119"/>
      <c r="DM52" s="17" t="s">
        <v>112</v>
      </c>
      <c r="DN52" s="39"/>
      <c r="DO52" s="78"/>
      <c r="DP52" s="78"/>
      <c r="DQ52" s="40"/>
      <c r="DR52" s="40"/>
      <c r="DS52" s="119"/>
      <c r="DT52" s="17" t="s">
        <v>113</v>
      </c>
      <c r="DU52" s="39"/>
      <c r="DV52" s="78"/>
      <c r="DW52" s="78"/>
      <c r="DX52" s="40"/>
      <c r="DY52" s="40"/>
      <c r="DZ52" s="119"/>
      <c r="EA52" s="17" t="s">
        <v>114</v>
      </c>
      <c r="EB52" s="39"/>
      <c r="EC52" s="78"/>
      <c r="ED52" s="78"/>
      <c r="EE52" s="40"/>
      <c r="EF52" s="40"/>
      <c r="EG52" s="119"/>
      <c r="EH52" s="17" t="s">
        <v>115</v>
      </c>
      <c r="EI52" s="39"/>
      <c r="EJ52" s="78"/>
      <c r="EK52" s="78"/>
      <c r="EL52" s="40"/>
      <c r="EM52" s="40"/>
      <c r="EN52" s="119"/>
      <c r="ET52" s="155" t="s">
        <v>83</v>
      </c>
      <c r="EU52" s="59"/>
      <c r="EV52" s="77"/>
      <c r="EW52" s="176"/>
      <c r="EX52" s="179"/>
      <c r="EY52" s="179"/>
      <c r="EZ52" s="122"/>
      <c r="FA52" s="155" t="s">
        <v>90</v>
      </c>
      <c r="FB52" s="39"/>
      <c r="FC52" s="77"/>
      <c r="FD52" s="77"/>
      <c r="FE52" s="179"/>
      <c r="FF52" s="179"/>
      <c r="FG52" s="119"/>
      <c r="FH52" s="155" t="s">
        <v>89</v>
      </c>
      <c r="FI52" s="39"/>
      <c r="FJ52" s="77"/>
      <c r="FK52" s="77"/>
      <c r="FL52" s="179"/>
      <c r="FM52" s="179"/>
      <c r="FN52" s="119"/>
      <c r="FO52" s="155" t="s">
        <v>92</v>
      </c>
      <c r="FP52" s="39"/>
      <c r="FQ52" s="77"/>
      <c r="FR52" s="77"/>
      <c r="FS52" s="179"/>
      <c r="FT52" s="179"/>
      <c r="FU52" s="230"/>
    </row>
    <row r="53" spans="1:177" ht="33.75" customHeight="1" x14ac:dyDescent="0.2">
      <c r="A53" s="115" t="str">
        <f t="shared" si="4"/>
        <v>Calendar 24</v>
      </c>
      <c r="B53" s="69" t="str">
        <f t="shared" si="5"/>
        <v>Country_code</v>
      </c>
      <c r="C53" s="43" t="s">
        <v>184</v>
      </c>
      <c r="D53" s="43"/>
      <c r="E53" s="17" t="s">
        <v>94</v>
      </c>
      <c r="F53" s="39"/>
      <c r="G53" s="78"/>
      <c r="H53" s="78"/>
      <c r="I53" s="42"/>
      <c r="J53" s="42"/>
      <c r="K53" s="119"/>
      <c r="L53" s="17" t="s">
        <v>97</v>
      </c>
      <c r="M53" s="41"/>
      <c r="N53" s="78"/>
      <c r="O53" s="78"/>
      <c r="P53" s="40"/>
      <c r="Q53" s="42"/>
      <c r="R53" s="119"/>
      <c r="S53" s="17" t="s">
        <v>98</v>
      </c>
      <c r="T53" s="41"/>
      <c r="U53" s="78"/>
      <c r="V53" s="78"/>
      <c r="W53" s="42"/>
      <c r="X53" s="42"/>
      <c r="Y53" s="118"/>
      <c r="Z53" s="17" t="s">
        <v>99</v>
      </c>
      <c r="AA53" s="41"/>
      <c r="AB53" s="78"/>
      <c r="AC53" s="78"/>
      <c r="AD53" s="42"/>
      <c r="AE53" s="42"/>
      <c r="AF53" s="118"/>
      <c r="AG53" s="17" t="s">
        <v>100</v>
      </c>
      <c r="AH53" s="41"/>
      <c r="AI53" s="78"/>
      <c r="AJ53" s="78"/>
      <c r="AK53" s="42"/>
      <c r="AL53" s="42"/>
      <c r="AM53" s="118"/>
      <c r="AN53" s="17" t="s">
        <v>101</v>
      </c>
      <c r="AO53" s="41"/>
      <c r="AP53" s="78"/>
      <c r="AQ53" s="78"/>
      <c r="AR53" s="42"/>
      <c r="AS53" s="42"/>
      <c r="AT53" s="118"/>
      <c r="AU53" s="17" t="s">
        <v>157</v>
      </c>
      <c r="AV53" s="41"/>
      <c r="AW53" s="78"/>
      <c r="AX53" s="78"/>
      <c r="AY53" s="42"/>
      <c r="AZ53" s="42"/>
      <c r="BA53" s="118"/>
      <c r="BB53" s="17" t="s">
        <v>103</v>
      </c>
      <c r="BC53" s="41"/>
      <c r="BD53" s="78"/>
      <c r="BE53" s="78"/>
      <c r="BF53" s="42"/>
      <c r="BG53" s="42"/>
      <c r="BH53" s="118"/>
      <c r="BI53" s="17" t="s">
        <v>104</v>
      </c>
      <c r="BJ53" s="39"/>
      <c r="BK53" s="78"/>
      <c r="BL53" s="78"/>
      <c r="BM53" s="42"/>
      <c r="BN53" s="42"/>
      <c r="BO53" s="118"/>
      <c r="BP53" s="17" t="s">
        <v>105</v>
      </c>
      <c r="BQ53" s="41"/>
      <c r="BR53" s="78"/>
      <c r="BS53" s="78"/>
      <c r="BT53" s="42"/>
      <c r="BU53" s="42"/>
      <c r="BV53" s="118"/>
      <c r="BW53" s="17" t="s">
        <v>106</v>
      </c>
      <c r="BX53" s="41"/>
      <c r="BY53" s="80"/>
      <c r="BZ53" s="80"/>
      <c r="CA53" s="42"/>
      <c r="CB53" s="42"/>
      <c r="CC53" s="118"/>
      <c r="CD53" s="17" t="s">
        <v>107</v>
      </c>
      <c r="CE53" s="41"/>
      <c r="CF53" s="78"/>
      <c r="CG53" s="78"/>
      <c r="CH53" s="42"/>
      <c r="CI53" s="42"/>
      <c r="CJ53" s="118"/>
      <c r="CK53" s="17" t="s">
        <v>108</v>
      </c>
      <c r="CL53" s="41"/>
      <c r="CM53" s="78"/>
      <c r="CN53" s="78"/>
      <c r="CO53" s="42"/>
      <c r="CP53" s="42"/>
      <c r="CQ53" s="118"/>
      <c r="CR53" s="17" t="s">
        <v>109</v>
      </c>
      <c r="CS53" s="41"/>
      <c r="CT53" s="78"/>
      <c r="CU53" s="78"/>
      <c r="CV53" s="42"/>
      <c r="CW53" s="42"/>
      <c r="CX53" s="118"/>
      <c r="CY53" s="17" t="s">
        <v>110</v>
      </c>
      <c r="CZ53" s="41"/>
      <c r="DA53" s="78"/>
      <c r="DB53" s="78"/>
      <c r="DC53" s="42"/>
      <c r="DD53" s="42"/>
      <c r="DE53" s="118"/>
      <c r="DF53" s="17" t="s">
        <v>111</v>
      </c>
      <c r="DG53" s="41"/>
      <c r="DH53" s="78"/>
      <c r="DI53" s="78"/>
      <c r="DJ53" s="42"/>
      <c r="DK53" s="42"/>
      <c r="DL53" s="118"/>
      <c r="DM53" s="17" t="s">
        <v>112</v>
      </c>
      <c r="DN53" s="41"/>
      <c r="DO53" s="78"/>
      <c r="DP53" s="78"/>
      <c r="DQ53" s="42"/>
      <c r="DR53" s="42"/>
      <c r="DS53" s="118"/>
      <c r="DT53" s="17" t="s">
        <v>113</v>
      </c>
      <c r="DU53" s="41"/>
      <c r="DV53" s="78"/>
      <c r="DW53" s="78"/>
      <c r="DX53" s="42"/>
      <c r="DY53" s="42"/>
      <c r="DZ53" s="118"/>
      <c r="EA53" s="17" t="s">
        <v>114</v>
      </c>
      <c r="EB53" s="41"/>
      <c r="EC53" s="78"/>
      <c r="ED53" s="78"/>
      <c r="EE53" s="42"/>
      <c r="EF53" s="42"/>
      <c r="EG53" s="118"/>
      <c r="EH53" s="17" t="s">
        <v>115</v>
      </c>
      <c r="EI53" s="41"/>
      <c r="EJ53" s="78"/>
      <c r="EK53" s="78"/>
      <c r="EL53" s="42"/>
      <c r="EM53" s="42"/>
      <c r="EN53" s="118"/>
      <c r="ET53" s="155" t="s">
        <v>83</v>
      </c>
      <c r="EU53" s="60"/>
      <c r="EV53" s="77"/>
      <c r="EW53" s="176"/>
      <c r="EX53" s="179"/>
      <c r="EY53" s="179"/>
      <c r="EZ53" s="121"/>
      <c r="FA53" s="155" t="s">
        <v>90</v>
      </c>
      <c r="FB53" s="41"/>
      <c r="FC53" s="77"/>
      <c r="FD53" s="77"/>
      <c r="FE53" s="179"/>
      <c r="FF53" s="179"/>
      <c r="FG53" s="118"/>
      <c r="FH53" s="155" t="s">
        <v>89</v>
      </c>
      <c r="FI53" s="41"/>
      <c r="FJ53" s="77"/>
      <c r="FK53" s="77"/>
      <c r="FL53" s="179"/>
      <c r="FM53" s="179"/>
      <c r="FN53" s="118"/>
      <c r="FO53" s="155" t="s">
        <v>92</v>
      </c>
      <c r="FP53" s="41"/>
      <c r="FQ53" s="77"/>
      <c r="FR53" s="77"/>
      <c r="FS53" s="179"/>
      <c r="FT53" s="179"/>
      <c r="FU53" s="232"/>
    </row>
    <row r="54" spans="1:177" ht="33.75" customHeight="1" x14ac:dyDescent="0.2">
      <c r="A54" s="115" t="str">
        <f t="shared" si="4"/>
        <v>Calendar 25</v>
      </c>
      <c r="B54" s="69" t="str">
        <f t="shared" si="5"/>
        <v>Country_code</v>
      </c>
      <c r="C54" s="43" t="s">
        <v>185</v>
      </c>
      <c r="D54" s="43"/>
      <c r="E54" s="17" t="s">
        <v>94</v>
      </c>
      <c r="F54" s="39"/>
      <c r="G54" s="78"/>
      <c r="H54" s="78"/>
      <c r="I54" s="40"/>
      <c r="J54" s="40"/>
      <c r="K54" s="119"/>
      <c r="L54" s="17" t="s">
        <v>97</v>
      </c>
      <c r="M54" s="39"/>
      <c r="N54" s="78"/>
      <c r="O54" s="78"/>
      <c r="P54" s="40"/>
      <c r="Q54" s="40"/>
      <c r="R54" s="119"/>
      <c r="S54" s="17" t="s">
        <v>98</v>
      </c>
      <c r="T54" s="39"/>
      <c r="U54" s="78"/>
      <c r="V54" s="78"/>
      <c r="W54" s="40"/>
      <c r="X54" s="40"/>
      <c r="Y54" s="119"/>
      <c r="Z54" s="17" t="s">
        <v>99</v>
      </c>
      <c r="AA54" s="39"/>
      <c r="AB54" s="78"/>
      <c r="AC54" s="78"/>
      <c r="AD54" s="40"/>
      <c r="AE54" s="40"/>
      <c r="AF54" s="119"/>
      <c r="AG54" s="17" t="s">
        <v>100</v>
      </c>
      <c r="AH54" s="39"/>
      <c r="AI54" s="78"/>
      <c r="AJ54" s="78"/>
      <c r="AK54" s="40"/>
      <c r="AL54" s="40"/>
      <c r="AM54" s="119"/>
      <c r="AN54" s="17" t="s">
        <v>101</v>
      </c>
      <c r="AO54" s="39"/>
      <c r="AP54" s="78"/>
      <c r="AQ54" s="78"/>
      <c r="AR54" s="40"/>
      <c r="AS54" s="40"/>
      <c r="AT54" s="119"/>
      <c r="AU54" s="17" t="s">
        <v>157</v>
      </c>
      <c r="AV54" s="39"/>
      <c r="AW54" s="78"/>
      <c r="AX54" s="78"/>
      <c r="AY54" s="40"/>
      <c r="AZ54" s="40"/>
      <c r="BA54" s="119"/>
      <c r="BB54" s="17" t="s">
        <v>103</v>
      </c>
      <c r="BC54" s="39"/>
      <c r="BD54" s="78"/>
      <c r="BE54" s="78"/>
      <c r="BF54" s="40"/>
      <c r="BG54" s="40"/>
      <c r="BH54" s="119"/>
      <c r="BI54" s="17" t="s">
        <v>104</v>
      </c>
      <c r="BJ54" s="39"/>
      <c r="BK54" s="78"/>
      <c r="BL54" s="78"/>
      <c r="BM54" s="40"/>
      <c r="BN54" s="40"/>
      <c r="BO54" s="119"/>
      <c r="BP54" s="17" t="s">
        <v>105</v>
      </c>
      <c r="BQ54" s="39"/>
      <c r="BR54" s="78"/>
      <c r="BS54" s="78"/>
      <c r="BT54" s="40"/>
      <c r="BU54" s="40"/>
      <c r="BV54" s="119"/>
      <c r="BW54" s="17" t="s">
        <v>106</v>
      </c>
      <c r="BX54" s="39"/>
      <c r="BY54" s="79"/>
      <c r="BZ54" s="79"/>
      <c r="CA54" s="40"/>
      <c r="CB54" s="40"/>
      <c r="CC54" s="119"/>
      <c r="CD54" s="17" t="s">
        <v>107</v>
      </c>
      <c r="CE54" s="39"/>
      <c r="CF54" s="78"/>
      <c r="CG54" s="78"/>
      <c r="CH54" s="40"/>
      <c r="CI54" s="40"/>
      <c r="CJ54" s="119"/>
      <c r="CK54" s="17" t="s">
        <v>108</v>
      </c>
      <c r="CL54" s="39"/>
      <c r="CM54" s="78"/>
      <c r="CN54" s="78"/>
      <c r="CO54" s="40"/>
      <c r="CP54" s="40"/>
      <c r="CQ54" s="119"/>
      <c r="CR54" s="17" t="s">
        <v>109</v>
      </c>
      <c r="CS54" s="39"/>
      <c r="CT54" s="78"/>
      <c r="CU54" s="78"/>
      <c r="CV54" s="40"/>
      <c r="CW54" s="40"/>
      <c r="CX54" s="119"/>
      <c r="CY54" s="17" t="s">
        <v>110</v>
      </c>
      <c r="CZ54" s="39"/>
      <c r="DA54" s="78"/>
      <c r="DB54" s="78"/>
      <c r="DC54" s="40"/>
      <c r="DD54" s="40"/>
      <c r="DE54" s="119"/>
      <c r="DF54" s="17" t="s">
        <v>111</v>
      </c>
      <c r="DG54" s="39"/>
      <c r="DH54" s="78"/>
      <c r="DI54" s="78"/>
      <c r="DJ54" s="40"/>
      <c r="DK54" s="40"/>
      <c r="DL54" s="119"/>
      <c r="DM54" s="17" t="s">
        <v>112</v>
      </c>
      <c r="DN54" s="39"/>
      <c r="DO54" s="78"/>
      <c r="DP54" s="78"/>
      <c r="DQ54" s="40"/>
      <c r="DR54" s="40"/>
      <c r="DS54" s="119"/>
      <c r="DT54" s="17" t="s">
        <v>113</v>
      </c>
      <c r="DU54" s="39"/>
      <c r="DV54" s="78"/>
      <c r="DW54" s="78"/>
      <c r="DX54" s="40"/>
      <c r="DY54" s="40"/>
      <c r="DZ54" s="119"/>
      <c r="EA54" s="17" t="s">
        <v>114</v>
      </c>
      <c r="EB54" s="39"/>
      <c r="EC54" s="78"/>
      <c r="ED54" s="78"/>
      <c r="EE54" s="40"/>
      <c r="EF54" s="40"/>
      <c r="EG54" s="119"/>
      <c r="EH54" s="17" t="s">
        <v>115</v>
      </c>
      <c r="EI54" s="39"/>
      <c r="EJ54" s="78"/>
      <c r="EK54" s="78"/>
      <c r="EL54" s="40"/>
      <c r="EM54" s="40"/>
      <c r="EN54" s="119"/>
      <c r="ET54" s="155" t="s">
        <v>83</v>
      </c>
      <c r="EU54" s="59"/>
      <c r="EV54" s="77"/>
      <c r="EW54" s="176"/>
      <c r="EX54" s="179"/>
      <c r="EY54" s="179"/>
      <c r="EZ54" s="122"/>
      <c r="FA54" s="155" t="s">
        <v>90</v>
      </c>
      <c r="FB54" s="39"/>
      <c r="FC54" s="77"/>
      <c r="FD54" s="77"/>
      <c r="FE54" s="179"/>
      <c r="FF54" s="179"/>
      <c r="FG54" s="119"/>
      <c r="FH54" s="155" t="s">
        <v>89</v>
      </c>
      <c r="FI54" s="39"/>
      <c r="FJ54" s="77"/>
      <c r="FK54" s="77"/>
      <c r="FL54" s="179"/>
      <c r="FM54" s="179"/>
      <c r="FN54" s="119"/>
      <c r="FO54" s="155" t="s">
        <v>92</v>
      </c>
      <c r="FP54" s="39"/>
      <c r="FQ54" s="77"/>
      <c r="FR54" s="77"/>
      <c r="FS54" s="179"/>
      <c r="FT54" s="179"/>
      <c r="FU54" s="230"/>
    </row>
    <row r="55" spans="1:177" ht="33.75" customHeight="1" x14ac:dyDescent="0.2">
      <c r="A55" s="115" t="str">
        <f t="shared" si="4"/>
        <v>Calendar 25</v>
      </c>
      <c r="B55" s="69" t="str">
        <f t="shared" si="5"/>
        <v>Country_code</v>
      </c>
      <c r="C55" s="43" t="s">
        <v>185</v>
      </c>
      <c r="D55" s="43"/>
      <c r="E55" s="17" t="s">
        <v>94</v>
      </c>
      <c r="F55" s="39"/>
      <c r="G55" s="78"/>
      <c r="H55" s="78"/>
      <c r="I55" s="42"/>
      <c r="J55" s="42"/>
      <c r="K55" s="119"/>
      <c r="L55" s="17" t="s">
        <v>97</v>
      </c>
      <c r="M55" s="41"/>
      <c r="N55" s="78"/>
      <c r="O55" s="78"/>
      <c r="P55" s="40"/>
      <c r="Q55" s="42"/>
      <c r="R55" s="119"/>
      <c r="S55" s="17" t="s">
        <v>98</v>
      </c>
      <c r="T55" s="41"/>
      <c r="U55" s="78"/>
      <c r="V55" s="78"/>
      <c r="W55" s="42"/>
      <c r="X55" s="42"/>
      <c r="Y55" s="118"/>
      <c r="Z55" s="17" t="s">
        <v>99</v>
      </c>
      <c r="AA55" s="41"/>
      <c r="AB55" s="78"/>
      <c r="AC55" s="78"/>
      <c r="AD55" s="42"/>
      <c r="AE55" s="42"/>
      <c r="AF55" s="118"/>
      <c r="AG55" s="17" t="s">
        <v>100</v>
      </c>
      <c r="AH55" s="41"/>
      <c r="AI55" s="78"/>
      <c r="AJ55" s="78"/>
      <c r="AK55" s="42"/>
      <c r="AL55" s="42"/>
      <c r="AM55" s="118"/>
      <c r="AN55" s="17" t="s">
        <v>101</v>
      </c>
      <c r="AO55" s="41"/>
      <c r="AP55" s="78"/>
      <c r="AQ55" s="78"/>
      <c r="AR55" s="42"/>
      <c r="AS55" s="42"/>
      <c r="AT55" s="118"/>
      <c r="AU55" s="17" t="s">
        <v>157</v>
      </c>
      <c r="AV55" s="41"/>
      <c r="AW55" s="78"/>
      <c r="AX55" s="78"/>
      <c r="AY55" s="42"/>
      <c r="AZ55" s="42"/>
      <c r="BA55" s="118"/>
      <c r="BB55" s="17" t="s">
        <v>103</v>
      </c>
      <c r="BC55" s="41"/>
      <c r="BD55" s="78"/>
      <c r="BE55" s="78"/>
      <c r="BF55" s="42"/>
      <c r="BG55" s="42"/>
      <c r="BH55" s="118"/>
      <c r="BI55" s="17" t="s">
        <v>104</v>
      </c>
      <c r="BJ55" s="39"/>
      <c r="BK55" s="78"/>
      <c r="BL55" s="78"/>
      <c r="BM55" s="42"/>
      <c r="BN55" s="42"/>
      <c r="BO55" s="118"/>
      <c r="BP55" s="17" t="s">
        <v>105</v>
      </c>
      <c r="BQ55" s="41"/>
      <c r="BR55" s="78"/>
      <c r="BS55" s="78"/>
      <c r="BT55" s="42"/>
      <c r="BU55" s="42"/>
      <c r="BV55" s="118"/>
      <c r="BW55" s="17" t="s">
        <v>106</v>
      </c>
      <c r="BX55" s="41"/>
      <c r="BY55" s="80"/>
      <c r="BZ55" s="80"/>
      <c r="CA55" s="42"/>
      <c r="CB55" s="42"/>
      <c r="CC55" s="118"/>
      <c r="CD55" s="17" t="s">
        <v>107</v>
      </c>
      <c r="CE55" s="41"/>
      <c r="CF55" s="78"/>
      <c r="CG55" s="78"/>
      <c r="CH55" s="42"/>
      <c r="CI55" s="42"/>
      <c r="CJ55" s="118"/>
      <c r="CK55" s="17" t="s">
        <v>108</v>
      </c>
      <c r="CL55" s="41"/>
      <c r="CM55" s="78"/>
      <c r="CN55" s="78"/>
      <c r="CO55" s="42"/>
      <c r="CP55" s="42"/>
      <c r="CQ55" s="118"/>
      <c r="CR55" s="17" t="s">
        <v>109</v>
      </c>
      <c r="CS55" s="41"/>
      <c r="CT55" s="78"/>
      <c r="CU55" s="78"/>
      <c r="CV55" s="42"/>
      <c r="CW55" s="42"/>
      <c r="CX55" s="118"/>
      <c r="CY55" s="17" t="s">
        <v>110</v>
      </c>
      <c r="CZ55" s="41"/>
      <c r="DA55" s="78"/>
      <c r="DB55" s="78"/>
      <c r="DC55" s="42"/>
      <c r="DD55" s="42"/>
      <c r="DE55" s="118"/>
      <c r="DF55" s="17" t="s">
        <v>111</v>
      </c>
      <c r="DG55" s="41"/>
      <c r="DH55" s="78"/>
      <c r="DI55" s="78"/>
      <c r="DJ55" s="42"/>
      <c r="DK55" s="42"/>
      <c r="DL55" s="118"/>
      <c r="DM55" s="17" t="s">
        <v>112</v>
      </c>
      <c r="DN55" s="41"/>
      <c r="DO55" s="78"/>
      <c r="DP55" s="78"/>
      <c r="DQ55" s="42"/>
      <c r="DR55" s="42"/>
      <c r="DS55" s="118"/>
      <c r="DT55" s="17" t="s">
        <v>113</v>
      </c>
      <c r="DU55" s="41"/>
      <c r="DV55" s="78"/>
      <c r="DW55" s="78"/>
      <c r="DX55" s="42"/>
      <c r="DY55" s="42"/>
      <c r="DZ55" s="118"/>
      <c r="EA55" s="17" t="s">
        <v>114</v>
      </c>
      <c r="EB55" s="41"/>
      <c r="EC55" s="78"/>
      <c r="ED55" s="78"/>
      <c r="EE55" s="42"/>
      <c r="EF55" s="42"/>
      <c r="EG55" s="118"/>
      <c r="EH55" s="17" t="s">
        <v>115</v>
      </c>
      <c r="EI55" s="41"/>
      <c r="EJ55" s="78"/>
      <c r="EK55" s="78"/>
      <c r="EL55" s="42"/>
      <c r="EM55" s="42"/>
      <c r="EN55" s="118"/>
      <c r="ET55" s="155" t="s">
        <v>83</v>
      </c>
      <c r="EU55" s="60"/>
      <c r="EV55" s="77"/>
      <c r="EW55" s="176"/>
      <c r="EX55" s="179"/>
      <c r="EY55" s="179"/>
      <c r="EZ55" s="121"/>
      <c r="FA55" s="155" t="s">
        <v>90</v>
      </c>
      <c r="FB55" s="41"/>
      <c r="FC55" s="77"/>
      <c r="FD55" s="77"/>
      <c r="FE55" s="179"/>
      <c r="FF55" s="179"/>
      <c r="FG55" s="118"/>
      <c r="FH55" s="155" t="s">
        <v>89</v>
      </c>
      <c r="FI55" s="41"/>
      <c r="FJ55" s="77"/>
      <c r="FK55" s="77"/>
      <c r="FL55" s="179"/>
      <c r="FM55" s="179"/>
      <c r="FN55" s="118"/>
      <c r="FO55" s="155" t="s">
        <v>92</v>
      </c>
      <c r="FP55" s="41"/>
      <c r="FQ55" s="77"/>
      <c r="FR55" s="77"/>
      <c r="FS55" s="179"/>
      <c r="FT55" s="179"/>
      <c r="FU55" s="232"/>
    </row>
    <row r="56" spans="1:177" ht="33.75" customHeight="1" x14ac:dyDescent="0.2">
      <c r="A56" s="115" t="str">
        <f t="shared" si="4"/>
        <v>Calendar 26</v>
      </c>
      <c r="B56" s="69" t="str">
        <f t="shared" si="5"/>
        <v>Country_code</v>
      </c>
      <c r="C56" s="43" t="s">
        <v>186</v>
      </c>
      <c r="D56" s="43"/>
      <c r="E56" s="17" t="s">
        <v>94</v>
      </c>
      <c r="F56" s="39"/>
      <c r="G56" s="78"/>
      <c r="H56" s="78"/>
      <c r="I56" s="42"/>
      <c r="J56" s="42"/>
      <c r="K56" s="119"/>
      <c r="L56" s="17" t="s">
        <v>97</v>
      </c>
      <c r="M56" s="41"/>
      <c r="N56" s="78"/>
      <c r="O56" s="78"/>
      <c r="P56" s="40"/>
      <c r="Q56" s="42"/>
      <c r="R56" s="119"/>
      <c r="S56" s="17" t="s">
        <v>98</v>
      </c>
      <c r="T56" s="41"/>
      <c r="U56" s="78"/>
      <c r="V56" s="78"/>
      <c r="W56" s="42"/>
      <c r="X56" s="42"/>
      <c r="Y56" s="118"/>
      <c r="Z56" s="17" t="s">
        <v>99</v>
      </c>
      <c r="AA56" s="41"/>
      <c r="AB56" s="78"/>
      <c r="AC56" s="78"/>
      <c r="AD56" s="42"/>
      <c r="AE56" s="42"/>
      <c r="AF56" s="118"/>
      <c r="AG56" s="17" t="s">
        <v>100</v>
      </c>
      <c r="AH56" s="41"/>
      <c r="AI56" s="78"/>
      <c r="AJ56" s="78"/>
      <c r="AK56" s="42"/>
      <c r="AL56" s="42"/>
      <c r="AM56" s="118"/>
      <c r="AN56" s="17" t="s">
        <v>101</v>
      </c>
      <c r="AO56" s="41"/>
      <c r="AP56" s="78"/>
      <c r="AQ56" s="78"/>
      <c r="AR56" s="42"/>
      <c r="AS56" s="42"/>
      <c r="AT56" s="118"/>
      <c r="AU56" s="17" t="s">
        <v>157</v>
      </c>
      <c r="AV56" s="41"/>
      <c r="AW56" s="78"/>
      <c r="AX56" s="78"/>
      <c r="AY56" s="42"/>
      <c r="AZ56" s="42"/>
      <c r="BA56" s="118"/>
      <c r="BB56" s="17" t="s">
        <v>103</v>
      </c>
      <c r="BC56" s="41"/>
      <c r="BD56" s="78"/>
      <c r="BE56" s="78"/>
      <c r="BF56" s="42"/>
      <c r="BG56" s="42"/>
      <c r="BH56" s="118"/>
      <c r="BI56" s="17" t="s">
        <v>104</v>
      </c>
      <c r="BJ56" s="39"/>
      <c r="BK56" s="78"/>
      <c r="BL56" s="78"/>
      <c r="BM56" s="42"/>
      <c r="BN56" s="42"/>
      <c r="BO56" s="118"/>
      <c r="BP56" s="17" t="s">
        <v>105</v>
      </c>
      <c r="BQ56" s="41"/>
      <c r="BR56" s="78"/>
      <c r="BS56" s="78"/>
      <c r="BT56" s="42"/>
      <c r="BU56" s="42"/>
      <c r="BV56" s="118"/>
      <c r="BW56" s="17" t="s">
        <v>106</v>
      </c>
      <c r="BX56" s="41"/>
      <c r="BY56" s="80"/>
      <c r="BZ56" s="80"/>
      <c r="CA56" s="42"/>
      <c r="CB56" s="42"/>
      <c r="CC56" s="118"/>
      <c r="CD56" s="17" t="s">
        <v>107</v>
      </c>
      <c r="CE56" s="41"/>
      <c r="CF56" s="78"/>
      <c r="CG56" s="78"/>
      <c r="CH56" s="42"/>
      <c r="CI56" s="42"/>
      <c r="CJ56" s="118"/>
      <c r="CK56" s="17" t="s">
        <v>108</v>
      </c>
      <c r="CL56" s="41"/>
      <c r="CM56" s="78"/>
      <c r="CN56" s="78"/>
      <c r="CO56" s="42"/>
      <c r="CP56" s="42"/>
      <c r="CQ56" s="118"/>
      <c r="CR56" s="17" t="s">
        <v>109</v>
      </c>
      <c r="CS56" s="41"/>
      <c r="CT56" s="78"/>
      <c r="CU56" s="78"/>
      <c r="CV56" s="42"/>
      <c r="CW56" s="42"/>
      <c r="CX56" s="118"/>
      <c r="CY56" s="17" t="s">
        <v>110</v>
      </c>
      <c r="CZ56" s="41"/>
      <c r="DA56" s="78"/>
      <c r="DB56" s="78"/>
      <c r="DC56" s="42"/>
      <c r="DD56" s="42"/>
      <c r="DE56" s="118"/>
      <c r="DF56" s="17" t="s">
        <v>111</v>
      </c>
      <c r="DG56" s="41"/>
      <c r="DH56" s="78"/>
      <c r="DI56" s="78"/>
      <c r="DJ56" s="42"/>
      <c r="DK56" s="42"/>
      <c r="DL56" s="118"/>
      <c r="DM56" s="17" t="s">
        <v>112</v>
      </c>
      <c r="DN56" s="41"/>
      <c r="DO56" s="78"/>
      <c r="DP56" s="78"/>
      <c r="DQ56" s="42"/>
      <c r="DR56" s="42"/>
      <c r="DS56" s="118"/>
      <c r="DT56" s="17" t="s">
        <v>113</v>
      </c>
      <c r="DU56" s="41"/>
      <c r="DV56" s="78"/>
      <c r="DW56" s="78"/>
      <c r="DX56" s="42"/>
      <c r="DY56" s="42"/>
      <c r="DZ56" s="118"/>
      <c r="EA56" s="17" t="s">
        <v>114</v>
      </c>
      <c r="EB56" s="41"/>
      <c r="EC56" s="78"/>
      <c r="ED56" s="78"/>
      <c r="EE56" s="42"/>
      <c r="EF56" s="42"/>
      <c r="EG56" s="118"/>
      <c r="EH56" s="17" t="s">
        <v>115</v>
      </c>
      <c r="EI56" s="41"/>
      <c r="EJ56" s="78"/>
      <c r="EK56" s="78"/>
      <c r="EL56" s="42"/>
      <c r="EM56" s="42"/>
      <c r="EN56" s="118"/>
      <c r="ET56" s="155" t="s">
        <v>83</v>
      </c>
      <c r="EU56" s="59"/>
      <c r="EV56" s="77"/>
      <c r="EW56" s="176"/>
      <c r="EX56" s="179"/>
      <c r="EY56" s="179"/>
      <c r="EZ56" s="122"/>
      <c r="FA56" s="155" t="s">
        <v>90</v>
      </c>
      <c r="FB56" s="39"/>
      <c r="FC56" s="77"/>
      <c r="FD56" s="77"/>
      <c r="FE56" s="179"/>
      <c r="FF56" s="179"/>
      <c r="FG56" s="119"/>
      <c r="FH56" s="155" t="s">
        <v>89</v>
      </c>
      <c r="FI56" s="39"/>
      <c r="FJ56" s="77"/>
      <c r="FK56" s="77"/>
      <c r="FL56" s="179"/>
      <c r="FM56" s="179"/>
      <c r="FN56" s="119"/>
      <c r="FO56" s="155" t="s">
        <v>92</v>
      </c>
      <c r="FP56" s="39"/>
      <c r="FQ56" s="77"/>
      <c r="FR56" s="77"/>
      <c r="FS56" s="179"/>
      <c r="FT56" s="179"/>
      <c r="FU56" s="230"/>
    </row>
    <row r="57" spans="1:177" ht="33.75" customHeight="1" x14ac:dyDescent="0.2">
      <c r="A57" s="115" t="str">
        <f t="shared" si="4"/>
        <v>Calendar 26</v>
      </c>
      <c r="B57" s="69" t="str">
        <f t="shared" si="5"/>
        <v>Country_code</v>
      </c>
      <c r="C57" s="43" t="s">
        <v>186</v>
      </c>
      <c r="D57" s="43"/>
      <c r="E57" s="17" t="s">
        <v>94</v>
      </c>
      <c r="F57" s="39"/>
      <c r="G57" s="78"/>
      <c r="H57" s="78"/>
      <c r="I57" s="42"/>
      <c r="J57" s="42"/>
      <c r="K57" s="119"/>
      <c r="L57" s="17" t="s">
        <v>97</v>
      </c>
      <c r="M57" s="41"/>
      <c r="N57" s="78"/>
      <c r="O57" s="78"/>
      <c r="P57" s="40"/>
      <c r="Q57" s="42"/>
      <c r="R57" s="119"/>
      <c r="S57" s="17" t="s">
        <v>98</v>
      </c>
      <c r="T57" s="41"/>
      <c r="U57" s="78"/>
      <c r="V57" s="78"/>
      <c r="W57" s="42"/>
      <c r="X57" s="42"/>
      <c r="Y57" s="118"/>
      <c r="Z57" s="17" t="s">
        <v>99</v>
      </c>
      <c r="AA57" s="41"/>
      <c r="AB57" s="78"/>
      <c r="AC57" s="78"/>
      <c r="AD57" s="42"/>
      <c r="AE57" s="42"/>
      <c r="AF57" s="118"/>
      <c r="AG57" s="17" t="s">
        <v>100</v>
      </c>
      <c r="AH57" s="41"/>
      <c r="AI57" s="78"/>
      <c r="AJ57" s="78"/>
      <c r="AK57" s="42"/>
      <c r="AL57" s="42"/>
      <c r="AM57" s="118"/>
      <c r="AN57" s="17" t="s">
        <v>101</v>
      </c>
      <c r="AO57" s="41"/>
      <c r="AP57" s="78"/>
      <c r="AQ57" s="78"/>
      <c r="AR57" s="42"/>
      <c r="AS57" s="42"/>
      <c r="AT57" s="118"/>
      <c r="AU57" s="17" t="s">
        <v>157</v>
      </c>
      <c r="AV57" s="41"/>
      <c r="AW57" s="78"/>
      <c r="AX57" s="78"/>
      <c r="AY57" s="42"/>
      <c r="AZ57" s="42"/>
      <c r="BA57" s="118"/>
      <c r="BB57" s="17" t="s">
        <v>103</v>
      </c>
      <c r="BC57" s="41"/>
      <c r="BD57" s="78"/>
      <c r="BE57" s="78"/>
      <c r="BF57" s="42"/>
      <c r="BG57" s="42"/>
      <c r="BH57" s="118"/>
      <c r="BI57" s="17" t="s">
        <v>104</v>
      </c>
      <c r="BJ57" s="39"/>
      <c r="BK57" s="78"/>
      <c r="BL57" s="78"/>
      <c r="BM57" s="42"/>
      <c r="BN57" s="42"/>
      <c r="BO57" s="118"/>
      <c r="BP57" s="17" t="s">
        <v>105</v>
      </c>
      <c r="BQ57" s="41"/>
      <c r="BR57" s="78"/>
      <c r="BS57" s="78"/>
      <c r="BT57" s="42"/>
      <c r="BU57" s="42"/>
      <c r="BV57" s="118"/>
      <c r="BW57" s="17" t="s">
        <v>106</v>
      </c>
      <c r="BX57" s="41"/>
      <c r="BY57" s="80"/>
      <c r="BZ57" s="80"/>
      <c r="CA57" s="42"/>
      <c r="CB57" s="42"/>
      <c r="CC57" s="118"/>
      <c r="CD57" s="17" t="s">
        <v>107</v>
      </c>
      <c r="CE57" s="41"/>
      <c r="CF57" s="78"/>
      <c r="CG57" s="78"/>
      <c r="CH57" s="42"/>
      <c r="CI57" s="42"/>
      <c r="CJ57" s="118"/>
      <c r="CK57" s="17" t="s">
        <v>108</v>
      </c>
      <c r="CL57" s="41"/>
      <c r="CM57" s="78"/>
      <c r="CN57" s="78"/>
      <c r="CO57" s="42"/>
      <c r="CP57" s="42"/>
      <c r="CQ57" s="118"/>
      <c r="CR57" s="17" t="s">
        <v>109</v>
      </c>
      <c r="CS57" s="41"/>
      <c r="CT57" s="78"/>
      <c r="CU57" s="78"/>
      <c r="CV57" s="42"/>
      <c r="CW57" s="42"/>
      <c r="CX57" s="118"/>
      <c r="CY57" s="17" t="s">
        <v>110</v>
      </c>
      <c r="CZ57" s="41"/>
      <c r="DA57" s="78"/>
      <c r="DB57" s="78"/>
      <c r="DC57" s="42"/>
      <c r="DD57" s="42"/>
      <c r="DE57" s="118"/>
      <c r="DF57" s="17" t="s">
        <v>111</v>
      </c>
      <c r="DG57" s="41"/>
      <c r="DH57" s="78"/>
      <c r="DI57" s="78"/>
      <c r="DJ57" s="42"/>
      <c r="DK57" s="42"/>
      <c r="DL57" s="118"/>
      <c r="DM57" s="17" t="s">
        <v>112</v>
      </c>
      <c r="DN57" s="41"/>
      <c r="DO57" s="78"/>
      <c r="DP57" s="78"/>
      <c r="DQ57" s="42"/>
      <c r="DR57" s="42"/>
      <c r="DS57" s="118"/>
      <c r="DT57" s="17" t="s">
        <v>113</v>
      </c>
      <c r="DU57" s="41"/>
      <c r="DV57" s="78"/>
      <c r="DW57" s="78"/>
      <c r="DX57" s="42"/>
      <c r="DY57" s="42"/>
      <c r="DZ57" s="118"/>
      <c r="EA57" s="17" t="s">
        <v>114</v>
      </c>
      <c r="EB57" s="41"/>
      <c r="EC57" s="78"/>
      <c r="ED57" s="78"/>
      <c r="EE57" s="42"/>
      <c r="EF57" s="42"/>
      <c r="EG57" s="118"/>
      <c r="EH57" s="17" t="s">
        <v>115</v>
      </c>
      <c r="EI57" s="41"/>
      <c r="EJ57" s="78"/>
      <c r="EK57" s="78"/>
      <c r="EL57" s="42"/>
      <c r="EM57" s="42"/>
      <c r="EN57" s="118"/>
      <c r="ET57" s="155" t="s">
        <v>83</v>
      </c>
      <c r="EU57" s="59"/>
      <c r="EV57" s="77"/>
      <c r="EW57" s="176"/>
      <c r="EX57" s="179"/>
      <c r="EY57" s="179"/>
      <c r="EZ57" s="122"/>
      <c r="FA57" s="155" t="s">
        <v>90</v>
      </c>
      <c r="FB57" s="41"/>
      <c r="FC57" s="77"/>
      <c r="FD57" s="77"/>
      <c r="FE57" s="179"/>
      <c r="FF57" s="179"/>
      <c r="FG57" s="118"/>
      <c r="FH57" s="155" t="s">
        <v>89</v>
      </c>
      <c r="FI57" s="41"/>
      <c r="FJ57" s="77"/>
      <c r="FK57" s="77"/>
      <c r="FL57" s="179"/>
      <c r="FM57" s="179"/>
      <c r="FN57" s="118"/>
      <c r="FO57" s="155" t="s">
        <v>92</v>
      </c>
      <c r="FP57" s="41"/>
      <c r="FQ57" s="77"/>
      <c r="FR57" s="77"/>
      <c r="FS57" s="179"/>
      <c r="FT57" s="179"/>
      <c r="FU57" s="232"/>
    </row>
    <row r="58" spans="1:177" ht="33.75" customHeight="1" x14ac:dyDescent="0.2">
      <c r="A58" s="115" t="str">
        <f t="shared" si="4"/>
        <v>Calendar 27</v>
      </c>
      <c r="B58" s="69" t="str">
        <f t="shared" si="5"/>
        <v>Country_code</v>
      </c>
      <c r="C58" s="43" t="s">
        <v>187</v>
      </c>
      <c r="D58" s="43"/>
      <c r="E58" s="17" t="s">
        <v>94</v>
      </c>
      <c r="F58" s="39"/>
      <c r="G58" s="78"/>
      <c r="H58" s="78"/>
      <c r="I58" s="42"/>
      <c r="J58" s="42"/>
      <c r="K58" s="119"/>
      <c r="L58" s="17" t="s">
        <v>97</v>
      </c>
      <c r="M58" s="41"/>
      <c r="N58" s="78"/>
      <c r="O58" s="78"/>
      <c r="P58" s="40"/>
      <c r="Q58" s="42"/>
      <c r="R58" s="119"/>
      <c r="S58" s="17" t="s">
        <v>98</v>
      </c>
      <c r="T58" s="41"/>
      <c r="U58" s="78"/>
      <c r="V58" s="78"/>
      <c r="W58" s="42"/>
      <c r="X58" s="42"/>
      <c r="Y58" s="118"/>
      <c r="Z58" s="17" t="s">
        <v>99</v>
      </c>
      <c r="AA58" s="41"/>
      <c r="AB58" s="78"/>
      <c r="AC58" s="78"/>
      <c r="AD58" s="42"/>
      <c r="AE58" s="42"/>
      <c r="AF58" s="118"/>
      <c r="AG58" s="17" t="s">
        <v>100</v>
      </c>
      <c r="AH58" s="41"/>
      <c r="AI58" s="78"/>
      <c r="AJ58" s="78"/>
      <c r="AK58" s="42"/>
      <c r="AL58" s="42"/>
      <c r="AM58" s="118"/>
      <c r="AN58" s="17" t="s">
        <v>101</v>
      </c>
      <c r="AO58" s="41"/>
      <c r="AP58" s="78"/>
      <c r="AQ58" s="78"/>
      <c r="AR58" s="42"/>
      <c r="AS58" s="42"/>
      <c r="AT58" s="118"/>
      <c r="AU58" s="17" t="s">
        <v>157</v>
      </c>
      <c r="AV58" s="41"/>
      <c r="AW58" s="78"/>
      <c r="AX58" s="78"/>
      <c r="AY58" s="42"/>
      <c r="AZ58" s="42"/>
      <c r="BA58" s="118"/>
      <c r="BB58" s="17" t="s">
        <v>103</v>
      </c>
      <c r="BC58" s="41"/>
      <c r="BD58" s="78"/>
      <c r="BE58" s="78"/>
      <c r="BF58" s="42"/>
      <c r="BG58" s="42"/>
      <c r="BH58" s="118"/>
      <c r="BI58" s="17" t="s">
        <v>104</v>
      </c>
      <c r="BJ58" s="39"/>
      <c r="BK58" s="78"/>
      <c r="BL58" s="78"/>
      <c r="BM58" s="42"/>
      <c r="BN58" s="42"/>
      <c r="BO58" s="118"/>
      <c r="BP58" s="17" t="s">
        <v>105</v>
      </c>
      <c r="BQ58" s="41"/>
      <c r="BR58" s="78"/>
      <c r="BS58" s="78"/>
      <c r="BT58" s="42"/>
      <c r="BU58" s="42"/>
      <c r="BV58" s="118"/>
      <c r="BW58" s="17" t="s">
        <v>106</v>
      </c>
      <c r="BX58" s="41"/>
      <c r="BY58" s="80"/>
      <c r="BZ58" s="80"/>
      <c r="CA58" s="42"/>
      <c r="CB58" s="42"/>
      <c r="CC58" s="118"/>
      <c r="CD58" s="17" t="s">
        <v>107</v>
      </c>
      <c r="CE58" s="41"/>
      <c r="CF58" s="78"/>
      <c r="CG58" s="78"/>
      <c r="CH58" s="42"/>
      <c r="CI58" s="42"/>
      <c r="CJ58" s="118"/>
      <c r="CK58" s="17" t="s">
        <v>108</v>
      </c>
      <c r="CL58" s="41"/>
      <c r="CM58" s="78"/>
      <c r="CN58" s="78"/>
      <c r="CO58" s="42"/>
      <c r="CP58" s="42"/>
      <c r="CQ58" s="118"/>
      <c r="CR58" s="17" t="s">
        <v>109</v>
      </c>
      <c r="CS58" s="41"/>
      <c r="CT58" s="78"/>
      <c r="CU58" s="78"/>
      <c r="CV58" s="42"/>
      <c r="CW58" s="42"/>
      <c r="CX58" s="118"/>
      <c r="CY58" s="17" t="s">
        <v>110</v>
      </c>
      <c r="CZ58" s="41"/>
      <c r="DA58" s="78"/>
      <c r="DB58" s="78"/>
      <c r="DC58" s="42"/>
      <c r="DD58" s="42"/>
      <c r="DE58" s="118"/>
      <c r="DF58" s="17" t="s">
        <v>111</v>
      </c>
      <c r="DG58" s="41"/>
      <c r="DH58" s="78"/>
      <c r="DI58" s="78"/>
      <c r="DJ58" s="42"/>
      <c r="DK58" s="42"/>
      <c r="DL58" s="118"/>
      <c r="DM58" s="17" t="s">
        <v>112</v>
      </c>
      <c r="DN58" s="41"/>
      <c r="DO58" s="78"/>
      <c r="DP58" s="78"/>
      <c r="DQ58" s="42"/>
      <c r="DR58" s="42"/>
      <c r="DS58" s="118"/>
      <c r="DT58" s="17" t="s">
        <v>113</v>
      </c>
      <c r="DU58" s="41"/>
      <c r="DV58" s="78"/>
      <c r="DW58" s="78"/>
      <c r="DX58" s="42"/>
      <c r="DY58" s="42"/>
      <c r="DZ58" s="118"/>
      <c r="EA58" s="17" t="s">
        <v>114</v>
      </c>
      <c r="EB58" s="41"/>
      <c r="EC58" s="78"/>
      <c r="ED58" s="78"/>
      <c r="EE58" s="42"/>
      <c r="EF58" s="42"/>
      <c r="EG58" s="118"/>
      <c r="EH58" s="17" t="s">
        <v>115</v>
      </c>
      <c r="EI58" s="41"/>
      <c r="EJ58" s="78"/>
      <c r="EK58" s="78"/>
      <c r="EL58" s="42"/>
      <c r="EM58" s="42"/>
      <c r="EN58" s="118"/>
      <c r="ET58" s="155" t="s">
        <v>83</v>
      </c>
      <c r="EU58" s="59"/>
      <c r="EV58" s="77"/>
      <c r="EW58" s="176"/>
      <c r="EX58" s="179"/>
      <c r="EY58" s="179"/>
      <c r="EZ58" s="122"/>
      <c r="FA58" s="155" t="s">
        <v>90</v>
      </c>
      <c r="FB58" s="39"/>
      <c r="FC58" s="77"/>
      <c r="FD58" s="77"/>
      <c r="FE58" s="179"/>
      <c r="FF58" s="179"/>
      <c r="FG58" s="119"/>
      <c r="FH58" s="155" t="s">
        <v>89</v>
      </c>
      <c r="FI58" s="39"/>
      <c r="FJ58" s="77"/>
      <c r="FK58" s="77"/>
      <c r="FL58" s="179"/>
      <c r="FM58" s="179"/>
      <c r="FN58" s="119"/>
      <c r="FO58" s="155" t="s">
        <v>92</v>
      </c>
      <c r="FP58" s="39"/>
      <c r="FQ58" s="77"/>
      <c r="FR58" s="77"/>
      <c r="FS58" s="179"/>
      <c r="FT58" s="179"/>
      <c r="FU58" s="230"/>
    </row>
    <row r="59" spans="1:177" ht="33.75" customHeight="1" x14ac:dyDescent="0.2">
      <c r="A59" s="115" t="str">
        <f t="shared" si="4"/>
        <v>Calendar 27</v>
      </c>
      <c r="B59" s="69" t="str">
        <f t="shared" si="5"/>
        <v>Country_code</v>
      </c>
      <c r="C59" s="43" t="s">
        <v>187</v>
      </c>
      <c r="D59" s="43"/>
      <c r="E59" s="17" t="s">
        <v>94</v>
      </c>
      <c r="F59" s="39"/>
      <c r="G59" s="78"/>
      <c r="H59" s="78"/>
      <c r="I59" s="42"/>
      <c r="J59" s="42"/>
      <c r="K59" s="119"/>
      <c r="L59" s="17" t="s">
        <v>97</v>
      </c>
      <c r="M59" s="41"/>
      <c r="N59" s="78"/>
      <c r="O59" s="78"/>
      <c r="P59" s="40"/>
      <c r="Q59" s="42"/>
      <c r="R59" s="119"/>
      <c r="S59" s="17" t="s">
        <v>98</v>
      </c>
      <c r="T59" s="41"/>
      <c r="U59" s="78"/>
      <c r="V59" s="78"/>
      <c r="W59" s="42"/>
      <c r="X59" s="42"/>
      <c r="Y59" s="118"/>
      <c r="Z59" s="17" t="s">
        <v>99</v>
      </c>
      <c r="AA59" s="41"/>
      <c r="AB59" s="78"/>
      <c r="AC59" s="78"/>
      <c r="AD59" s="42"/>
      <c r="AE59" s="42"/>
      <c r="AF59" s="118"/>
      <c r="AG59" s="17" t="s">
        <v>100</v>
      </c>
      <c r="AH59" s="41"/>
      <c r="AI59" s="78"/>
      <c r="AJ59" s="78"/>
      <c r="AK59" s="42"/>
      <c r="AL59" s="42"/>
      <c r="AM59" s="118"/>
      <c r="AN59" s="17" t="s">
        <v>101</v>
      </c>
      <c r="AO59" s="41"/>
      <c r="AP59" s="78"/>
      <c r="AQ59" s="78"/>
      <c r="AR59" s="42"/>
      <c r="AS59" s="42"/>
      <c r="AT59" s="118"/>
      <c r="AU59" s="17" t="s">
        <v>157</v>
      </c>
      <c r="AV59" s="41"/>
      <c r="AW59" s="78"/>
      <c r="AX59" s="78"/>
      <c r="AY59" s="42"/>
      <c r="AZ59" s="42"/>
      <c r="BA59" s="118"/>
      <c r="BB59" s="17" t="s">
        <v>103</v>
      </c>
      <c r="BC59" s="41"/>
      <c r="BD59" s="78"/>
      <c r="BE59" s="78"/>
      <c r="BF59" s="42"/>
      <c r="BG59" s="42"/>
      <c r="BH59" s="118"/>
      <c r="BI59" s="17" t="s">
        <v>104</v>
      </c>
      <c r="BJ59" s="39"/>
      <c r="BK59" s="78"/>
      <c r="BL59" s="78"/>
      <c r="BM59" s="42"/>
      <c r="BN59" s="42"/>
      <c r="BO59" s="118"/>
      <c r="BP59" s="17" t="s">
        <v>105</v>
      </c>
      <c r="BQ59" s="41"/>
      <c r="BR59" s="78"/>
      <c r="BS59" s="78"/>
      <c r="BT59" s="42"/>
      <c r="BU59" s="42"/>
      <c r="BV59" s="118"/>
      <c r="BW59" s="17" t="s">
        <v>106</v>
      </c>
      <c r="BX59" s="41"/>
      <c r="BY59" s="80"/>
      <c r="BZ59" s="80"/>
      <c r="CA59" s="42"/>
      <c r="CB59" s="42"/>
      <c r="CC59" s="118"/>
      <c r="CD59" s="17" t="s">
        <v>107</v>
      </c>
      <c r="CE59" s="41"/>
      <c r="CF59" s="78"/>
      <c r="CG59" s="78"/>
      <c r="CH59" s="42"/>
      <c r="CI59" s="42"/>
      <c r="CJ59" s="118"/>
      <c r="CK59" s="17" t="s">
        <v>108</v>
      </c>
      <c r="CL59" s="41"/>
      <c r="CM59" s="78"/>
      <c r="CN59" s="78"/>
      <c r="CO59" s="42"/>
      <c r="CP59" s="42"/>
      <c r="CQ59" s="118"/>
      <c r="CR59" s="17" t="s">
        <v>109</v>
      </c>
      <c r="CS59" s="41"/>
      <c r="CT59" s="78"/>
      <c r="CU59" s="78"/>
      <c r="CV59" s="42"/>
      <c r="CW59" s="42"/>
      <c r="CX59" s="118"/>
      <c r="CY59" s="17" t="s">
        <v>110</v>
      </c>
      <c r="CZ59" s="41"/>
      <c r="DA59" s="78"/>
      <c r="DB59" s="78"/>
      <c r="DC59" s="42"/>
      <c r="DD59" s="42"/>
      <c r="DE59" s="118"/>
      <c r="DF59" s="17" t="s">
        <v>111</v>
      </c>
      <c r="DG59" s="41"/>
      <c r="DH59" s="78"/>
      <c r="DI59" s="78"/>
      <c r="DJ59" s="42"/>
      <c r="DK59" s="42"/>
      <c r="DL59" s="118"/>
      <c r="DM59" s="17" t="s">
        <v>112</v>
      </c>
      <c r="DN59" s="41"/>
      <c r="DO59" s="78"/>
      <c r="DP59" s="78"/>
      <c r="DQ59" s="42"/>
      <c r="DR59" s="42"/>
      <c r="DS59" s="118"/>
      <c r="DT59" s="17" t="s">
        <v>113</v>
      </c>
      <c r="DU59" s="41"/>
      <c r="DV59" s="78"/>
      <c r="DW59" s="78"/>
      <c r="DX59" s="42"/>
      <c r="DY59" s="42"/>
      <c r="DZ59" s="118"/>
      <c r="EA59" s="17" t="s">
        <v>114</v>
      </c>
      <c r="EB59" s="41"/>
      <c r="EC59" s="78"/>
      <c r="ED59" s="78"/>
      <c r="EE59" s="42"/>
      <c r="EF59" s="42"/>
      <c r="EG59" s="118"/>
      <c r="EH59" s="17" t="s">
        <v>115</v>
      </c>
      <c r="EI59" s="41"/>
      <c r="EJ59" s="78"/>
      <c r="EK59" s="78"/>
      <c r="EL59" s="42"/>
      <c r="EM59" s="42"/>
      <c r="EN59" s="118"/>
      <c r="ET59" s="155" t="s">
        <v>83</v>
      </c>
      <c r="EU59" s="59"/>
      <c r="EV59" s="77"/>
      <c r="EW59" s="176"/>
      <c r="EX59" s="179"/>
      <c r="EY59" s="179"/>
      <c r="EZ59" s="122"/>
      <c r="FA59" s="155" t="s">
        <v>90</v>
      </c>
      <c r="FB59" s="41"/>
      <c r="FC59" s="77"/>
      <c r="FD59" s="77"/>
      <c r="FE59" s="179"/>
      <c r="FF59" s="179"/>
      <c r="FG59" s="118"/>
      <c r="FH59" s="155" t="s">
        <v>89</v>
      </c>
      <c r="FI59" s="41"/>
      <c r="FJ59" s="77"/>
      <c r="FK59" s="77"/>
      <c r="FL59" s="179"/>
      <c r="FM59" s="179"/>
      <c r="FN59" s="118"/>
      <c r="FO59" s="155" t="s">
        <v>92</v>
      </c>
      <c r="FP59" s="41"/>
      <c r="FQ59" s="77"/>
      <c r="FR59" s="77"/>
      <c r="FS59" s="179"/>
      <c r="FT59" s="179"/>
      <c r="FU59" s="232"/>
    </row>
    <row r="60" spans="1:177" ht="33.75" customHeight="1" x14ac:dyDescent="0.2">
      <c r="A60" s="115" t="str">
        <f t="shared" si="4"/>
        <v>Calendar 28</v>
      </c>
      <c r="B60" s="69" t="str">
        <f t="shared" si="5"/>
        <v>Country_code</v>
      </c>
      <c r="C60" s="43" t="s">
        <v>188</v>
      </c>
      <c r="D60" s="43"/>
      <c r="E60" s="17" t="s">
        <v>94</v>
      </c>
      <c r="F60" s="39"/>
      <c r="G60" s="78"/>
      <c r="H60" s="78"/>
      <c r="I60" s="42"/>
      <c r="J60" s="42"/>
      <c r="K60" s="119"/>
      <c r="L60" s="17" t="s">
        <v>97</v>
      </c>
      <c r="M60" s="41"/>
      <c r="N60" s="78"/>
      <c r="O60" s="78"/>
      <c r="P60" s="40"/>
      <c r="Q60" s="42"/>
      <c r="R60" s="119"/>
      <c r="S60" s="17" t="s">
        <v>98</v>
      </c>
      <c r="T60" s="41"/>
      <c r="U60" s="78"/>
      <c r="V60" s="78"/>
      <c r="W60" s="42"/>
      <c r="X60" s="42"/>
      <c r="Y60" s="118"/>
      <c r="Z60" s="17" t="s">
        <v>99</v>
      </c>
      <c r="AA60" s="41"/>
      <c r="AB60" s="78"/>
      <c r="AC60" s="78"/>
      <c r="AD60" s="42"/>
      <c r="AE60" s="42"/>
      <c r="AF60" s="118"/>
      <c r="AG60" s="17" t="s">
        <v>100</v>
      </c>
      <c r="AH60" s="41"/>
      <c r="AI60" s="78"/>
      <c r="AJ60" s="78"/>
      <c r="AK60" s="42"/>
      <c r="AL60" s="42"/>
      <c r="AM60" s="118"/>
      <c r="AN60" s="17" t="s">
        <v>101</v>
      </c>
      <c r="AO60" s="41"/>
      <c r="AP60" s="78"/>
      <c r="AQ60" s="78"/>
      <c r="AR60" s="42"/>
      <c r="AS60" s="42"/>
      <c r="AT60" s="118"/>
      <c r="AU60" s="17" t="s">
        <v>157</v>
      </c>
      <c r="AV60" s="41"/>
      <c r="AW60" s="78"/>
      <c r="AX60" s="78"/>
      <c r="AY60" s="42"/>
      <c r="AZ60" s="42"/>
      <c r="BA60" s="118"/>
      <c r="BB60" s="17" t="s">
        <v>103</v>
      </c>
      <c r="BC60" s="41"/>
      <c r="BD60" s="78"/>
      <c r="BE60" s="78"/>
      <c r="BF60" s="42"/>
      <c r="BG60" s="42"/>
      <c r="BH60" s="118"/>
      <c r="BI60" s="17" t="s">
        <v>104</v>
      </c>
      <c r="BJ60" s="39"/>
      <c r="BK60" s="78"/>
      <c r="BL60" s="78"/>
      <c r="BM60" s="42"/>
      <c r="BN60" s="42"/>
      <c r="BO60" s="118"/>
      <c r="BP60" s="17" t="s">
        <v>105</v>
      </c>
      <c r="BQ60" s="41"/>
      <c r="BR60" s="78"/>
      <c r="BS60" s="78"/>
      <c r="BT60" s="42"/>
      <c r="BU60" s="42"/>
      <c r="BV60" s="118"/>
      <c r="BW60" s="17" t="s">
        <v>106</v>
      </c>
      <c r="BX60" s="41"/>
      <c r="BY60" s="80"/>
      <c r="BZ60" s="80"/>
      <c r="CA60" s="42"/>
      <c r="CB60" s="42"/>
      <c r="CC60" s="118"/>
      <c r="CD60" s="17" t="s">
        <v>107</v>
      </c>
      <c r="CE60" s="41"/>
      <c r="CF60" s="78"/>
      <c r="CG60" s="78"/>
      <c r="CH60" s="42"/>
      <c r="CI60" s="42"/>
      <c r="CJ60" s="118"/>
      <c r="CK60" s="17" t="s">
        <v>108</v>
      </c>
      <c r="CL60" s="41"/>
      <c r="CM60" s="78"/>
      <c r="CN60" s="78"/>
      <c r="CO60" s="42"/>
      <c r="CP60" s="42"/>
      <c r="CQ60" s="118"/>
      <c r="CR60" s="17" t="s">
        <v>109</v>
      </c>
      <c r="CS60" s="41"/>
      <c r="CT60" s="78"/>
      <c r="CU60" s="78"/>
      <c r="CV60" s="42"/>
      <c r="CW60" s="42"/>
      <c r="CX60" s="118"/>
      <c r="CY60" s="17" t="s">
        <v>110</v>
      </c>
      <c r="CZ60" s="41"/>
      <c r="DA60" s="78"/>
      <c r="DB60" s="78"/>
      <c r="DC60" s="42"/>
      <c r="DD60" s="42"/>
      <c r="DE60" s="118"/>
      <c r="DF60" s="17" t="s">
        <v>111</v>
      </c>
      <c r="DG60" s="41"/>
      <c r="DH60" s="78"/>
      <c r="DI60" s="78"/>
      <c r="DJ60" s="42"/>
      <c r="DK60" s="42"/>
      <c r="DL60" s="118"/>
      <c r="DM60" s="17" t="s">
        <v>112</v>
      </c>
      <c r="DN60" s="41"/>
      <c r="DO60" s="78"/>
      <c r="DP60" s="78"/>
      <c r="DQ60" s="42"/>
      <c r="DR60" s="42"/>
      <c r="DS60" s="118"/>
      <c r="DT60" s="17" t="s">
        <v>113</v>
      </c>
      <c r="DU60" s="41"/>
      <c r="DV60" s="78"/>
      <c r="DW60" s="78"/>
      <c r="DX60" s="42"/>
      <c r="DY60" s="42"/>
      <c r="DZ60" s="118"/>
      <c r="EA60" s="17" t="s">
        <v>114</v>
      </c>
      <c r="EB60" s="41"/>
      <c r="EC60" s="78"/>
      <c r="ED60" s="78"/>
      <c r="EE60" s="42"/>
      <c r="EF60" s="42"/>
      <c r="EG60" s="118"/>
      <c r="EH60" s="17" t="s">
        <v>115</v>
      </c>
      <c r="EI60" s="41"/>
      <c r="EJ60" s="78"/>
      <c r="EK60" s="78"/>
      <c r="EL60" s="42"/>
      <c r="EM60" s="42"/>
      <c r="EN60" s="118"/>
      <c r="ET60" s="155" t="s">
        <v>83</v>
      </c>
      <c r="EU60" s="59"/>
      <c r="EV60" s="77"/>
      <c r="EW60" s="176"/>
      <c r="EX60" s="179"/>
      <c r="EY60" s="179"/>
      <c r="EZ60" s="122"/>
      <c r="FA60" s="155" t="s">
        <v>90</v>
      </c>
      <c r="FB60" s="39"/>
      <c r="FC60" s="77"/>
      <c r="FD60" s="77"/>
      <c r="FE60" s="179"/>
      <c r="FF60" s="179"/>
      <c r="FG60" s="119"/>
      <c r="FH60" s="155" t="s">
        <v>89</v>
      </c>
      <c r="FI60" s="39"/>
      <c r="FJ60" s="77"/>
      <c r="FK60" s="77"/>
      <c r="FL60" s="179"/>
      <c r="FM60" s="179"/>
      <c r="FN60" s="119"/>
      <c r="FO60" s="155" t="s">
        <v>92</v>
      </c>
      <c r="FP60" s="39"/>
      <c r="FQ60" s="77"/>
      <c r="FR60" s="77"/>
      <c r="FS60" s="179"/>
      <c r="FT60" s="179"/>
      <c r="FU60" s="230"/>
    </row>
    <row r="61" spans="1:177" ht="33.75" customHeight="1" x14ac:dyDescent="0.2">
      <c r="A61" s="115" t="str">
        <f t="shared" si="4"/>
        <v>Calendar 28</v>
      </c>
      <c r="B61" s="69" t="str">
        <f t="shared" si="5"/>
        <v>Country_code</v>
      </c>
      <c r="C61" s="43" t="s">
        <v>188</v>
      </c>
      <c r="D61" s="43"/>
      <c r="E61" s="17" t="s">
        <v>94</v>
      </c>
      <c r="F61" s="39"/>
      <c r="G61" s="78"/>
      <c r="H61" s="78"/>
      <c r="I61" s="42"/>
      <c r="J61" s="42"/>
      <c r="K61" s="119"/>
      <c r="L61" s="17" t="s">
        <v>97</v>
      </c>
      <c r="M61" s="41"/>
      <c r="N61" s="78"/>
      <c r="O61" s="78"/>
      <c r="P61" s="40"/>
      <c r="Q61" s="42"/>
      <c r="R61" s="119"/>
      <c r="S61" s="17" t="s">
        <v>98</v>
      </c>
      <c r="T61" s="41"/>
      <c r="U61" s="78"/>
      <c r="V61" s="78"/>
      <c r="W61" s="42"/>
      <c r="X61" s="42"/>
      <c r="Y61" s="118"/>
      <c r="Z61" s="17" t="s">
        <v>99</v>
      </c>
      <c r="AA61" s="41"/>
      <c r="AB61" s="78"/>
      <c r="AC61" s="78"/>
      <c r="AD61" s="42"/>
      <c r="AE61" s="42"/>
      <c r="AF61" s="118"/>
      <c r="AG61" s="17" t="s">
        <v>100</v>
      </c>
      <c r="AH61" s="41"/>
      <c r="AI61" s="78"/>
      <c r="AJ61" s="78"/>
      <c r="AK61" s="42"/>
      <c r="AL61" s="42"/>
      <c r="AM61" s="118"/>
      <c r="AN61" s="17" t="s">
        <v>101</v>
      </c>
      <c r="AO61" s="41"/>
      <c r="AP61" s="78"/>
      <c r="AQ61" s="78"/>
      <c r="AR61" s="42"/>
      <c r="AS61" s="42"/>
      <c r="AT61" s="118"/>
      <c r="AU61" s="17" t="s">
        <v>157</v>
      </c>
      <c r="AV61" s="41"/>
      <c r="AW61" s="78"/>
      <c r="AX61" s="78"/>
      <c r="AY61" s="42"/>
      <c r="AZ61" s="42"/>
      <c r="BA61" s="118"/>
      <c r="BB61" s="17" t="s">
        <v>103</v>
      </c>
      <c r="BC61" s="41"/>
      <c r="BD61" s="78"/>
      <c r="BE61" s="78"/>
      <c r="BF61" s="42"/>
      <c r="BG61" s="42"/>
      <c r="BH61" s="118"/>
      <c r="BI61" s="17" t="s">
        <v>104</v>
      </c>
      <c r="BJ61" s="39"/>
      <c r="BK61" s="78"/>
      <c r="BL61" s="78"/>
      <c r="BM61" s="42"/>
      <c r="BN61" s="42"/>
      <c r="BO61" s="118"/>
      <c r="BP61" s="17" t="s">
        <v>105</v>
      </c>
      <c r="BQ61" s="41"/>
      <c r="BR61" s="78"/>
      <c r="BS61" s="78"/>
      <c r="BT61" s="42"/>
      <c r="BU61" s="42"/>
      <c r="BV61" s="118"/>
      <c r="BW61" s="17" t="s">
        <v>106</v>
      </c>
      <c r="BX61" s="41"/>
      <c r="BY61" s="80"/>
      <c r="BZ61" s="80"/>
      <c r="CA61" s="42"/>
      <c r="CB61" s="42"/>
      <c r="CC61" s="118"/>
      <c r="CD61" s="17" t="s">
        <v>107</v>
      </c>
      <c r="CE61" s="41"/>
      <c r="CF61" s="78"/>
      <c r="CG61" s="78"/>
      <c r="CH61" s="42"/>
      <c r="CI61" s="42"/>
      <c r="CJ61" s="118"/>
      <c r="CK61" s="17" t="s">
        <v>108</v>
      </c>
      <c r="CL61" s="41"/>
      <c r="CM61" s="78"/>
      <c r="CN61" s="78"/>
      <c r="CO61" s="42"/>
      <c r="CP61" s="42"/>
      <c r="CQ61" s="118"/>
      <c r="CR61" s="17" t="s">
        <v>109</v>
      </c>
      <c r="CS61" s="41"/>
      <c r="CT61" s="78"/>
      <c r="CU61" s="78"/>
      <c r="CV61" s="42"/>
      <c r="CW61" s="42"/>
      <c r="CX61" s="118"/>
      <c r="CY61" s="17" t="s">
        <v>110</v>
      </c>
      <c r="CZ61" s="41"/>
      <c r="DA61" s="78"/>
      <c r="DB61" s="78"/>
      <c r="DC61" s="42"/>
      <c r="DD61" s="42"/>
      <c r="DE61" s="118"/>
      <c r="DF61" s="17" t="s">
        <v>111</v>
      </c>
      <c r="DG61" s="41"/>
      <c r="DH61" s="78"/>
      <c r="DI61" s="78"/>
      <c r="DJ61" s="42"/>
      <c r="DK61" s="42"/>
      <c r="DL61" s="118"/>
      <c r="DM61" s="17" t="s">
        <v>112</v>
      </c>
      <c r="DN61" s="41"/>
      <c r="DO61" s="78"/>
      <c r="DP61" s="78"/>
      <c r="DQ61" s="42"/>
      <c r="DR61" s="42"/>
      <c r="DS61" s="118"/>
      <c r="DT61" s="17" t="s">
        <v>113</v>
      </c>
      <c r="DU61" s="41"/>
      <c r="DV61" s="78"/>
      <c r="DW61" s="78"/>
      <c r="DX61" s="42"/>
      <c r="DY61" s="42"/>
      <c r="DZ61" s="118"/>
      <c r="EA61" s="17" t="s">
        <v>114</v>
      </c>
      <c r="EB61" s="41"/>
      <c r="EC61" s="78"/>
      <c r="ED61" s="78"/>
      <c r="EE61" s="42"/>
      <c r="EF61" s="42"/>
      <c r="EG61" s="118"/>
      <c r="EH61" s="17" t="s">
        <v>115</v>
      </c>
      <c r="EI61" s="41"/>
      <c r="EJ61" s="78"/>
      <c r="EK61" s="78"/>
      <c r="EL61" s="42"/>
      <c r="EM61" s="42"/>
      <c r="EN61" s="118"/>
      <c r="ET61" s="155" t="s">
        <v>83</v>
      </c>
      <c r="EU61" s="59"/>
      <c r="EV61" s="77"/>
      <c r="EW61" s="176"/>
      <c r="EX61" s="179"/>
      <c r="EY61" s="179"/>
      <c r="EZ61" s="122"/>
      <c r="FA61" s="155" t="s">
        <v>90</v>
      </c>
      <c r="FB61" s="41"/>
      <c r="FC61" s="77"/>
      <c r="FD61" s="77"/>
      <c r="FE61" s="179"/>
      <c r="FF61" s="179"/>
      <c r="FG61" s="118"/>
      <c r="FH61" s="155" t="s">
        <v>89</v>
      </c>
      <c r="FI61" s="41"/>
      <c r="FJ61" s="77"/>
      <c r="FK61" s="77"/>
      <c r="FL61" s="179"/>
      <c r="FM61" s="179"/>
      <c r="FN61" s="118"/>
      <c r="FO61" s="155" t="s">
        <v>92</v>
      </c>
      <c r="FP61" s="41"/>
      <c r="FQ61" s="77"/>
      <c r="FR61" s="77"/>
      <c r="FS61" s="179"/>
      <c r="FT61" s="179"/>
      <c r="FU61" s="232"/>
    </row>
    <row r="62" spans="1:177" ht="33.75" customHeight="1" x14ac:dyDescent="0.2">
      <c r="A62" s="115" t="str">
        <f t="shared" si="4"/>
        <v>Calendar 29</v>
      </c>
      <c r="B62" s="69" t="str">
        <f t="shared" si="5"/>
        <v>Country_code</v>
      </c>
      <c r="C62" s="43" t="s">
        <v>189</v>
      </c>
      <c r="D62" s="43"/>
      <c r="E62" s="17" t="s">
        <v>94</v>
      </c>
      <c r="F62" s="39"/>
      <c r="G62" s="78"/>
      <c r="H62" s="78"/>
      <c r="I62" s="42"/>
      <c r="J62" s="42"/>
      <c r="K62" s="119"/>
      <c r="L62" s="17" t="s">
        <v>97</v>
      </c>
      <c r="M62" s="41"/>
      <c r="N62" s="78"/>
      <c r="O62" s="78"/>
      <c r="P62" s="40"/>
      <c r="Q62" s="42"/>
      <c r="R62" s="119"/>
      <c r="S62" s="17" t="s">
        <v>98</v>
      </c>
      <c r="T62" s="41"/>
      <c r="U62" s="78"/>
      <c r="V62" s="78"/>
      <c r="W62" s="42"/>
      <c r="X62" s="42"/>
      <c r="Y62" s="118"/>
      <c r="Z62" s="17" t="s">
        <v>99</v>
      </c>
      <c r="AA62" s="41"/>
      <c r="AB62" s="78"/>
      <c r="AC62" s="78"/>
      <c r="AD62" s="42"/>
      <c r="AE62" s="42"/>
      <c r="AF62" s="118"/>
      <c r="AG62" s="17" t="s">
        <v>100</v>
      </c>
      <c r="AH62" s="41"/>
      <c r="AI62" s="78"/>
      <c r="AJ62" s="78"/>
      <c r="AK62" s="42"/>
      <c r="AL62" s="42"/>
      <c r="AM62" s="118"/>
      <c r="AN62" s="17" t="s">
        <v>101</v>
      </c>
      <c r="AO62" s="41"/>
      <c r="AP62" s="78"/>
      <c r="AQ62" s="78"/>
      <c r="AR62" s="42"/>
      <c r="AS62" s="42"/>
      <c r="AT62" s="118"/>
      <c r="AU62" s="17" t="s">
        <v>157</v>
      </c>
      <c r="AV62" s="41"/>
      <c r="AW62" s="78"/>
      <c r="AX62" s="78"/>
      <c r="AY62" s="42"/>
      <c r="AZ62" s="42"/>
      <c r="BA62" s="118"/>
      <c r="BB62" s="17" t="s">
        <v>103</v>
      </c>
      <c r="BC62" s="41"/>
      <c r="BD62" s="78"/>
      <c r="BE62" s="78"/>
      <c r="BF62" s="42"/>
      <c r="BG62" s="42"/>
      <c r="BH62" s="118"/>
      <c r="BI62" s="17" t="s">
        <v>104</v>
      </c>
      <c r="BJ62" s="39"/>
      <c r="BK62" s="78"/>
      <c r="BL62" s="78"/>
      <c r="BM62" s="42"/>
      <c r="BN62" s="42"/>
      <c r="BO62" s="118"/>
      <c r="BP62" s="17" t="s">
        <v>105</v>
      </c>
      <c r="BQ62" s="41"/>
      <c r="BR62" s="78"/>
      <c r="BS62" s="78"/>
      <c r="BT62" s="42"/>
      <c r="BU62" s="42"/>
      <c r="BV62" s="118"/>
      <c r="BW62" s="17" t="s">
        <v>106</v>
      </c>
      <c r="BX62" s="41"/>
      <c r="BY62" s="80"/>
      <c r="BZ62" s="80"/>
      <c r="CA62" s="42"/>
      <c r="CB62" s="42"/>
      <c r="CC62" s="118"/>
      <c r="CD62" s="17" t="s">
        <v>107</v>
      </c>
      <c r="CE62" s="41"/>
      <c r="CF62" s="78"/>
      <c r="CG62" s="78"/>
      <c r="CH62" s="42"/>
      <c r="CI62" s="42"/>
      <c r="CJ62" s="118"/>
      <c r="CK62" s="17" t="s">
        <v>108</v>
      </c>
      <c r="CL62" s="41"/>
      <c r="CM62" s="78"/>
      <c r="CN62" s="78"/>
      <c r="CO62" s="42"/>
      <c r="CP62" s="42"/>
      <c r="CQ62" s="118"/>
      <c r="CR62" s="17" t="s">
        <v>109</v>
      </c>
      <c r="CS62" s="41"/>
      <c r="CT62" s="78"/>
      <c r="CU62" s="78"/>
      <c r="CV62" s="42"/>
      <c r="CW62" s="42"/>
      <c r="CX62" s="118"/>
      <c r="CY62" s="17" t="s">
        <v>110</v>
      </c>
      <c r="CZ62" s="41"/>
      <c r="DA62" s="78"/>
      <c r="DB62" s="78"/>
      <c r="DC62" s="42"/>
      <c r="DD62" s="42"/>
      <c r="DE62" s="118"/>
      <c r="DF62" s="17" t="s">
        <v>111</v>
      </c>
      <c r="DG62" s="41"/>
      <c r="DH62" s="78"/>
      <c r="DI62" s="78"/>
      <c r="DJ62" s="42"/>
      <c r="DK62" s="42"/>
      <c r="DL62" s="118"/>
      <c r="DM62" s="17" t="s">
        <v>112</v>
      </c>
      <c r="DN62" s="41"/>
      <c r="DO62" s="78"/>
      <c r="DP62" s="78"/>
      <c r="DQ62" s="42"/>
      <c r="DR62" s="42"/>
      <c r="DS62" s="118"/>
      <c r="DT62" s="17" t="s">
        <v>113</v>
      </c>
      <c r="DU62" s="41"/>
      <c r="DV62" s="78"/>
      <c r="DW62" s="78"/>
      <c r="DX62" s="42"/>
      <c r="DY62" s="42"/>
      <c r="DZ62" s="118"/>
      <c r="EA62" s="17" t="s">
        <v>114</v>
      </c>
      <c r="EB62" s="41"/>
      <c r="EC62" s="78"/>
      <c r="ED62" s="78"/>
      <c r="EE62" s="42"/>
      <c r="EF62" s="42"/>
      <c r="EG62" s="118"/>
      <c r="EH62" s="17" t="s">
        <v>115</v>
      </c>
      <c r="EI62" s="41"/>
      <c r="EJ62" s="78"/>
      <c r="EK62" s="78"/>
      <c r="EL62" s="42"/>
      <c r="EM62" s="42"/>
      <c r="EN62" s="118"/>
      <c r="ET62" s="155" t="s">
        <v>83</v>
      </c>
      <c r="EU62" s="59"/>
      <c r="EV62" s="77"/>
      <c r="EW62" s="176"/>
      <c r="EX62" s="179"/>
      <c r="EY62" s="179"/>
      <c r="EZ62" s="122"/>
      <c r="FA62" s="155" t="s">
        <v>90</v>
      </c>
      <c r="FB62" s="39"/>
      <c r="FC62" s="77"/>
      <c r="FD62" s="77"/>
      <c r="FE62" s="179"/>
      <c r="FF62" s="179"/>
      <c r="FG62" s="119"/>
      <c r="FH62" s="155" t="s">
        <v>89</v>
      </c>
      <c r="FI62" s="39"/>
      <c r="FJ62" s="77"/>
      <c r="FK62" s="77"/>
      <c r="FL62" s="179"/>
      <c r="FM62" s="179"/>
      <c r="FN62" s="119"/>
      <c r="FO62" s="155" t="s">
        <v>92</v>
      </c>
      <c r="FP62" s="39"/>
      <c r="FQ62" s="77"/>
      <c r="FR62" s="77"/>
      <c r="FS62" s="179"/>
      <c r="FT62" s="179"/>
      <c r="FU62" s="230"/>
    </row>
    <row r="63" spans="1:177" ht="33.75" customHeight="1" x14ac:dyDescent="0.2">
      <c r="A63" s="115" t="str">
        <f t="shared" si="4"/>
        <v>Calendar 29</v>
      </c>
      <c r="B63" s="69" t="str">
        <f t="shared" si="5"/>
        <v>Country_code</v>
      </c>
      <c r="C63" s="43" t="s">
        <v>189</v>
      </c>
      <c r="D63" s="43"/>
      <c r="E63" s="17" t="s">
        <v>94</v>
      </c>
      <c r="F63" s="39"/>
      <c r="G63" s="78"/>
      <c r="H63" s="78"/>
      <c r="I63" s="42"/>
      <c r="J63" s="42"/>
      <c r="K63" s="119"/>
      <c r="L63" s="17" t="s">
        <v>97</v>
      </c>
      <c r="M63" s="41"/>
      <c r="N63" s="78"/>
      <c r="O63" s="78"/>
      <c r="P63" s="40"/>
      <c r="Q63" s="42"/>
      <c r="R63" s="119"/>
      <c r="S63" s="17" t="s">
        <v>98</v>
      </c>
      <c r="T63" s="41"/>
      <c r="U63" s="78"/>
      <c r="V63" s="78"/>
      <c r="W63" s="42"/>
      <c r="X63" s="42"/>
      <c r="Y63" s="118"/>
      <c r="Z63" s="17" t="s">
        <v>99</v>
      </c>
      <c r="AA63" s="41"/>
      <c r="AB63" s="78"/>
      <c r="AC63" s="78"/>
      <c r="AD63" s="42"/>
      <c r="AE63" s="42"/>
      <c r="AF63" s="118"/>
      <c r="AG63" s="17" t="s">
        <v>100</v>
      </c>
      <c r="AH63" s="41"/>
      <c r="AI63" s="78"/>
      <c r="AJ63" s="78"/>
      <c r="AK63" s="42"/>
      <c r="AL63" s="42"/>
      <c r="AM63" s="118"/>
      <c r="AN63" s="17" t="s">
        <v>101</v>
      </c>
      <c r="AO63" s="41"/>
      <c r="AP63" s="78"/>
      <c r="AQ63" s="78"/>
      <c r="AR63" s="42"/>
      <c r="AS63" s="42"/>
      <c r="AT63" s="118"/>
      <c r="AU63" s="17" t="s">
        <v>157</v>
      </c>
      <c r="AV63" s="41"/>
      <c r="AW63" s="78"/>
      <c r="AX63" s="78"/>
      <c r="AY63" s="42"/>
      <c r="AZ63" s="42"/>
      <c r="BA63" s="118"/>
      <c r="BB63" s="17" t="s">
        <v>103</v>
      </c>
      <c r="BC63" s="41"/>
      <c r="BD63" s="78"/>
      <c r="BE63" s="78"/>
      <c r="BF63" s="42"/>
      <c r="BG63" s="42"/>
      <c r="BH63" s="118"/>
      <c r="BI63" s="17" t="s">
        <v>104</v>
      </c>
      <c r="BJ63" s="39"/>
      <c r="BK63" s="78"/>
      <c r="BL63" s="78"/>
      <c r="BM63" s="42"/>
      <c r="BN63" s="42"/>
      <c r="BO63" s="118"/>
      <c r="BP63" s="17" t="s">
        <v>105</v>
      </c>
      <c r="BQ63" s="41"/>
      <c r="BR63" s="78"/>
      <c r="BS63" s="78"/>
      <c r="BT63" s="42"/>
      <c r="BU63" s="42"/>
      <c r="BV63" s="118"/>
      <c r="BW63" s="17" t="s">
        <v>106</v>
      </c>
      <c r="BX63" s="41"/>
      <c r="BY63" s="80"/>
      <c r="BZ63" s="80"/>
      <c r="CA63" s="42"/>
      <c r="CB63" s="42"/>
      <c r="CC63" s="118"/>
      <c r="CD63" s="17" t="s">
        <v>107</v>
      </c>
      <c r="CE63" s="41"/>
      <c r="CF63" s="78"/>
      <c r="CG63" s="78"/>
      <c r="CH63" s="42"/>
      <c r="CI63" s="42"/>
      <c r="CJ63" s="118"/>
      <c r="CK63" s="17" t="s">
        <v>108</v>
      </c>
      <c r="CL63" s="41"/>
      <c r="CM63" s="78"/>
      <c r="CN63" s="78"/>
      <c r="CO63" s="42"/>
      <c r="CP63" s="42"/>
      <c r="CQ63" s="118"/>
      <c r="CR63" s="17" t="s">
        <v>109</v>
      </c>
      <c r="CS63" s="41"/>
      <c r="CT63" s="78"/>
      <c r="CU63" s="78"/>
      <c r="CV63" s="42"/>
      <c r="CW63" s="42"/>
      <c r="CX63" s="118"/>
      <c r="CY63" s="17" t="s">
        <v>110</v>
      </c>
      <c r="CZ63" s="41"/>
      <c r="DA63" s="78"/>
      <c r="DB63" s="78"/>
      <c r="DC63" s="42"/>
      <c r="DD63" s="42"/>
      <c r="DE63" s="118"/>
      <c r="DF63" s="17" t="s">
        <v>111</v>
      </c>
      <c r="DG63" s="41"/>
      <c r="DH63" s="78"/>
      <c r="DI63" s="78"/>
      <c r="DJ63" s="42"/>
      <c r="DK63" s="42"/>
      <c r="DL63" s="118"/>
      <c r="DM63" s="17" t="s">
        <v>112</v>
      </c>
      <c r="DN63" s="41"/>
      <c r="DO63" s="78"/>
      <c r="DP63" s="78"/>
      <c r="DQ63" s="42"/>
      <c r="DR63" s="42"/>
      <c r="DS63" s="118"/>
      <c r="DT63" s="17" t="s">
        <v>113</v>
      </c>
      <c r="DU63" s="41"/>
      <c r="DV63" s="78"/>
      <c r="DW63" s="78"/>
      <c r="DX63" s="42"/>
      <c r="DY63" s="42"/>
      <c r="DZ63" s="118"/>
      <c r="EA63" s="17" t="s">
        <v>114</v>
      </c>
      <c r="EB63" s="41"/>
      <c r="EC63" s="78"/>
      <c r="ED63" s="78"/>
      <c r="EE63" s="42"/>
      <c r="EF63" s="42"/>
      <c r="EG63" s="118"/>
      <c r="EH63" s="17" t="s">
        <v>115</v>
      </c>
      <c r="EI63" s="41"/>
      <c r="EJ63" s="78"/>
      <c r="EK63" s="78"/>
      <c r="EL63" s="42"/>
      <c r="EM63" s="42"/>
      <c r="EN63" s="118"/>
      <c r="ET63" s="155" t="s">
        <v>83</v>
      </c>
      <c r="EU63" s="59"/>
      <c r="EV63" s="77"/>
      <c r="EW63" s="176"/>
      <c r="EX63" s="179"/>
      <c r="EY63" s="179"/>
      <c r="EZ63" s="122"/>
      <c r="FA63" s="155" t="s">
        <v>90</v>
      </c>
      <c r="FB63" s="41"/>
      <c r="FC63" s="77"/>
      <c r="FD63" s="77"/>
      <c r="FE63" s="179"/>
      <c r="FF63" s="179"/>
      <c r="FG63" s="118"/>
      <c r="FH63" s="155" t="s">
        <v>89</v>
      </c>
      <c r="FI63" s="41"/>
      <c r="FJ63" s="77"/>
      <c r="FK63" s="77"/>
      <c r="FL63" s="179"/>
      <c r="FM63" s="179"/>
      <c r="FN63" s="118"/>
      <c r="FO63" s="155" t="s">
        <v>92</v>
      </c>
      <c r="FP63" s="41"/>
      <c r="FQ63" s="77"/>
      <c r="FR63" s="77"/>
      <c r="FS63" s="179"/>
      <c r="FT63" s="179"/>
      <c r="FU63" s="232"/>
    </row>
    <row r="64" spans="1:177" ht="33.75" customHeight="1" x14ac:dyDescent="0.2">
      <c r="A64" s="115" t="str">
        <f t="shared" si="4"/>
        <v>Calendar 30</v>
      </c>
      <c r="B64" s="69" t="str">
        <f t="shared" si="5"/>
        <v>Country_code</v>
      </c>
      <c r="C64" s="43" t="s">
        <v>190</v>
      </c>
      <c r="D64" s="43"/>
      <c r="E64" s="17" t="s">
        <v>94</v>
      </c>
      <c r="F64" s="39"/>
      <c r="G64" s="78"/>
      <c r="H64" s="78"/>
      <c r="I64" s="42"/>
      <c r="J64" s="42"/>
      <c r="K64" s="119"/>
      <c r="L64" s="17" t="s">
        <v>97</v>
      </c>
      <c r="M64" s="41"/>
      <c r="N64" s="78"/>
      <c r="O64" s="78"/>
      <c r="P64" s="40"/>
      <c r="Q64" s="42"/>
      <c r="R64" s="119"/>
      <c r="S64" s="17" t="s">
        <v>98</v>
      </c>
      <c r="T64" s="41"/>
      <c r="U64" s="78"/>
      <c r="V64" s="78"/>
      <c r="W64" s="42"/>
      <c r="X64" s="42"/>
      <c r="Y64" s="118"/>
      <c r="Z64" s="17" t="s">
        <v>99</v>
      </c>
      <c r="AA64" s="41"/>
      <c r="AB64" s="78"/>
      <c r="AC64" s="78"/>
      <c r="AD64" s="42"/>
      <c r="AE64" s="42"/>
      <c r="AF64" s="118"/>
      <c r="AG64" s="17" t="s">
        <v>100</v>
      </c>
      <c r="AH64" s="41"/>
      <c r="AI64" s="78"/>
      <c r="AJ64" s="78"/>
      <c r="AK64" s="42"/>
      <c r="AL64" s="42"/>
      <c r="AM64" s="118"/>
      <c r="AN64" s="17" t="s">
        <v>101</v>
      </c>
      <c r="AO64" s="41"/>
      <c r="AP64" s="78"/>
      <c r="AQ64" s="78"/>
      <c r="AR64" s="42"/>
      <c r="AS64" s="42"/>
      <c r="AT64" s="118"/>
      <c r="AU64" s="17" t="s">
        <v>157</v>
      </c>
      <c r="AV64" s="41"/>
      <c r="AW64" s="78"/>
      <c r="AX64" s="78"/>
      <c r="AY64" s="42"/>
      <c r="AZ64" s="42"/>
      <c r="BA64" s="118"/>
      <c r="BB64" s="17" t="s">
        <v>103</v>
      </c>
      <c r="BC64" s="41"/>
      <c r="BD64" s="78"/>
      <c r="BE64" s="78"/>
      <c r="BF64" s="42"/>
      <c r="BG64" s="42"/>
      <c r="BH64" s="118"/>
      <c r="BI64" s="17" t="s">
        <v>104</v>
      </c>
      <c r="BJ64" s="39"/>
      <c r="BK64" s="78"/>
      <c r="BL64" s="78"/>
      <c r="BM64" s="42"/>
      <c r="BN64" s="42"/>
      <c r="BO64" s="118"/>
      <c r="BP64" s="17" t="s">
        <v>105</v>
      </c>
      <c r="BQ64" s="41"/>
      <c r="BR64" s="78"/>
      <c r="BS64" s="78"/>
      <c r="BT64" s="42"/>
      <c r="BU64" s="42"/>
      <c r="BV64" s="118"/>
      <c r="BW64" s="17" t="s">
        <v>106</v>
      </c>
      <c r="BX64" s="41"/>
      <c r="BY64" s="80"/>
      <c r="BZ64" s="80"/>
      <c r="CA64" s="42"/>
      <c r="CB64" s="42"/>
      <c r="CC64" s="118"/>
      <c r="CD64" s="17" t="s">
        <v>107</v>
      </c>
      <c r="CE64" s="41"/>
      <c r="CF64" s="78"/>
      <c r="CG64" s="78"/>
      <c r="CH64" s="42"/>
      <c r="CI64" s="42"/>
      <c r="CJ64" s="118"/>
      <c r="CK64" s="17" t="s">
        <v>108</v>
      </c>
      <c r="CL64" s="41"/>
      <c r="CM64" s="78"/>
      <c r="CN64" s="78"/>
      <c r="CO64" s="42"/>
      <c r="CP64" s="42"/>
      <c r="CQ64" s="118"/>
      <c r="CR64" s="17" t="s">
        <v>109</v>
      </c>
      <c r="CS64" s="41"/>
      <c r="CT64" s="78"/>
      <c r="CU64" s="78"/>
      <c r="CV64" s="42"/>
      <c r="CW64" s="42"/>
      <c r="CX64" s="118"/>
      <c r="CY64" s="17" t="s">
        <v>110</v>
      </c>
      <c r="CZ64" s="41"/>
      <c r="DA64" s="78"/>
      <c r="DB64" s="78"/>
      <c r="DC64" s="42"/>
      <c r="DD64" s="42"/>
      <c r="DE64" s="118"/>
      <c r="DF64" s="17" t="s">
        <v>111</v>
      </c>
      <c r="DG64" s="41"/>
      <c r="DH64" s="78"/>
      <c r="DI64" s="78"/>
      <c r="DJ64" s="42"/>
      <c r="DK64" s="42"/>
      <c r="DL64" s="118"/>
      <c r="DM64" s="17" t="s">
        <v>112</v>
      </c>
      <c r="DN64" s="41"/>
      <c r="DO64" s="78"/>
      <c r="DP64" s="78"/>
      <c r="DQ64" s="42"/>
      <c r="DR64" s="42"/>
      <c r="DS64" s="118"/>
      <c r="DT64" s="17" t="s">
        <v>113</v>
      </c>
      <c r="DU64" s="41"/>
      <c r="DV64" s="78"/>
      <c r="DW64" s="78"/>
      <c r="DX64" s="42"/>
      <c r="DY64" s="42"/>
      <c r="DZ64" s="118"/>
      <c r="EA64" s="17" t="s">
        <v>114</v>
      </c>
      <c r="EB64" s="41"/>
      <c r="EC64" s="78"/>
      <c r="ED64" s="78"/>
      <c r="EE64" s="42"/>
      <c r="EF64" s="42"/>
      <c r="EG64" s="118"/>
      <c r="EH64" s="17" t="s">
        <v>115</v>
      </c>
      <c r="EI64" s="41"/>
      <c r="EJ64" s="78"/>
      <c r="EK64" s="78"/>
      <c r="EL64" s="42"/>
      <c r="EM64" s="42"/>
      <c r="EN64" s="118"/>
      <c r="ET64" s="155" t="s">
        <v>83</v>
      </c>
      <c r="EU64" s="59"/>
      <c r="EV64" s="77"/>
      <c r="EW64" s="176"/>
      <c r="EX64" s="179"/>
      <c r="EY64" s="179"/>
      <c r="EZ64" s="122"/>
      <c r="FA64" s="155" t="s">
        <v>90</v>
      </c>
      <c r="FB64" s="39"/>
      <c r="FC64" s="77"/>
      <c r="FD64" s="77"/>
      <c r="FE64" s="179"/>
      <c r="FF64" s="179"/>
      <c r="FG64" s="119"/>
      <c r="FH64" s="155" t="s">
        <v>89</v>
      </c>
      <c r="FI64" s="39"/>
      <c r="FJ64" s="77"/>
      <c r="FK64" s="77"/>
      <c r="FL64" s="179"/>
      <c r="FM64" s="179"/>
      <c r="FN64" s="119"/>
      <c r="FO64" s="155" t="s">
        <v>92</v>
      </c>
      <c r="FP64" s="39"/>
      <c r="FQ64" s="77"/>
      <c r="FR64" s="77"/>
      <c r="FS64" s="179"/>
      <c r="FT64" s="179"/>
      <c r="FU64" s="230"/>
    </row>
    <row r="65" spans="1:177" ht="33.75" customHeight="1" x14ac:dyDescent="0.2">
      <c r="A65" s="115" t="str">
        <f t="shared" si="4"/>
        <v>Calendar 30</v>
      </c>
      <c r="B65" s="69" t="str">
        <f t="shared" si="5"/>
        <v>Country_code</v>
      </c>
      <c r="C65" s="43" t="s">
        <v>190</v>
      </c>
      <c r="D65" s="43"/>
      <c r="E65" s="17" t="s">
        <v>94</v>
      </c>
      <c r="F65" s="39"/>
      <c r="G65" s="78"/>
      <c r="H65" s="78"/>
      <c r="I65" s="42"/>
      <c r="J65" s="42"/>
      <c r="K65" s="119"/>
      <c r="L65" s="17" t="s">
        <v>97</v>
      </c>
      <c r="M65" s="41"/>
      <c r="N65" s="78"/>
      <c r="O65" s="78"/>
      <c r="P65" s="40"/>
      <c r="Q65" s="42"/>
      <c r="R65" s="119"/>
      <c r="S65" s="17" t="s">
        <v>98</v>
      </c>
      <c r="T65" s="41"/>
      <c r="U65" s="78"/>
      <c r="V65" s="78"/>
      <c r="W65" s="42"/>
      <c r="X65" s="42"/>
      <c r="Y65" s="118"/>
      <c r="Z65" s="17" t="s">
        <v>99</v>
      </c>
      <c r="AA65" s="41"/>
      <c r="AB65" s="78"/>
      <c r="AC65" s="78"/>
      <c r="AD65" s="42"/>
      <c r="AE65" s="42"/>
      <c r="AF65" s="118"/>
      <c r="AG65" s="17" t="s">
        <v>100</v>
      </c>
      <c r="AH65" s="41"/>
      <c r="AI65" s="78"/>
      <c r="AJ65" s="78"/>
      <c r="AK65" s="42"/>
      <c r="AL65" s="42"/>
      <c r="AM65" s="118"/>
      <c r="AN65" s="17" t="s">
        <v>101</v>
      </c>
      <c r="AO65" s="41"/>
      <c r="AP65" s="78"/>
      <c r="AQ65" s="78"/>
      <c r="AR65" s="42"/>
      <c r="AS65" s="42"/>
      <c r="AT65" s="118"/>
      <c r="AU65" s="17" t="s">
        <v>157</v>
      </c>
      <c r="AV65" s="41"/>
      <c r="AW65" s="78"/>
      <c r="AX65" s="78"/>
      <c r="AY65" s="42"/>
      <c r="AZ65" s="42"/>
      <c r="BA65" s="118"/>
      <c r="BB65" s="17" t="s">
        <v>103</v>
      </c>
      <c r="BC65" s="41"/>
      <c r="BD65" s="78"/>
      <c r="BE65" s="78"/>
      <c r="BF65" s="42"/>
      <c r="BG65" s="42"/>
      <c r="BH65" s="118"/>
      <c r="BI65" s="17" t="s">
        <v>104</v>
      </c>
      <c r="BJ65" s="39"/>
      <c r="BK65" s="78"/>
      <c r="BL65" s="78"/>
      <c r="BM65" s="42"/>
      <c r="BN65" s="42"/>
      <c r="BO65" s="118"/>
      <c r="BP65" s="17" t="s">
        <v>105</v>
      </c>
      <c r="BQ65" s="41"/>
      <c r="BR65" s="78"/>
      <c r="BS65" s="78"/>
      <c r="BT65" s="42"/>
      <c r="BU65" s="42"/>
      <c r="BV65" s="118"/>
      <c r="BW65" s="17" t="s">
        <v>106</v>
      </c>
      <c r="BX65" s="41"/>
      <c r="BY65" s="80"/>
      <c r="BZ65" s="80"/>
      <c r="CA65" s="42"/>
      <c r="CB65" s="42"/>
      <c r="CC65" s="118"/>
      <c r="CD65" s="17" t="s">
        <v>107</v>
      </c>
      <c r="CE65" s="41"/>
      <c r="CF65" s="78"/>
      <c r="CG65" s="78"/>
      <c r="CH65" s="42"/>
      <c r="CI65" s="42"/>
      <c r="CJ65" s="118"/>
      <c r="CK65" s="17" t="s">
        <v>108</v>
      </c>
      <c r="CL65" s="41"/>
      <c r="CM65" s="78"/>
      <c r="CN65" s="78"/>
      <c r="CO65" s="42"/>
      <c r="CP65" s="42"/>
      <c r="CQ65" s="118"/>
      <c r="CR65" s="17" t="s">
        <v>109</v>
      </c>
      <c r="CS65" s="41"/>
      <c r="CT65" s="78"/>
      <c r="CU65" s="78"/>
      <c r="CV65" s="42"/>
      <c r="CW65" s="42"/>
      <c r="CX65" s="118"/>
      <c r="CY65" s="17" t="s">
        <v>110</v>
      </c>
      <c r="CZ65" s="41"/>
      <c r="DA65" s="78"/>
      <c r="DB65" s="78"/>
      <c r="DC65" s="42"/>
      <c r="DD65" s="42"/>
      <c r="DE65" s="118"/>
      <c r="DF65" s="17" t="s">
        <v>111</v>
      </c>
      <c r="DG65" s="41"/>
      <c r="DH65" s="78"/>
      <c r="DI65" s="78"/>
      <c r="DJ65" s="42"/>
      <c r="DK65" s="42"/>
      <c r="DL65" s="118"/>
      <c r="DM65" s="17" t="s">
        <v>112</v>
      </c>
      <c r="DN65" s="41"/>
      <c r="DO65" s="78"/>
      <c r="DP65" s="78"/>
      <c r="DQ65" s="42"/>
      <c r="DR65" s="42"/>
      <c r="DS65" s="118"/>
      <c r="DT65" s="17" t="s">
        <v>113</v>
      </c>
      <c r="DU65" s="41"/>
      <c r="DV65" s="78"/>
      <c r="DW65" s="78"/>
      <c r="DX65" s="42"/>
      <c r="DY65" s="42"/>
      <c r="DZ65" s="118"/>
      <c r="EA65" s="17" t="s">
        <v>114</v>
      </c>
      <c r="EB65" s="41"/>
      <c r="EC65" s="78"/>
      <c r="ED65" s="78"/>
      <c r="EE65" s="42"/>
      <c r="EF65" s="42"/>
      <c r="EG65" s="118"/>
      <c r="EH65" s="17" t="s">
        <v>115</v>
      </c>
      <c r="EI65" s="41"/>
      <c r="EJ65" s="78"/>
      <c r="EK65" s="78"/>
      <c r="EL65" s="42"/>
      <c r="EM65" s="42"/>
      <c r="EN65" s="118"/>
      <c r="ET65" s="155" t="s">
        <v>83</v>
      </c>
      <c r="EU65" s="59"/>
      <c r="EV65" s="77"/>
      <c r="EW65" s="176"/>
      <c r="EX65" s="179"/>
      <c r="EY65" s="179"/>
      <c r="EZ65" s="122"/>
      <c r="FA65" s="155" t="s">
        <v>90</v>
      </c>
      <c r="FB65" s="41"/>
      <c r="FC65" s="77"/>
      <c r="FD65" s="77"/>
      <c r="FE65" s="179"/>
      <c r="FF65" s="179"/>
      <c r="FG65" s="118"/>
      <c r="FH65" s="155" t="s">
        <v>89</v>
      </c>
      <c r="FI65" s="41"/>
      <c r="FJ65" s="77"/>
      <c r="FK65" s="77"/>
      <c r="FL65" s="179"/>
      <c r="FM65" s="179"/>
      <c r="FN65" s="118"/>
      <c r="FO65" s="155" t="s">
        <v>92</v>
      </c>
      <c r="FP65" s="41"/>
      <c r="FQ65" s="77"/>
      <c r="FR65" s="77"/>
      <c r="FS65" s="179"/>
      <c r="FT65" s="179"/>
      <c r="FU65" s="232"/>
    </row>
    <row r="66" spans="1:177" ht="33.75" customHeight="1" x14ac:dyDescent="0.2">
      <c r="A66" s="115" t="str">
        <f t="shared" si="4"/>
        <v>Calendar 31</v>
      </c>
      <c r="B66" s="69" t="str">
        <f t="shared" si="5"/>
        <v>Country_code</v>
      </c>
      <c r="C66" s="43" t="s">
        <v>191</v>
      </c>
      <c r="D66" s="43"/>
      <c r="E66" s="17" t="s">
        <v>94</v>
      </c>
      <c r="F66" s="39"/>
      <c r="G66" s="78"/>
      <c r="H66" s="78"/>
      <c r="I66" s="42"/>
      <c r="J66" s="42"/>
      <c r="K66" s="119"/>
      <c r="L66" s="17" t="s">
        <v>97</v>
      </c>
      <c r="M66" s="41"/>
      <c r="N66" s="78"/>
      <c r="O66" s="78"/>
      <c r="P66" s="40"/>
      <c r="Q66" s="42"/>
      <c r="R66" s="119"/>
      <c r="S66" s="17" t="s">
        <v>98</v>
      </c>
      <c r="T66" s="41"/>
      <c r="U66" s="78"/>
      <c r="V66" s="78"/>
      <c r="W66" s="42"/>
      <c r="X66" s="42"/>
      <c r="Y66" s="118"/>
      <c r="Z66" s="17" t="s">
        <v>99</v>
      </c>
      <c r="AA66" s="41"/>
      <c r="AB66" s="78"/>
      <c r="AC66" s="78"/>
      <c r="AD66" s="42"/>
      <c r="AE66" s="42"/>
      <c r="AF66" s="118"/>
      <c r="AG66" s="17" t="s">
        <v>100</v>
      </c>
      <c r="AH66" s="41"/>
      <c r="AI66" s="78"/>
      <c r="AJ66" s="78"/>
      <c r="AK66" s="42"/>
      <c r="AL66" s="42"/>
      <c r="AM66" s="118"/>
      <c r="AN66" s="17" t="s">
        <v>101</v>
      </c>
      <c r="AO66" s="41"/>
      <c r="AP66" s="78"/>
      <c r="AQ66" s="78"/>
      <c r="AR66" s="42"/>
      <c r="AS66" s="42"/>
      <c r="AT66" s="118"/>
      <c r="AU66" s="17"/>
      <c r="AV66" s="41"/>
      <c r="AW66" s="78"/>
      <c r="AX66" s="78"/>
      <c r="AY66" s="42"/>
      <c r="AZ66" s="42"/>
      <c r="BA66" s="118"/>
      <c r="BB66" s="17" t="s">
        <v>103</v>
      </c>
      <c r="BC66" s="41"/>
      <c r="BD66" s="78"/>
      <c r="BE66" s="78"/>
      <c r="BF66" s="42"/>
      <c r="BG66" s="42"/>
      <c r="BH66" s="118"/>
      <c r="BI66" s="17" t="s">
        <v>104</v>
      </c>
      <c r="BJ66" s="39"/>
      <c r="BK66" s="78"/>
      <c r="BL66" s="78"/>
      <c r="BM66" s="42"/>
      <c r="BN66" s="42"/>
      <c r="BO66" s="118"/>
      <c r="BP66" s="17" t="s">
        <v>105</v>
      </c>
      <c r="BQ66" s="41"/>
      <c r="BR66" s="78"/>
      <c r="BS66" s="78"/>
      <c r="BT66" s="42"/>
      <c r="BU66" s="42"/>
      <c r="BV66" s="118"/>
      <c r="BW66" s="17" t="s">
        <v>106</v>
      </c>
      <c r="BX66" s="41"/>
      <c r="BY66" s="80"/>
      <c r="BZ66" s="80"/>
      <c r="CA66" s="42"/>
      <c r="CB66" s="42"/>
      <c r="CC66" s="118"/>
      <c r="CD66" s="17" t="s">
        <v>107</v>
      </c>
      <c r="CE66" s="41"/>
      <c r="CF66" s="78"/>
      <c r="CG66" s="78"/>
      <c r="CH66" s="42"/>
      <c r="CI66" s="42"/>
      <c r="CJ66" s="118"/>
      <c r="CK66" s="17" t="s">
        <v>108</v>
      </c>
      <c r="CL66" s="41"/>
      <c r="CM66" s="78"/>
      <c r="CN66" s="78"/>
      <c r="CO66" s="42"/>
      <c r="CP66" s="42"/>
      <c r="CQ66" s="118"/>
      <c r="CR66" s="17" t="s">
        <v>109</v>
      </c>
      <c r="CS66" s="41"/>
      <c r="CT66" s="78"/>
      <c r="CU66" s="78"/>
      <c r="CV66" s="42"/>
      <c r="CW66" s="42"/>
      <c r="CX66" s="118"/>
      <c r="CY66" s="17" t="s">
        <v>110</v>
      </c>
      <c r="CZ66" s="41"/>
      <c r="DA66" s="78"/>
      <c r="DB66" s="78"/>
      <c r="DC66" s="42"/>
      <c r="DD66" s="42"/>
      <c r="DE66" s="118"/>
      <c r="DF66" s="17" t="s">
        <v>111</v>
      </c>
      <c r="DG66" s="41"/>
      <c r="DH66" s="78"/>
      <c r="DI66" s="78"/>
      <c r="DJ66" s="42"/>
      <c r="DK66" s="42"/>
      <c r="DL66" s="118"/>
      <c r="DM66" s="17" t="s">
        <v>112</v>
      </c>
      <c r="DN66" s="41"/>
      <c r="DO66" s="78"/>
      <c r="DP66" s="78"/>
      <c r="DQ66" s="42"/>
      <c r="DR66" s="42"/>
      <c r="DS66" s="118"/>
      <c r="DT66" s="17" t="s">
        <v>113</v>
      </c>
      <c r="DU66" s="41"/>
      <c r="DV66" s="78"/>
      <c r="DW66" s="78"/>
      <c r="DX66" s="42"/>
      <c r="DY66" s="42"/>
      <c r="DZ66" s="118"/>
      <c r="EA66" s="17" t="s">
        <v>114</v>
      </c>
      <c r="EB66" s="41"/>
      <c r="EC66" s="78"/>
      <c r="ED66" s="78"/>
      <c r="EE66" s="42"/>
      <c r="EF66" s="42"/>
      <c r="EG66" s="118"/>
      <c r="EH66" s="17" t="s">
        <v>115</v>
      </c>
      <c r="EI66" s="41"/>
      <c r="EJ66" s="78"/>
      <c r="EK66" s="78"/>
      <c r="EL66" s="42"/>
      <c r="EM66" s="42"/>
      <c r="EN66" s="118"/>
      <c r="ET66" s="155" t="s">
        <v>83</v>
      </c>
      <c r="EU66" s="59"/>
      <c r="EV66" s="77"/>
      <c r="EW66" s="176"/>
      <c r="EX66" s="179"/>
      <c r="EY66" s="179"/>
      <c r="EZ66" s="122"/>
      <c r="FA66" s="155" t="s">
        <v>90</v>
      </c>
      <c r="FB66" s="41"/>
      <c r="FC66" s="77"/>
      <c r="FD66" s="77"/>
      <c r="FE66" s="179"/>
      <c r="FF66" s="179"/>
      <c r="FG66" s="118"/>
      <c r="FH66" s="155" t="s">
        <v>89</v>
      </c>
      <c r="FI66" s="41"/>
      <c r="FJ66" s="77"/>
      <c r="FK66" s="77"/>
      <c r="FL66" s="179"/>
      <c r="FM66" s="179"/>
      <c r="FN66" s="118"/>
      <c r="FO66" s="155" t="s">
        <v>92</v>
      </c>
      <c r="FP66" s="41"/>
      <c r="FQ66" s="77"/>
      <c r="FR66" s="77"/>
      <c r="FS66" s="179"/>
      <c r="FT66" s="179"/>
      <c r="FU66" s="232"/>
    </row>
    <row r="67" spans="1:177" ht="33.75" customHeight="1" x14ac:dyDescent="0.2">
      <c r="A67" s="115" t="str">
        <f t="shared" si="4"/>
        <v>Calendar 31</v>
      </c>
      <c r="B67" s="69" t="str">
        <f t="shared" si="5"/>
        <v>Country_code</v>
      </c>
      <c r="C67" s="43" t="s">
        <v>191</v>
      </c>
      <c r="D67" s="43"/>
      <c r="E67" s="17" t="s">
        <v>94</v>
      </c>
      <c r="F67" s="39"/>
      <c r="G67" s="78"/>
      <c r="H67" s="78"/>
      <c r="I67" s="42"/>
      <c r="J67" s="42"/>
      <c r="K67" s="119"/>
      <c r="L67" s="17" t="s">
        <v>97</v>
      </c>
      <c r="M67" s="41"/>
      <c r="N67" s="78"/>
      <c r="O67" s="78"/>
      <c r="P67" s="40"/>
      <c r="Q67" s="42"/>
      <c r="R67" s="119"/>
      <c r="S67" s="17" t="s">
        <v>98</v>
      </c>
      <c r="T67" s="41"/>
      <c r="U67" s="78"/>
      <c r="V67" s="78"/>
      <c r="W67" s="42"/>
      <c r="X67" s="42"/>
      <c r="Y67" s="118"/>
      <c r="Z67" s="17" t="s">
        <v>99</v>
      </c>
      <c r="AA67" s="41"/>
      <c r="AB67" s="78"/>
      <c r="AC67" s="78"/>
      <c r="AD67" s="42"/>
      <c r="AE67" s="42"/>
      <c r="AF67" s="118"/>
      <c r="AG67" s="17" t="s">
        <v>100</v>
      </c>
      <c r="AH67" s="41"/>
      <c r="AI67" s="78"/>
      <c r="AJ67" s="78"/>
      <c r="AK67" s="42"/>
      <c r="AL67" s="42"/>
      <c r="AM67" s="118"/>
      <c r="AN67" s="17" t="s">
        <v>101</v>
      </c>
      <c r="AO67" s="41"/>
      <c r="AP67" s="78"/>
      <c r="AQ67" s="78"/>
      <c r="AR67" s="42"/>
      <c r="AS67" s="42"/>
      <c r="AT67" s="118"/>
      <c r="AU67" s="17"/>
      <c r="AV67" s="41"/>
      <c r="AW67" s="78"/>
      <c r="AX67" s="78"/>
      <c r="AY67" s="42"/>
      <c r="AZ67" s="42"/>
      <c r="BA67" s="118"/>
      <c r="BB67" s="17" t="s">
        <v>103</v>
      </c>
      <c r="BC67" s="41"/>
      <c r="BD67" s="78"/>
      <c r="BE67" s="78"/>
      <c r="BF67" s="42"/>
      <c r="BG67" s="42"/>
      <c r="BH67" s="118"/>
      <c r="BI67" s="17" t="s">
        <v>104</v>
      </c>
      <c r="BJ67" s="39"/>
      <c r="BK67" s="78"/>
      <c r="BL67" s="78"/>
      <c r="BM67" s="42"/>
      <c r="BN67" s="42"/>
      <c r="BO67" s="118"/>
      <c r="BP67" s="17" t="s">
        <v>105</v>
      </c>
      <c r="BQ67" s="41"/>
      <c r="BR67" s="78"/>
      <c r="BS67" s="78"/>
      <c r="BT67" s="42"/>
      <c r="BU67" s="42"/>
      <c r="BV67" s="118"/>
      <c r="BW67" s="17" t="s">
        <v>106</v>
      </c>
      <c r="BX67" s="41"/>
      <c r="BY67" s="80"/>
      <c r="BZ67" s="80"/>
      <c r="CA67" s="42"/>
      <c r="CB67" s="42"/>
      <c r="CC67" s="118"/>
      <c r="CD67" s="17" t="s">
        <v>107</v>
      </c>
      <c r="CE67" s="41"/>
      <c r="CF67" s="78"/>
      <c r="CG67" s="78"/>
      <c r="CH67" s="42"/>
      <c r="CI67" s="42"/>
      <c r="CJ67" s="118"/>
      <c r="CK67" s="17" t="s">
        <v>108</v>
      </c>
      <c r="CL67" s="41"/>
      <c r="CM67" s="78"/>
      <c r="CN67" s="78"/>
      <c r="CO67" s="42"/>
      <c r="CP67" s="42"/>
      <c r="CQ67" s="118"/>
      <c r="CR67" s="17" t="s">
        <v>109</v>
      </c>
      <c r="CS67" s="41"/>
      <c r="CT67" s="78"/>
      <c r="CU67" s="78"/>
      <c r="CV67" s="42"/>
      <c r="CW67" s="42"/>
      <c r="CX67" s="118"/>
      <c r="CY67" s="17" t="s">
        <v>110</v>
      </c>
      <c r="CZ67" s="41"/>
      <c r="DA67" s="78"/>
      <c r="DB67" s="78"/>
      <c r="DC67" s="42"/>
      <c r="DD67" s="42"/>
      <c r="DE67" s="118"/>
      <c r="DF67" s="17" t="s">
        <v>111</v>
      </c>
      <c r="DG67" s="41"/>
      <c r="DH67" s="78"/>
      <c r="DI67" s="78"/>
      <c r="DJ67" s="42"/>
      <c r="DK67" s="42"/>
      <c r="DL67" s="118"/>
      <c r="DM67" s="17" t="s">
        <v>112</v>
      </c>
      <c r="DN67" s="41"/>
      <c r="DO67" s="78"/>
      <c r="DP67" s="78"/>
      <c r="DQ67" s="42"/>
      <c r="DR67" s="42"/>
      <c r="DS67" s="118"/>
      <c r="DT67" s="17" t="s">
        <v>113</v>
      </c>
      <c r="DU67" s="41"/>
      <c r="DV67" s="78"/>
      <c r="DW67" s="78"/>
      <c r="DX67" s="42"/>
      <c r="DY67" s="42"/>
      <c r="DZ67" s="118"/>
      <c r="EA67" s="17" t="s">
        <v>114</v>
      </c>
      <c r="EB67" s="41"/>
      <c r="EC67" s="78"/>
      <c r="ED67" s="78"/>
      <c r="EE67" s="42"/>
      <c r="EF67" s="42"/>
      <c r="EG67" s="118"/>
      <c r="EH67" s="17" t="s">
        <v>115</v>
      </c>
      <c r="EI67" s="41"/>
      <c r="EJ67" s="78"/>
      <c r="EK67" s="78"/>
      <c r="EL67" s="42"/>
      <c r="EM67" s="42"/>
      <c r="EN67" s="118"/>
      <c r="ET67" s="155" t="s">
        <v>83</v>
      </c>
      <c r="EU67" s="59"/>
      <c r="EV67" s="77"/>
      <c r="EW67" s="176"/>
      <c r="EX67" s="179"/>
      <c r="EY67" s="179"/>
      <c r="EZ67" s="122"/>
      <c r="FA67" s="155" t="s">
        <v>90</v>
      </c>
      <c r="FB67" s="41"/>
      <c r="FC67" s="77"/>
      <c r="FD67" s="77"/>
      <c r="FE67" s="179"/>
      <c r="FF67" s="179"/>
      <c r="FG67" s="118"/>
      <c r="FH67" s="155" t="s">
        <v>89</v>
      </c>
      <c r="FI67" s="41"/>
      <c r="FJ67" s="77"/>
      <c r="FK67" s="77"/>
      <c r="FL67" s="179"/>
      <c r="FM67" s="179"/>
      <c r="FN67" s="118"/>
      <c r="FO67" s="155" t="s">
        <v>92</v>
      </c>
      <c r="FP67" s="41"/>
      <c r="FQ67" s="77"/>
      <c r="FR67" s="77"/>
      <c r="FS67" s="179"/>
      <c r="FT67" s="179"/>
      <c r="FU67" s="232"/>
    </row>
    <row r="68" spans="1:177" ht="33.75" customHeight="1" x14ac:dyDescent="0.2">
      <c r="A68" s="115" t="str">
        <f t="shared" si="4"/>
        <v>Calendar 32</v>
      </c>
      <c r="B68" s="69" t="str">
        <f t="shared" si="5"/>
        <v>Country_code</v>
      </c>
      <c r="C68" s="43" t="s">
        <v>192</v>
      </c>
      <c r="D68" s="43"/>
      <c r="E68" s="17" t="s">
        <v>94</v>
      </c>
      <c r="F68" s="39"/>
      <c r="G68" s="78"/>
      <c r="H68" s="78"/>
      <c r="I68" s="42"/>
      <c r="J68" s="42"/>
      <c r="K68" s="119"/>
      <c r="L68" s="17" t="s">
        <v>97</v>
      </c>
      <c r="M68" s="41"/>
      <c r="N68" s="78"/>
      <c r="O68" s="78"/>
      <c r="P68" s="40"/>
      <c r="Q68" s="42"/>
      <c r="R68" s="119"/>
      <c r="S68" s="17" t="s">
        <v>98</v>
      </c>
      <c r="T68" s="41"/>
      <c r="U68" s="78"/>
      <c r="V68" s="78"/>
      <c r="W68" s="42"/>
      <c r="X68" s="42"/>
      <c r="Y68" s="118"/>
      <c r="Z68" s="17" t="s">
        <v>99</v>
      </c>
      <c r="AA68" s="41"/>
      <c r="AB68" s="78"/>
      <c r="AC68" s="78"/>
      <c r="AD68" s="42"/>
      <c r="AE68" s="42"/>
      <c r="AF68" s="118"/>
      <c r="AG68" s="17" t="s">
        <v>100</v>
      </c>
      <c r="AH68" s="41"/>
      <c r="AI68" s="78"/>
      <c r="AJ68" s="78"/>
      <c r="AK68" s="42"/>
      <c r="AL68" s="42"/>
      <c r="AM68" s="118"/>
      <c r="AN68" s="17" t="s">
        <v>101</v>
      </c>
      <c r="AO68" s="41"/>
      <c r="AP68" s="78"/>
      <c r="AQ68" s="78"/>
      <c r="AR68" s="42"/>
      <c r="AS68" s="42"/>
      <c r="AT68" s="118"/>
      <c r="AU68" s="17" t="s">
        <v>157</v>
      </c>
      <c r="AV68" s="41"/>
      <c r="AW68" s="78"/>
      <c r="AX68" s="78"/>
      <c r="AY68" s="42"/>
      <c r="AZ68" s="42"/>
      <c r="BA68" s="118"/>
      <c r="BB68" s="17" t="s">
        <v>103</v>
      </c>
      <c r="BC68" s="41"/>
      <c r="BD68" s="78"/>
      <c r="BE68" s="78"/>
      <c r="BF68" s="42"/>
      <c r="BG68" s="42"/>
      <c r="BH68" s="118"/>
      <c r="BI68" s="17" t="s">
        <v>104</v>
      </c>
      <c r="BJ68" s="39"/>
      <c r="BK68" s="78"/>
      <c r="BL68" s="78"/>
      <c r="BM68" s="42"/>
      <c r="BN68" s="42"/>
      <c r="BO68" s="118"/>
      <c r="BP68" s="17" t="s">
        <v>105</v>
      </c>
      <c r="BQ68" s="41"/>
      <c r="BR68" s="78"/>
      <c r="BS68" s="78"/>
      <c r="BT68" s="42"/>
      <c r="BU68" s="42"/>
      <c r="BV68" s="118"/>
      <c r="BW68" s="17" t="s">
        <v>106</v>
      </c>
      <c r="BX68" s="41"/>
      <c r="BY68" s="80"/>
      <c r="BZ68" s="80"/>
      <c r="CA68" s="42"/>
      <c r="CB68" s="42"/>
      <c r="CC68" s="118"/>
      <c r="CD68" s="17" t="s">
        <v>107</v>
      </c>
      <c r="CE68" s="41"/>
      <c r="CF68" s="78"/>
      <c r="CG68" s="78"/>
      <c r="CH68" s="42"/>
      <c r="CI68" s="42"/>
      <c r="CJ68" s="118"/>
      <c r="CK68" s="17" t="s">
        <v>108</v>
      </c>
      <c r="CL68" s="41"/>
      <c r="CM68" s="78"/>
      <c r="CN68" s="78"/>
      <c r="CO68" s="42"/>
      <c r="CP68" s="42"/>
      <c r="CQ68" s="118"/>
      <c r="CR68" s="17" t="s">
        <v>109</v>
      </c>
      <c r="CS68" s="41"/>
      <c r="CT68" s="78"/>
      <c r="CU68" s="78"/>
      <c r="CV68" s="42"/>
      <c r="CW68" s="42"/>
      <c r="CX68" s="118"/>
      <c r="CY68" s="17" t="s">
        <v>110</v>
      </c>
      <c r="CZ68" s="41"/>
      <c r="DA68" s="78"/>
      <c r="DB68" s="78"/>
      <c r="DC68" s="42"/>
      <c r="DD68" s="42"/>
      <c r="DE68" s="118"/>
      <c r="DF68" s="17" t="s">
        <v>111</v>
      </c>
      <c r="DG68" s="41"/>
      <c r="DH68" s="78"/>
      <c r="DI68" s="78"/>
      <c r="DJ68" s="42"/>
      <c r="DK68" s="42"/>
      <c r="DL68" s="118"/>
      <c r="DM68" s="17" t="s">
        <v>112</v>
      </c>
      <c r="DN68" s="41"/>
      <c r="DO68" s="78"/>
      <c r="DP68" s="78"/>
      <c r="DQ68" s="42"/>
      <c r="DR68" s="42"/>
      <c r="DS68" s="118"/>
      <c r="DT68" s="17" t="s">
        <v>113</v>
      </c>
      <c r="DU68" s="41"/>
      <c r="DV68" s="78"/>
      <c r="DW68" s="78"/>
      <c r="DX68" s="42"/>
      <c r="DY68" s="42"/>
      <c r="DZ68" s="118"/>
      <c r="EA68" s="17" t="s">
        <v>114</v>
      </c>
      <c r="EB68" s="41"/>
      <c r="EC68" s="78"/>
      <c r="ED68" s="78"/>
      <c r="EE68" s="42"/>
      <c r="EF68" s="42"/>
      <c r="EG68" s="118"/>
      <c r="EH68" s="17" t="s">
        <v>115</v>
      </c>
      <c r="EI68" s="41"/>
      <c r="EJ68" s="78"/>
      <c r="EK68" s="78"/>
      <c r="EL68" s="42"/>
      <c r="EM68" s="42"/>
      <c r="EN68" s="118"/>
      <c r="ET68" s="155" t="s">
        <v>83</v>
      </c>
      <c r="EU68" s="59"/>
      <c r="EV68" s="77"/>
      <c r="EW68" s="176"/>
      <c r="EX68" s="179"/>
      <c r="EY68" s="179"/>
      <c r="EZ68" s="122"/>
      <c r="FA68" s="155" t="s">
        <v>90</v>
      </c>
      <c r="FB68" s="39"/>
      <c r="FC68" s="77"/>
      <c r="FD68" s="77"/>
      <c r="FE68" s="179"/>
      <c r="FF68" s="179"/>
      <c r="FG68" s="119"/>
      <c r="FH68" s="155" t="s">
        <v>89</v>
      </c>
      <c r="FI68" s="39"/>
      <c r="FJ68" s="77"/>
      <c r="FK68" s="77"/>
      <c r="FL68" s="179"/>
      <c r="FM68" s="179"/>
      <c r="FN68" s="119"/>
      <c r="FO68" s="155" t="s">
        <v>92</v>
      </c>
      <c r="FP68" s="39"/>
      <c r="FQ68" s="77"/>
      <c r="FR68" s="77"/>
      <c r="FS68" s="179"/>
      <c r="FT68" s="179"/>
      <c r="FU68" s="230"/>
    </row>
    <row r="69" spans="1:177" ht="33.75" customHeight="1" x14ac:dyDescent="0.2">
      <c r="A69" s="115" t="str">
        <f t="shared" ref="A69:A79" si="6">C69</f>
        <v>Calendar 32</v>
      </c>
      <c r="B69" s="69" t="str">
        <f t="shared" si="5"/>
        <v>Country_code</v>
      </c>
      <c r="C69" s="43" t="s">
        <v>192</v>
      </c>
      <c r="D69" s="43"/>
      <c r="E69" s="17" t="s">
        <v>94</v>
      </c>
      <c r="F69" s="39"/>
      <c r="G69" s="78"/>
      <c r="H69" s="78"/>
      <c r="I69" s="42"/>
      <c r="J69" s="42"/>
      <c r="K69" s="119"/>
      <c r="L69" s="17" t="s">
        <v>97</v>
      </c>
      <c r="M69" s="41"/>
      <c r="N69" s="78"/>
      <c r="O69" s="78"/>
      <c r="P69" s="40"/>
      <c r="Q69" s="42"/>
      <c r="R69" s="119"/>
      <c r="S69" s="17" t="s">
        <v>98</v>
      </c>
      <c r="T69" s="41"/>
      <c r="U69" s="78"/>
      <c r="V69" s="78"/>
      <c r="W69" s="42"/>
      <c r="X69" s="42"/>
      <c r="Y69" s="118"/>
      <c r="Z69" s="17" t="s">
        <v>99</v>
      </c>
      <c r="AA69" s="41"/>
      <c r="AB69" s="78"/>
      <c r="AC69" s="78"/>
      <c r="AD69" s="42"/>
      <c r="AE69" s="42"/>
      <c r="AF69" s="118"/>
      <c r="AG69" s="17" t="s">
        <v>100</v>
      </c>
      <c r="AH69" s="41"/>
      <c r="AI69" s="78"/>
      <c r="AJ69" s="78"/>
      <c r="AK69" s="42"/>
      <c r="AL69" s="42"/>
      <c r="AM69" s="118"/>
      <c r="AN69" s="17" t="s">
        <v>101</v>
      </c>
      <c r="AO69" s="41"/>
      <c r="AP69" s="78"/>
      <c r="AQ69" s="78"/>
      <c r="AR69" s="42"/>
      <c r="AS69" s="42"/>
      <c r="AT69" s="118"/>
      <c r="AU69" s="17" t="s">
        <v>157</v>
      </c>
      <c r="AV69" s="41"/>
      <c r="AW69" s="78"/>
      <c r="AX69" s="78"/>
      <c r="AY69" s="42"/>
      <c r="AZ69" s="42"/>
      <c r="BA69" s="118"/>
      <c r="BB69" s="17" t="s">
        <v>103</v>
      </c>
      <c r="BC69" s="41"/>
      <c r="BD69" s="78"/>
      <c r="BE69" s="78"/>
      <c r="BF69" s="42"/>
      <c r="BG69" s="42"/>
      <c r="BH69" s="118"/>
      <c r="BI69" s="17" t="s">
        <v>104</v>
      </c>
      <c r="BJ69" s="39"/>
      <c r="BK69" s="78"/>
      <c r="BL69" s="78"/>
      <c r="BM69" s="42"/>
      <c r="BN69" s="42"/>
      <c r="BO69" s="118"/>
      <c r="BP69" s="17" t="s">
        <v>105</v>
      </c>
      <c r="BQ69" s="41"/>
      <c r="BR69" s="78"/>
      <c r="BS69" s="78"/>
      <c r="BT69" s="42"/>
      <c r="BU69" s="42"/>
      <c r="BV69" s="118"/>
      <c r="BW69" s="17" t="s">
        <v>106</v>
      </c>
      <c r="BX69" s="41"/>
      <c r="BY69" s="80"/>
      <c r="BZ69" s="80"/>
      <c r="CA69" s="42"/>
      <c r="CB69" s="42"/>
      <c r="CC69" s="118"/>
      <c r="CD69" s="17" t="s">
        <v>107</v>
      </c>
      <c r="CE69" s="41"/>
      <c r="CF69" s="78"/>
      <c r="CG69" s="78"/>
      <c r="CH69" s="42"/>
      <c r="CI69" s="42"/>
      <c r="CJ69" s="118"/>
      <c r="CK69" s="17" t="s">
        <v>108</v>
      </c>
      <c r="CL69" s="41"/>
      <c r="CM69" s="78"/>
      <c r="CN69" s="78"/>
      <c r="CO69" s="42"/>
      <c r="CP69" s="42"/>
      <c r="CQ69" s="118"/>
      <c r="CR69" s="17" t="s">
        <v>109</v>
      </c>
      <c r="CS69" s="41"/>
      <c r="CT69" s="78"/>
      <c r="CU69" s="78"/>
      <c r="CV69" s="42"/>
      <c r="CW69" s="42"/>
      <c r="CX69" s="118"/>
      <c r="CY69" s="17" t="s">
        <v>110</v>
      </c>
      <c r="CZ69" s="41"/>
      <c r="DA69" s="78"/>
      <c r="DB69" s="78"/>
      <c r="DC69" s="42"/>
      <c r="DD69" s="42"/>
      <c r="DE69" s="118"/>
      <c r="DF69" s="17" t="s">
        <v>111</v>
      </c>
      <c r="DG69" s="41"/>
      <c r="DH69" s="78"/>
      <c r="DI69" s="78"/>
      <c r="DJ69" s="42"/>
      <c r="DK69" s="42"/>
      <c r="DL69" s="118"/>
      <c r="DM69" s="17" t="s">
        <v>112</v>
      </c>
      <c r="DN69" s="41"/>
      <c r="DO69" s="78"/>
      <c r="DP69" s="78"/>
      <c r="DQ69" s="42"/>
      <c r="DR69" s="42"/>
      <c r="DS69" s="118"/>
      <c r="DT69" s="17" t="s">
        <v>113</v>
      </c>
      <c r="DU69" s="41"/>
      <c r="DV69" s="78"/>
      <c r="DW69" s="78"/>
      <c r="DX69" s="42"/>
      <c r="DY69" s="42"/>
      <c r="DZ69" s="118"/>
      <c r="EA69" s="17" t="s">
        <v>114</v>
      </c>
      <c r="EB69" s="41"/>
      <c r="EC69" s="78"/>
      <c r="ED69" s="78"/>
      <c r="EE69" s="42"/>
      <c r="EF69" s="42"/>
      <c r="EG69" s="118"/>
      <c r="EH69" s="17" t="s">
        <v>115</v>
      </c>
      <c r="EI69" s="41"/>
      <c r="EJ69" s="78"/>
      <c r="EK69" s="78"/>
      <c r="EL69" s="42"/>
      <c r="EM69" s="42"/>
      <c r="EN69" s="118"/>
      <c r="ET69" s="155" t="s">
        <v>83</v>
      </c>
      <c r="EU69" s="59"/>
      <c r="EV69" s="77"/>
      <c r="EW69" s="176"/>
      <c r="EX69" s="179"/>
      <c r="EY69" s="179"/>
      <c r="EZ69" s="122"/>
      <c r="FA69" s="155" t="s">
        <v>90</v>
      </c>
      <c r="FB69" s="41"/>
      <c r="FC69" s="77"/>
      <c r="FD69" s="77"/>
      <c r="FE69" s="179"/>
      <c r="FF69" s="179"/>
      <c r="FG69" s="118"/>
      <c r="FH69" s="155" t="s">
        <v>89</v>
      </c>
      <c r="FI69" s="41"/>
      <c r="FJ69" s="77"/>
      <c r="FK69" s="77"/>
      <c r="FL69" s="179"/>
      <c r="FM69" s="179"/>
      <c r="FN69" s="118"/>
      <c r="FO69" s="155" t="s">
        <v>92</v>
      </c>
      <c r="FP69" s="41"/>
      <c r="FQ69" s="77"/>
      <c r="FR69" s="77"/>
      <c r="FS69" s="179"/>
      <c r="FT69" s="179"/>
      <c r="FU69" s="232"/>
    </row>
    <row r="70" spans="1:177" ht="33.75" customHeight="1" x14ac:dyDescent="0.2">
      <c r="A70" s="115" t="str">
        <f t="shared" si="6"/>
        <v>Calendar 33</v>
      </c>
      <c r="B70" s="69" t="str">
        <f t="shared" ref="B70:B81" si="7">B69</f>
        <v>Country_code</v>
      </c>
      <c r="C70" s="43" t="s">
        <v>193</v>
      </c>
      <c r="D70" s="43"/>
      <c r="E70" s="17" t="s">
        <v>94</v>
      </c>
      <c r="F70" s="39"/>
      <c r="G70" s="78"/>
      <c r="H70" s="78"/>
      <c r="I70" s="42"/>
      <c r="J70" s="42"/>
      <c r="K70" s="119"/>
      <c r="L70" s="17" t="s">
        <v>97</v>
      </c>
      <c r="M70" s="41"/>
      <c r="N70" s="78"/>
      <c r="O70" s="78"/>
      <c r="P70" s="40"/>
      <c r="Q70" s="42"/>
      <c r="R70" s="119"/>
      <c r="S70" s="17" t="s">
        <v>98</v>
      </c>
      <c r="T70" s="41"/>
      <c r="U70" s="78"/>
      <c r="V70" s="78"/>
      <c r="W70" s="42"/>
      <c r="X70" s="42"/>
      <c r="Y70" s="118"/>
      <c r="Z70" s="17" t="s">
        <v>99</v>
      </c>
      <c r="AA70" s="41"/>
      <c r="AB70" s="78"/>
      <c r="AC70" s="78"/>
      <c r="AD70" s="42"/>
      <c r="AE70" s="42"/>
      <c r="AF70" s="118"/>
      <c r="AG70" s="17" t="s">
        <v>100</v>
      </c>
      <c r="AH70" s="41"/>
      <c r="AI70" s="78"/>
      <c r="AJ70" s="78"/>
      <c r="AK70" s="42"/>
      <c r="AL70" s="42"/>
      <c r="AM70" s="118"/>
      <c r="AN70" s="17" t="s">
        <v>101</v>
      </c>
      <c r="AO70" s="41"/>
      <c r="AP70" s="78"/>
      <c r="AQ70" s="78"/>
      <c r="AR70" s="42"/>
      <c r="AS70" s="42"/>
      <c r="AT70" s="118"/>
      <c r="AU70" s="17" t="s">
        <v>157</v>
      </c>
      <c r="AV70" s="41"/>
      <c r="AW70" s="78"/>
      <c r="AX70" s="78"/>
      <c r="AY70" s="42"/>
      <c r="AZ70" s="42"/>
      <c r="BA70" s="118"/>
      <c r="BB70" s="17" t="s">
        <v>103</v>
      </c>
      <c r="BC70" s="41"/>
      <c r="BD70" s="78"/>
      <c r="BE70" s="78"/>
      <c r="BF70" s="42"/>
      <c r="BG70" s="42"/>
      <c r="BH70" s="118"/>
      <c r="BI70" s="17" t="s">
        <v>104</v>
      </c>
      <c r="BJ70" s="39"/>
      <c r="BK70" s="78"/>
      <c r="BL70" s="78"/>
      <c r="BM70" s="42"/>
      <c r="BN70" s="42"/>
      <c r="BO70" s="118"/>
      <c r="BP70" s="17" t="s">
        <v>105</v>
      </c>
      <c r="BQ70" s="41"/>
      <c r="BR70" s="78"/>
      <c r="BS70" s="78"/>
      <c r="BT70" s="42"/>
      <c r="BU70" s="42"/>
      <c r="BV70" s="118"/>
      <c r="BW70" s="17" t="s">
        <v>106</v>
      </c>
      <c r="BX70" s="41"/>
      <c r="BY70" s="80"/>
      <c r="BZ70" s="80"/>
      <c r="CA70" s="42"/>
      <c r="CB70" s="42"/>
      <c r="CC70" s="118"/>
      <c r="CD70" s="17" t="s">
        <v>107</v>
      </c>
      <c r="CE70" s="41"/>
      <c r="CF70" s="78"/>
      <c r="CG70" s="78"/>
      <c r="CH70" s="42"/>
      <c r="CI70" s="42"/>
      <c r="CJ70" s="118"/>
      <c r="CK70" s="17" t="s">
        <v>108</v>
      </c>
      <c r="CL70" s="41"/>
      <c r="CM70" s="78"/>
      <c r="CN70" s="78"/>
      <c r="CO70" s="42"/>
      <c r="CP70" s="42"/>
      <c r="CQ70" s="118"/>
      <c r="CR70" s="17" t="s">
        <v>109</v>
      </c>
      <c r="CS70" s="41"/>
      <c r="CT70" s="78"/>
      <c r="CU70" s="78"/>
      <c r="CV70" s="42"/>
      <c r="CW70" s="42"/>
      <c r="CX70" s="118"/>
      <c r="CY70" s="17" t="s">
        <v>110</v>
      </c>
      <c r="CZ70" s="41"/>
      <c r="DA70" s="78"/>
      <c r="DB70" s="78"/>
      <c r="DC70" s="42"/>
      <c r="DD70" s="42"/>
      <c r="DE70" s="118"/>
      <c r="DF70" s="17" t="s">
        <v>111</v>
      </c>
      <c r="DG70" s="41"/>
      <c r="DH70" s="78"/>
      <c r="DI70" s="78"/>
      <c r="DJ70" s="42"/>
      <c r="DK70" s="42"/>
      <c r="DL70" s="118"/>
      <c r="DM70" s="17" t="s">
        <v>112</v>
      </c>
      <c r="DN70" s="41"/>
      <c r="DO70" s="78"/>
      <c r="DP70" s="78"/>
      <c r="DQ70" s="42"/>
      <c r="DR70" s="42"/>
      <c r="DS70" s="118"/>
      <c r="DT70" s="17" t="s">
        <v>113</v>
      </c>
      <c r="DU70" s="41"/>
      <c r="DV70" s="78"/>
      <c r="DW70" s="78"/>
      <c r="DX70" s="42"/>
      <c r="DY70" s="42"/>
      <c r="DZ70" s="118"/>
      <c r="EA70" s="17" t="s">
        <v>114</v>
      </c>
      <c r="EB70" s="41"/>
      <c r="EC70" s="78"/>
      <c r="ED70" s="78"/>
      <c r="EE70" s="42"/>
      <c r="EF70" s="42"/>
      <c r="EG70" s="118"/>
      <c r="EH70" s="17" t="s">
        <v>115</v>
      </c>
      <c r="EI70" s="41"/>
      <c r="EJ70" s="78"/>
      <c r="EK70" s="78"/>
      <c r="EL70" s="42"/>
      <c r="EM70" s="42"/>
      <c r="EN70" s="118"/>
      <c r="ET70" s="155" t="s">
        <v>83</v>
      </c>
      <c r="EU70" s="59"/>
      <c r="EV70" s="77"/>
      <c r="EW70" s="176"/>
      <c r="EX70" s="179"/>
      <c r="EY70" s="179"/>
      <c r="EZ70" s="122"/>
      <c r="FA70" s="155" t="s">
        <v>90</v>
      </c>
      <c r="FB70" s="39"/>
      <c r="FC70" s="77"/>
      <c r="FD70" s="77"/>
      <c r="FE70" s="179"/>
      <c r="FF70" s="179"/>
      <c r="FG70" s="119"/>
      <c r="FH70" s="155" t="s">
        <v>89</v>
      </c>
      <c r="FI70" s="39"/>
      <c r="FJ70" s="77"/>
      <c r="FK70" s="77"/>
      <c r="FL70" s="179"/>
      <c r="FM70" s="179"/>
      <c r="FN70" s="119"/>
      <c r="FO70" s="155" t="s">
        <v>92</v>
      </c>
      <c r="FP70" s="39"/>
      <c r="FQ70" s="77"/>
      <c r="FR70" s="77"/>
      <c r="FS70" s="179"/>
      <c r="FT70" s="179"/>
      <c r="FU70" s="230"/>
    </row>
    <row r="71" spans="1:177" ht="33.75" customHeight="1" x14ac:dyDescent="0.2">
      <c r="A71" s="115" t="str">
        <f t="shared" si="6"/>
        <v>Calendar 33</v>
      </c>
      <c r="B71" s="69" t="str">
        <f t="shared" si="7"/>
        <v>Country_code</v>
      </c>
      <c r="C71" s="43" t="s">
        <v>193</v>
      </c>
      <c r="D71" s="43"/>
      <c r="E71" s="17" t="s">
        <v>94</v>
      </c>
      <c r="F71" s="39"/>
      <c r="G71" s="78"/>
      <c r="H71" s="78"/>
      <c r="I71" s="42"/>
      <c r="J71" s="42"/>
      <c r="K71" s="119"/>
      <c r="L71" s="17" t="s">
        <v>97</v>
      </c>
      <c r="M71" s="41"/>
      <c r="N71" s="78"/>
      <c r="O71" s="78"/>
      <c r="P71" s="40"/>
      <c r="Q71" s="42"/>
      <c r="R71" s="119"/>
      <c r="S71" s="17" t="s">
        <v>98</v>
      </c>
      <c r="T71" s="41"/>
      <c r="U71" s="78"/>
      <c r="V71" s="78"/>
      <c r="W71" s="42"/>
      <c r="X71" s="42"/>
      <c r="Y71" s="118"/>
      <c r="Z71" s="17" t="s">
        <v>99</v>
      </c>
      <c r="AA71" s="41"/>
      <c r="AB71" s="78"/>
      <c r="AC71" s="78"/>
      <c r="AD71" s="42"/>
      <c r="AE71" s="42"/>
      <c r="AF71" s="118"/>
      <c r="AG71" s="17" t="s">
        <v>100</v>
      </c>
      <c r="AH71" s="41"/>
      <c r="AI71" s="78"/>
      <c r="AJ71" s="78"/>
      <c r="AK71" s="42"/>
      <c r="AL71" s="42"/>
      <c r="AM71" s="118"/>
      <c r="AN71" s="17" t="s">
        <v>101</v>
      </c>
      <c r="AO71" s="41"/>
      <c r="AP71" s="78"/>
      <c r="AQ71" s="78"/>
      <c r="AR71" s="42"/>
      <c r="AS71" s="42"/>
      <c r="AT71" s="118"/>
      <c r="AU71" s="17" t="s">
        <v>157</v>
      </c>
      <c r="AV71" s="41"/>
      <c r="AW71" s="78"/>
      <c r="AX71" s="78"/>
      <c r="AY71" s="42"/>
      <c r="AZ71" s="42"/>
      <c r="BA71" s="118"/>
      <c r="BB71" s="17" t="s">
        <v>103</v>
      </c>
      <c r="BC71" s="41"/>
      <c r="BD71" s="78"/>
      <c r="BE71" s="78"/>
      <c r="BF71" s="42"/>
      <c r="BG71" s="42"/>
      <c r="BH71" s="118"/>
      <c r="BI71" s="17" t="s">
        <v>104</v>
      </c>
      <c r="BJ71" s="39"/>
      <c r="BK71" s="78"/>
      <c r="BL71" s="78"/>
      <c r="BM71" s="42"/>
      <c r="BN71" s="42"/>
      <c r="BO71" s="118"/>
      <c r="BP71" s="17" t="s">
        <v>105</v>
      </c>
      <c r="BQ71" s="41"/>
      <c r="BR71" s="78"/>
      <c r="BS71" s="78"/>
      <c r="BT71" s="42"/>
      <c r="BU71" s="42"/>
      <c r="BV71" s="118"/>
      <c r="BW71" s="17" t="s">
        <v>106</v>
      </c>
      <c r="BX71" s="41"/>
      <c r="BY71" s="80"/>
      <c r="BZ71" s="80"/>
      <c r="CA71" s="42"/>
      <c r="CB71" s="42"/>
      <c r="CC71" s="118"/>
      <c r="CD71" s="17" t="s">
        <v>107</v>
      </c>
      <c r="CE71" s="41"/>
      <c r="CF71" s="78"/>
      <c r="CG71" s="78"/>
      <c r="CH71" s="42"/>
      <c r="CI71" s="42"/>
      <c r="CJ71" s="118"/>
      <c r="CK71" s="17" t="s">
        <v>108</v>
      </c>
      <c r="CL71" s="41"/>
      <c r="CM71" s="78"/>
      <c r="CN71" s="78"/>
      <c r="CO71" s="42"/>
      <c r="CP71" s="42"/>
      <c r="CQ71" s="118"/>
      <c r="CR71" s="17" t="s">
        <v>109</v>
      </c>
      <c r="CS71" s="41"/>
      <c r="CT71" s="78"/>
      <c r="CU71" s="78"/>
      <c r="CV71" s="42"/>
      <c r="CW71" s="42"/>
      <c r="CX71" s="118"/>
      <c r="CY71" s="17" t="s">
        <v>110</v>
      </c>
      <c r="CZ71" s="41"/>
      <c r="DA71" s="78"/>
      <c r="DB71" s="78"/>
      <c r="DC71" s="42"/>
      <c r="DD71" s="42"/>
      <c r="DE71" s="118"/>
      <c r="DF71" s="17" t="s">
        <v>111</v>
      </c>
      <c r="DG71" s="41"/>
      <c r="DH71" s="78"/>
      <c r="DI71" s="78"/>
      <c r="DJ71" s="42"/>
      <c r="DK71" s="42"/>
      <c r="DL71" s="118"/>
      <c r="DM71" s="17" t="s">
        <v>112</v>
      </c>
      <c r="DN71" s="41"/>
      <c r="DO71" s="78"/>
      <c r="DP71" s="78"/>
      <c r="DQ71" s="42"/>
      <c r="DR71" s="42"/>
      <c r="DS71" s="118"/>
      <c r="DT71" s="17" t="s">
        <v>113</v>
      </c>
      <c r="DU71" s="41"/>
      <c r="DV71" s="78"/>
      <c r="DW71" s="78"/>
      <c r="DX71" s="42"/>
      <c r="DY71" s="42"/>
      <c r="DZ71" s="118"/>
      <c r="EA71" s="17" t="s">
        <v>114</v>
      </c>
      <c r="EB71" s="41"/>
      <c r="EC71" s="78"/>
      <c r="ED71" s="78"/>
      <c r="EE71" s="42"/>
      <c r="EF71" s="42"/>
      <c r="EG71" s="118"/>
      <c r="EH71" s="17" t="s">
        <v>115</v>
      </c>
      <c r="EI71" s="41"/>
      <c r="EJ71" s="78"/>
      <c r="EK71" s="78"/>
      <c r="EL71" s="42"/>
      <c r="EM71" s="42"/>
      <c r="EN71" s="118"/>
      <c r="ET71" s="155" t="s">
        <v>83</v>
      </c>
      <c r="EU71" s="59"/>
      <c r="EV71" s="77"/>
      <c r="EW71" s="176"/>
      <c r="EX71" s="179"/>
      <c r="EY71" s="179"/>
      <c r="EZ71" s="122"/>
      <c r="FA71" s="155" t="s">
        <v>90</v>
      </c>
      <c r="FB71" s="41"/>
      <c r="FC71" s="77"/>
      <c r="FD71" s="77"/>
      <c r="FE71" s="179"/>
      <c r="FF71" s="179"/>
      <c r="FG71" s="118"/>
      <c r="FH71" s="155" t="s">
        <v>89</v>
      </c>
      <c r="FI71" s="41"/>
      <c r="FJ71" s="77"/>
      <c r="FK71" s="77"/>
      <c r="FL71" s="179"/>
      <c r="FM71" s="179"/>
      <c r="FN71" s="118"/>
      <c r="FO71" s="155" t="s">
        <v>92</v>
      </c>
      <c r="FP71" s="41"/>
      <c r="FQ71" s="77"/>
      <c r="FR71" s="77"/>
      <c r="FS71" s="179"/>
      <c r="FT71" s="179"/>
      <c r="FU71" s="232"/>
    </row>
    <row r="72" spans="1:177" ht="33.75" customHeight="1" x14ac:dyDescent="0.2">
      <c r="A72" s="115" t="str">
        <f t="shared" si="6"/>
        <v>Calendar 34</v>
      </c>
      <c r="B72" s="69" t="str">
        <f t="shared" si="7"/>
        <v>Country_code</v>
      </c>
      <c r="C72" s="43" t="s">
        <v>194</v>
      </c>
      <c r="D72" s="43"/>
      <c r="E72" s="17" t="s">
        <v>94</v>
      </c>
      <c r="F72" s="39"/>
      <c r="G72" s="78"/>
      <c r="H72" s="78"/>
      <c r="I72" s="42"/>
      <c r="J72" s="42"/>
      <c r="K72" s="119"/>
      <c r="L72" s="17" t="s">
        <v>97</v>
      </c>
      <c r="M72" s="41"/>
      <c r="N72" s="78"/>
      <c r="O72" s="78"/>
      <c r="P72" s="40"/>
      <c r="Q72" s="42"/>
      <c r="R72" s="119"/>
      <c r="S72" s="17" t="s">
        <v>98</v>
      </c>
      <c r="T72" s="41"/>
      <c r="U72" s="78"/>
      <c r="V72" s="78"/>
      <c r="W72" s="42"/>
      <c r="X72" s="42"/>
      <c r="Y72" s="118"/>
      <c r="Z72" s="17" t="s">
        <v>99</v>
      </c>
      <c r="AA72" s="41"/>
      <c r="AB72" s="78"/>
      <c r="AC72" s="78"/>
      <c r="AD72" s="42"/>
      <c r="AE72" s="42"/>
      <c r="AF72" s="118"/>
      <c r="AG72" s="17" t="s">
        <v>100</v>
      </c>
      <c r="AH72" s="41"/>
      <c r="AI72" s="78"/>
      <c r="AJ72" s="78"/>
      <c r="AK72" s="42"/>
      <c r="AL72" s="42"/>
      <c r="AM72" s="118"/>
      <c r="AN72" s="17" t="s">
        <v>101</v>
      </c>
      <c r="AO72" s="41"/>
      <c r="AP72" s="78"/>
      <c r="AQ72" s="78"/>
      <c r="AR72" s="42"/>
      <c r="AS72" s="42"/>
      <c r="AT72" s="118"/>
      <c r="AU72" s="17" t="s">
        <v>157</v>
      </c>
      <c r="AV72" s="41"/>
      <c r="AW72" s="78"/>
      <c r="AX72" s="78"/>
      <c r="AY72" s="42"/>
      <c r="AZ72" s="42"/>
      <c r="BA72" s="118"/>
      <c r="BB72" s="17" t="s">
        <v>103</v>
      </c>
      <c r="BC72" s="41"/>
      <c r="BD72" s="78"/>
      <c r="BE72" s="78"/>
      <c r="BF72" s="42"/>
      <c r="BG72" s="42"/>
      <c r="BH72" s="118"/>
      <c r="BI72" s="17" t="s">
        <v>104</v>
      </c>
      <c r="BJ72" s="39"/>
      <c r="BK72" s="78"/>
      <c r="BL72" s="78"/>
      <c r="BM72" s="42"/>
      <c r="BN72" s="42"/>
      <c r="BO72" s="118"/>
      <c r="BP72" s="17" t="s">
        <v>105</v>
      </c>
      <c r="BQ72" s="41"/>
      <c r="BR72" s="78"/>
      <c r="BS72" s="78"/>
      <c r="BT72" s="42"/>
      <c r="BU72" s="42"/>
      <c r="BV72" s="118"/>
      <c r="BW72" s="17" t="s">
        <v>106</v>
      </c>
      <c r="BX72" s="41"/>
      <c r="BY72" s="80"/>
      <c r="BZ72" s="80"/>
      <c r="CA72" s="42"/>
      <c r="CB72" s="42"/>
      <c r="CC72" s="118"/>
      <c r="CD72" s="17" t="s">
        <v>107</v>
      </c>
      <c r="CE72" s="41"/>
      <c r="CF72" s="78"/>
      <c r="CG72" s="78"/>
      <c r="CH72" s="42"/>
      <c r="CI72" s="42"/>
      <c r="CJ72" s="118"/>
      <c r="CK72" s="17" t="s">
        <v>108</v>
      </c>
      <c r="CL72" s="41"/>
      <c r="CM72" s="78"/>
      <c r="CN72" s="78"/>
      <c r="CO72" s="42"/>
      <c r="CP72" s="42"/>
      <c r="CQ72" s="118"/>
      <c r="CR72" s="17" t="s">
        <v>109</v>
      </c>
      <c r="CS72" s="41"/>
      <c r="CT72" s="78"/>
      <c r="CU72" s="78"/>
      <c r="CV72" s="42"/>
      <c r="CW72" s="42"/>
      <c r="CX72" s="118"/>
      <c r="CY72" s="17" t="s">
        <v>110</v>
      </c>
      <c r="CZ72" s="41"/>
      <c r="DA72" s="78"/>
      <c r="DB72" s="78"/>
      <c r="DC72" s="42"/>
      <c r="DD72" s="42"/>
      <c r="DE72" s="118"/>
      <c r="DF72" s="17" t="s">
        <v>111</v>
      </c>
      <c r="DG72" s="41"/>
      <c r="DH72" s="78"/>
      <c r="DI72" s="78"/>
      <c r="DJ72" s="42"/>
      <c r="DK72" s="42"/>
      <c r="DL72" s="118"/>
      <c r="DM72" s="17" t="s">
        <v>112</v>
      </c>
      <c r="DN72" s="41"/>
      <c r="DO72" s="78"/>
      <c r="DP72" s="78"/>
      <c r="DQ72" s="42"/>
      <c r="DR72" s="42"/>
      <c r="DS72" s="118"/>
      <c r="DT72" s="17" t="s">
        <v>113</v>
      </c>
      <c r="DU72" s="41"/>
      <c r="DV72" s="78"/>
      <c r="DW72" s="78"/>
      <c r="DX72" s="42"/>
      <c r="DY72" s="42"/>
      <c r="DZ72" s="118"/>
      <c r="EA72" s="17" t="s">
        <v>114</v>
      </c>
      <c r="EB72" s="41"/>
      <c r="EC72" s="78"/>
      <c r="ED72" s="78"/>
      <c r="EE72" s="42"/>
      <c r="EF72" s="42"/>
      <c r="EG72" s="118"/>
      <c r="EH72" s="17" t="s">
        <v>115</v>
      </c>
      <c r="EI72" s="41"/>
      <c r="EJ72" s="78"/>
      <c r="EK72" s="78"/>
      <c r="EL72" s="42"/>
      <c r="EM72" s="42"/>
      <c r="EN72" s="118"/>
      <c r="ET72" s="155" t="s">
        <v>83</v>
      </c>
      <c r="EU72" s="59"/>
      <c r="EV72" s="77"/>
      <c r="EW72" s="176"/>
      <c r="EX72" s="179"/>
      <c r="EY72" s="179"/>
      <c r="EZ72" s="122"/>
      <c r="FA72" s="155" t="s">
        <v>90</v>
      </c>
      <c r="FB72" s="39"/>
      <c r="FC72" s="77"/>
      <c r="FD72" s="77"/>
      <c r="FE72" s="179"/>
      <c r="FF72" s="179"/>
      <c r="FG72" s="119"/>
      <c r="FH72" s="155" t="s">
        <v>89</v>
      </c>
      <c r="FI72" s="39"/>
      <c r="FJ72" s="77"/>
      <c r="FK72" s="77"/>
      <c r="FL72" s="179"/>
      <c r="FM72" s="179"/>
      <c r="FN72" s="119"/>
      <c r="FO72" s="155" t="s">
        <v>92</v>
      </c>
      <c r="FP72" s="39"/>
      <c r="FQ72" s="77"/>
      <c r="FR72" s="77"/>
      <c r="FS72" s="179"/>
      <c r="FT72" s="179"/>
      <c r="FU72" s="230"/>
    </row>
    <row r="73" spans="1:177" ht="33.75" customHeight="1" x14ac:dyDescent="0.2">
      <c r="A73" s="115" t="str">
        <f t="shared" si="6"/>
        <v>Calendar 34</v>
      </c>
      <c r="B73" s="69" t="str">
        <f t="shared" si="7"/>
        <v>Country_code</v>
      </c>
      <c r="C73" s="43" t="s">
        <v>194</v>
      </c>
      <c r="D73" s="43"/>
      <c r="E73" s="17" t="s">
        <v>94</v>
      </c>
      <c r="F73" s="39"/>
      <c r="G73" s="78"/>
      <c r="H73" s="78"/>
      <c r="I73" s="42"/>
      <c r="J73" s="42"/>
      <c r="K73" s="119"/>
      <c r="L73" s="17" t="s">
        <v>97</v>
      </c>
      <c r="M73" s="41"/>
      <c r="N73" s="78"/>
      <c r="O73" s="78"/>
      <c r="P73" s="40"/>
      <c r="Q73" s="42"/>
      <c r="R73" s="119"/>
      <c r="S73" s="17" t="s">
        <v>98</v>
      </c>
      <c r="T73" s="41"/>
      <c r="U73" s="78"/>
      <c r="V73" s="78"/>
      <c r="W73" s="42"/>
      <c r="X73" s="42"/>
      <c r="Y73" s="118"/>
      <c r="Z73" s="17" t="s">
        <v>99</v>
      </c>
      <c r="AA73" s="41"/>
      <c r="AB73" s="78"/>
      <c r="AC73" s="78"/>
      <c r="AD73" s="42"/>
      <c r="AE73" s="42"/>
      <c r="AF73" s="118"/>
      <c r="AG73" s="17" t="s">
        <v>100</v>
      </c>
      <c r="AH73" s="41"/>
      <c r="AI73" s="78"/>
      <c r="AJ73" s="78"/>
      <c r="AK73" s="42"/>
      <c r="AL73" s="42"/>
      <c r="AM73" s="118"/>
      <c r="AN73" s="17" t="s">
        <v>101</v>
      </c>
      <c r="AO73" s="41"/>
      <c r="AP73" s="78"/>
      <c r="AQ73" s="78"/>
      <c r="AR73" s="42"/>
      <c r="AS73" s="42"/>
      <c r="AT73" s="118"/>
      <c r="AU73" s="17" t="s">
        <v>157</v>
      </c>
      <c r="AV73" s="41"/>
      <c r="AW73" s="78"/>
      <c r="AX73" s="78"/>
      <c r="AY73" s="42"/>
      <c r="AZ73" s="42"/>
      <c r="BA73" s="118"/>
      <c r="BB73" s="17" t="s">
        <v>103</v>
      </c>
      <c r="BC73" s="41"/>
      <c r="BD73" s="78"/>
      <c r="BE73" s="78"/>
      <c r="BF73" s="42"/>
      <c r="BG73" s="42"/>
      <c r="BH73" s="118"/>
      <c r="BI73" s="17" t="s">
        <v>104</v>
      </c>
      <c r="BJ73" s="39"/>
      <c r="BK73" s="78"/>
      <c r="BL73" s="78"/>
      <c r="BM73" s="42"/>
      <c r="BN73" s="42"/>
      <c r="BO73" s="118"/>
      <c r="BP73" s="17" t="s">
        <v>105</v>
      </c>
      <c r="BQ73" s="41"/>
      <c r="BR73" s="78"/>
      <c r="BS73" s="78"/>
      <c r="BT73" s="42"/>
      <c r="BU73" s="42"/>
      <c r="BV73" s="118"/>
      <c r="BW73" s="17" t="s">
        <v>106</v>
      </c>
      <c r="BX73" s="41"/>
      <c r="BY73" s="80"/>
      <c r="BZ73" s="80"/>
      <c r="CA73" s="42"/>
      <c r="CB73" s="42"/>
      <c r="CC73" s="118"/>
      <c r="CD73" s="17" t="s">
        <v>107</v>
      </c>
      <c r="CE73" s="41"/>
      <c r="CF73" s="78"/>
      <c r="CG73" s="78"/>
      <c r="CH73" s="42"/>
      <c r="CI73" s="42"/>
      <c r="CJ73" s="118"/>
      <c r="CK73" s="17" t="s">
        <v>108</v>
      </c>
      <c r="CL73" s="41"/>
      <c r="CM73" s="78"/>
      <c r="CN73" s="78"/>
      <c r="CO73" s="42"/>
      <c r="CP73" s="42"/>
      <c r="CQ73" s="118"/>
      <c r="CR73" s="17" t="s">
        <v>109</v>
      </c>
      <c r="CS73" s="41"/>
      <c r="CT73" s="78"/>
      <c r="CU73" s="78"/>
      <c r="CV73" s="42"/>
      <c r="CW73" s="42"/>
      <c r="CX73" s="118"/>
      <c r="CY73" s="17" t="s">
        <v>110</v>
      </c>
      <c r="CZ73" s="41"/>
      <c r="DA73" s="78"/>
      <c r="DB73" s="78"/>
      <c r="DC73" s="42"/>
      <c r="DD73" s="42"/>
      <c r="DE73" s="118"/>
      <c r="DF73" s="17" t="s">
        <v>111</v>
      </c>
      <c r="DG73" s="41"/>
      <c r="DH73" s="78"/>
      <c r="DI73" s="78"/>
      <c r="DJ73" s="42"/>
      <c r="DK73" s="42"/>
      <c r="DL73" s="118"/>
      <c r="DM73" s="17" t="s">
        <v>112</v>
      </c>
      <c r="DN73" s="41"/>
      <c r="DO73" s="78"/>
      <c r="DP73" s="78"/>
      <c r="DQ73" s="42"/>
      <c r="DR73" s="42"/>
      <c r="DS73" s="118"/>
      <c r="DT73" s="17" t="s">
        <v>113</v>
      </c>
      <c r="DU73" s="41"/>
      <c r="DV73" s="78"/>
      <c r="DW73" s="78"/>
      <c r="DX73" s="42"/>
      <c r="DY73" s="42"/>
      <c r="DZ73" s="118"/>
      <c r="EA73" s="17" t="s">
        <v>114</v>
      </c>
      <c r="EB73" s="41"/>
      <c r="EC73" s="78"/>
      <c r="ED73" s="78"/>
      <c r="EE73" s="42"/>
      <c r="EF73" s="42"/>
      <c r="EG73" s="118"/>
      <c r="EH73" s="17" t="s">
        <v>115</v>
      </c>
      <c r="EI73" s="41"/>
      <c r="EJ73" s="78"/>
      <c r="EK73" s="78"/>
      <c r="EL73" s="42"/>
      <c r="EM73" s="42"/>
      <c r="EN73" s="118"/>
      <c r="ET73" s="155" t="s">
        <v>83</v>
      </c>
      <c r="EU73" s="59"/>
      <c r="EV73" s="77"/>
      <c r="EW73" s="176"/>
      <c r="EX73" s="179"/>
      <c r="EY73" s="179"/>
      <c r="EZ73" s="122"/>
      <c r="FA73" s="155" t="s">
        <v>90</v>
      </c>
      <c r="FB73" s="41"/>
      <c r="FC73" s="77"/>
      <c r="FD73" s="77"/>
      <c r="FE73" s="179"/>
      <c r="FF73" s="179"/>
      <c r="FG73" s="118"/>
      <c r="FH73" s="155" t="s">
        <v>89</v>
      </c>
      <c r="FI73" s="41"/>
      <c r="FJ73" s="77"/>
      <c r="FK73" s="77"/>
      <c r="FL73" s="179"/>
      <c r="FM73" s="179"/>
      <c r="FN73" s="118"/>
      <c r="FO73" s="155" t="s">
        <v>92</v>
      </c>
      <c r="FP73" s="41"/>
      <c r="FQ73" s="77"/>
      <c r="FR73" s="77"/>
      <c r="FS73" s="179"/>
      <c r="FT73" s="179"/>
      <c r="FU73" s="232"/>
    </row>
    <row r="74" spans="1:177" ht="33.75" customHeight="1" x14ac:dyDescent="0.2">
      <c r="A74" s="115" t="str">
        <f t="shared" si="6"/>
        <v>Calendar 35</v>
      </c>
      <c r="B74" s="69" t="str">
        <f t="shared" si="7"/>
        <v>Country_code</v>
      </c>
      <c r="C74" s="43" t="s">
        <v>195</v>
      </c>
      <c r="D74" s="43"/>
      <c r="E74" s="17" t="s">
        <v>94</v>
      </c>
      <c r="F74" s="39"/>
      <c r="G74" s="78"/>
      <c r="H74" s="78"/>
      <c r="I74" s="42"/>
      <c r="J74" s="42"/>
      <c r="K74" s="119"/>
      <c r="L74" s="17" t="s">
        <v>97</v>
      </c>
      <c r="M74" s="41"/>
      <c r="N74" s="78"/>
      <c r="O74" s="78"/>
      <c r="P74" s="40"/>
      <c r="Q74" s="42"/>
      <c r="R74" s="119"/>
      <c r="S74" s="17" t="s">
        <v>98</v>
      </c>
      <c r="T74" s="41"/>
      <c r="U74" s="78"/>
      <c r="V74" s="78"/>
      <c r="W74" s="42"/>
      <c r="X74" s="42"/>
      <c r="Y74" s="118"/>
      <c r="Z74" s="17" t="s">
        <v>99</v>
      </c>
      <c r="AA74" s="41"/>
      <c r="AB74" s="78"/>
      <c r="AC74" s="78"/>
      <c r="AD74" s="42"/>
      <c r="AE74" s="42"/>
      <c r="AF74" s="118"/>
      <c r="AG74" s="17" t="s">
        <v>100</v>
      </c>
      <c r="AH74" s="41"/>
      <c r="AI74" s="78"/>
      <c r="AJ74" s="78"/>
      <c r="AK74" s="42"/>
      <c r="AL74" s="42"/>
      <c r="AM74" s="118"/>
      <c r="AN74" s="17" t="s">
        <v>101</v>
      </c>
      <c r="AO74" s="41"/>
      <c r="AP74" s="78"/>
      <c r="AQ74" s="78"/>
      <c r="AR74" s="42"/>
      <c r="AS74" s="42"/>
      <c r="AT74" s="118"/>
      <c r="AU74" s="17" t="s">
        <v>157</v>
      </c>
      <c r="AV74" s="41"/>
      <c r="AW74" s="78"/>
      <c r="AX74" s="78"/>
      <c r="AY74" s="42"/>
      <c r="AZ74" s="42"/>
      <c r="BA74" s="118"/>
      <c r="BB74" s="17" t="s">
        <v>103</v>
      </c>
      <c r="BC74" s="41"/>
      <c r="BD74" s="78"/>
      <c r="BE74" s="78"/>
      <c r="BF74" s="42"/>
      <c r="BG74" s="42"/>
      <c r="BH74" s="118"/>
      <c r="BI74" s="17" t="s">
        <v>104</v>
      </c>
      <c r="BJ74" s="39"/>
      <c r="BK74" s="78"/>
      <c r="BL74" s="78"/>
      <c r="BM74" s="42"/>
      <c r="BN74" s="42"/>
      <c r="BO74" s="118"/>
      <c r="BP74" s="17" t="s">
        <v>105</v>
      </c>
      <c r="BQ74" s="41"/>
      <c r="BR74" s="78"/>
      <c r="BS74" s="78"/>
      <c r="BT74" s="42"/>
      <c r="BU74" s="42"/>
      <c r="BV74" s="118"/>
      <c r="BW74" s="17" t="s">
        <v>106</v>
      </c>
      <c r="BX74" s="41"/>
      <c r="BY74" s="80"/>
      <c r="BZ74" s="80"/>
      <c r="CA74" s="42"/>
      <c r="CB74" s="42"/>
      <c r="CC74" s="118"/>
      <c r="CD74" s="17" t="s">
        <v>107</v>
      </c>
      <c r="CE74" s="41"/>
      <c r="CF74" s="78"/>
      <c r="CG74" s="78"/>
      <c r="CH74" s="42"/>
      <c r="CI74" s="42"/>
      <c r="CJ74" s="118"/>
      <c r="CK74" s="17" t="s">
        <v>108</v>
      </c>
      <c r="CL74" s="41"/>
      <c r="CM74" s="78"/>
      <c r="CN74" s="78"/>
      <c r="CO74" s="42"/>
      <c r="CP74" s="42"/>
      <c r="CQ74" s="118"/>
      <c r="CR74" s="17" t="s">
        <v>109</v>
      </c>
      <c r="CS74" s="41"/>
      <c r="CT74" s="78"/>
      <c r="CU74" s="78"/>
      <c r="CV74" s="42"/>
      <c r="CW74" s="42"/>
      <c r="CX74" s="118"/>
      <c r="CY74" s="17" t="s">
        <v>110</v>
      </c>
      <c r="CZ74" s="41"/>
      <c r="DA74" s="78"/>
      <c r="DB74" s="78"/>
      <c r="DC74" s="42"/>
      <c r="DD74" s="42"/>
      <c r="DE74" s="118"/>
      <c r="DF74" s="17" t="s">
        <v>111</v>
      </c>
      <c r="DG74" s="41"/>
      <c r="DH74" s="78"/>
      <c r="DI74" s="78"/>
      <c r="DJ74" s="42"/>
      <c r="DK74" s="42"/>
      <c r="DL74" s="118"/>
      <c r="DM74" s="17" t="s">
        <v>112</v>
      </c>
      <c r="DN74" s="41"/>
      <c r="DO74" s="78"/>
      <c r="DP74" s="78"/>
      <c r="DQ74" s="42"/>
      <c r="DR74" s="42"/>
      <c r="DS74" s="118"/>
      <c r="DT74" s="17" t="s">
        <v>113</v>
      </c>
      <c r="DU74" s="41"/>
      <c r="DV74" s="78"/>
      <c r="DW74" s="78"/>
      <c r="DX74" s="42"/>
      <c r="DY74" s="42"/>
      <c r="DZ74" s="118"/>
      <c r="EA74" s="17" t="s">
        <v>114</v>
      </c>
      <c r="EB74" s="41"/>
      <c r="EC74" s="78"/>
      <c r="ED74" s="78"/>
      <c r="EE74" s="42"/>
      <c r="EF74" s="42"/>
      <c r="EG74" s="118"/>
      <c r="EH74" s="17" t="s">
        <v>115</v>
      </c>
      <c r="EI74" s="41"/>
      <c r="EJ74" s="78"/>
      <c r="EK74" s="78"/>
      <c r="EL74" s="42"/>
      <c r="EM74" s="42"/>
      <c r="EN74" s="118"/>
      <c r="ET74" s="155" t="s">
        <v>83</v>
      </c>
      <c r="EU74" s="59"/>
      <c r="EV74" s="77"/>
      <c r="EW74" s="176"/>
      <c r="EX74" s="179"/>
      <c r="EY74" s="179"/>
      <c r="EZ74" s="122"/>
      <c r="FA74" s="155" t="s">
        <v>90</v>
      </c>
      <c r="FB74" s="39"/>
      <c r="FC74" s="77"/>
      <c r="FD74" s="77"/>
      <c r="FE74" s="179"/>
      <c r="FF74" s="179"/>
      <c r="FG74" s="119"/>
      <c r="FH74" s="155" t="s">
        <v>89</v>
      </c>
      <c r="FI74" s="39"/>
      <c r="FJ74" s="77"/>
      <c r="FK74" s="77"/>
      <c r="FL74" s="179"/>
      <c r="FM74" s="179"/>
      <c r="FN74" s="119"/>
      <c r="FO74" s="155" t="s">
        <v>92</v>
      </c>
      <c r="FP74" s="39"/>
      <c r="FQ74" s="77"/>
      <c r="FR74" s="77"/>
      <c r="FS74" s="179"/>
      <c r="FT74" s="179"/>
      <c r="FU74" s="230"/>
    </row>
    <row r="75" spans="1:177" ht="33.75" customHeight="1" x14ac:dyDescent="0.2">
      <c r="A75" s="115" t="str">
        <f t="shared" si="6"/>
        <v>Calendar 35</v>
      </c>
      <c r="B75" s="69" t="str">
        <f t="shared" si="7"/>
        <v>Country_code</v>
      </c>
      <c r="C75" s="43" t="s">
        <v>195</v>
      </c>
      <c r="D75" s="43"/>
      <c r="E75" s="17" t="s">
        <v>94</v>
      </c>
      <c r="F75" s="39"/>
      <c r="G75" s="78"/>
      <c r="H75" s="78"/>
      <c r="I75" s="42"/>
      <c r="J75" s="42"/>
      <c r="K75" s="119"/>
      <c r="L75" s="17" t="s">
        <v>97</v>
      </c>
      <c r="M75" s="41"/>
      <c r="N75" s="78"/>
      <c r="O75" s="78"/>
      <c r="P75" s="40"/>
      <c r="Q75" s="42"/>
      <c r="R75" s="119"/>
      <c r="S75" s="17" t="s">
        <v>98</v>
      </c>
      <c r="T75" s="41"/>
      <c r="U75" s="78"/>
      <c r="V75" s="78"/>
      <c r="W75" s="42"/>
      <c r="X75" s="42"/>
      <c r="Y75" s="118"/>
      <c r="Z75" s="17" t="s">
        <v>99</v>
      </c>
      <c r="AA75" s="41"/>
      <c r="AB75" s="78"/>
      <c r="AC75" s="78"/>
      <c r="AD75" s="42"/>
      <c r="AE75" s="42"/>
      <c r="AF75" s="118"/>
      <c r="AG75" s="17" t="s">
        <v>100</v>
      </c>
      <c r="AH75" s="41"/>
      <c r="AI75" s="78"/>
      <c r="AJ75" s="78"/>
      <c r="AK75" s="42"/>
      <c r="AL75" s="42"/>
      <c r="AM75" s="118"/>
      <c r="AN75" s="17" t="s">
        <v>101</v>
      </c>
      <c r="AO75" s="41"/>
      <c r="AP75" s="78"/>
      <c r="AQ75" s="78"/>
      <c r="AR75" s="42"/>
      <c r="AS75" s="42"/>
      <c r="AT75" s="118"/>
      <c r="AU75" s="17" t="s">
        <v>157</v>
      </c>
      <c r="AV75" s="41"/>
      <c r="AW75" s="78"/>
      <c r="AX75" s="78"/>
      <c r="AY75" s="42"/>
      <c r="AZ75" s="42"/>
      <c r="BA75" s="118"/>
      <c r="BB75" s="17" t="s">
        <v>103</v>
      </c>
      <c r="BC75" s="41"/>
      <c r="BD75" s="78"/>
      <c r="BE75" s="78"/>
      <c r="BF75" s="42"/>
      <c r="BG75" s="42"/>
      <c r="BH75" s="118"/>
      <c r="BI75" s="17" t="s">
        <v>104</v>
      </c>
      <c r="BJ75" s="39"/>
      <c r="BK75" s="78"/>
      <c r="BL75" s="78"/>
      <c r="BM75" s="42"/>
      <c r="BN75" s="42"/>
      <c r="BO75" s="118"/>
      <c r="BP75" s="17" t="s">
        <v>105</v>
      </c>
      <c r="BQ75" s="41"/>
      <c r="BR75" s="78"/>
      <c r="BS75" s="78"/>
      <c r="BT75" s="42"/>
      <c r="BU75" s="42"/>
      <c r="BV75" s="118"/>
      <c r="BW75" s="17" t="s">
        <v>106</v>
      </c>
      <c r="BX75" s="41"/>
      <c r="BY75" s="80"/>
      <c r="BZ75" s="80"/>
      <c r="CA75" s="42"/>
      <c r="CB75" s="42"/>
      <c r="CC75" s="118"/>
      <c r="CD75" s="17" t="s">
        <v>107</v>
      </c>
      <c r="CE75" s="41"/>
      <c r="CF75" s="78"/>
      <c r="CG75" s="78"/>
      <c r="CH75" s="42"/>
      <c r="CI75" s="42"/>
      <c r="CJ75" s="118"/>
      <c r="CK75" s="17" t="s">
        <v>108</v>
      </c>
      <c r="CL75" s="41"/>
      <c r="CM75" s="78"/>
      <c r="CN75" s="78"/>
      <c r="CO75" s="42"/>
      <c r="CP75" s="42"/>
      <c r="CQ75" s="118"/>
      <c r="CR75" s="17" t="s">
        <v>109</v>
      </c>
      <c r="CS75" s="41"/>
      <c r="CT75" s="78"/>
      <c r="CU75" s="78"/>
      <c r="CV75" s="42"/>
      <c r="CW75" s="42"/>
      <c r="CX75" s="118"/>
      <c r="CY75" s="17" t="s">
        <v>110</v>
      </c>
      <c r="CZ75" s="41"/>
      <c r="DA75" s="78"/>
      <c r="DB75" s="78"/>
      <c r="DC75" s="42"/>
      <c r="DD75" s="42"/>
      <c r="DE75" s="118"/>
      <c r="DF75" s="17" t="s">
        <v>111</v>
      </c>
      <c r="DG75" s="41"/>
      <c r="DH75" s="78"/>
      <c r="DI75" s="78"/>
      <c r="DJ75" s="42"/>
      <c r="DK75" s="42"/>
      <c r="DL75" s="118"/>
      <c r="DM75" s="17" t="s">
        <v>112</v>
      </c>
      <c r="DN75" s="41"/>
      <c r="DO75" s="78"/>
      <c r="DP75" s="78"/>
      <c r="DQ75" s="42"/>
      <c r="DR75" s="42"/>
      <c r="DS75" s="118"/>
      <c r="DT75" s="17" t="s">
        <v>113</v>
      </c>
      <c r="DU75" s="41"/>
      <c r="DV75" s="78"/>
      <c r="DW75" s="78"/>
      <c r="DX75" s="42"/>
      <c r="DY75" s="42"/>
      <c r="DZ75" s="118"/>
      <c r="EA75" s="17" t="s">
        <v>114</v>
      </c>
      <c r="EB75" s="41"/>
      <c r="EC75" s="78"/>
      <c r="ED75" s="78"/>
      <c r="EE75" s="42"/>
      <c r="EF75" s="42"/>
      <c r="EG75" s="118"/>
      <c r="EH75" s="17" t="s">
        <v>115</v>
      </c>
      <c r="EI75" s="41"/>
      <c r="EJ75" s="78"/>
      <c r="EK75" s="78"/>
      <c r="EL75" s="42"/>
      <c r="EM75" s="42"/>
      <c r="EN75" s="118"/>
      <c r="ET75" s="155" t="s">
        <v>83</v>
      </c>
      <c r="EU75" s="59"/>
      <c r="EV75" s="77"/>
      <c r="EW75" s="176"/>
      <c r="EX75" s="179"/>
      <c r="EY75" s="179"/>
      <c r="EZ75" s="122"/>
      <c r="FA75" s="155" t="s">
        <v>90</v>
      </c>
      <c r="FB75" s="41"/>
      <c r="FC75" s="77"/>
      <c r="FD75" s="77"/>
      <c r="FE75" s="179"/>
      <c r="FF75" s="179"/>
      <c r="FG75" s="118"/>
      <c r="FH75" s="155" t="s">
        <v>89</v>
      </c>
      <c r="FI75" s="41"/>
      <c r="FJ75" s="77"/>
      <c r="FK75" s="77"/>
      <c r="FL75" s="179"/>
      <c r="FM75" s="179"/>
      <c r="FN75" s="118"/>
      <c r="FO75" s="155" t="s">
        <v>92</v>
      </c>
      <c r="FP75" s="41"/>
      <c r="FQ75" s="77"/>
      <c r="FR75" s="77"/>
      <c r="FS75" s="179"/>
      <c r="FT75" s="179"/>
      <c r="FU75" s="232"/>
    </row>
    <row r="76" spans="1:177" ht="33.75" customHeight="1" x14ac:dyDescent="0.2">
      <c r="A76" s="115" t="str">
        <f t="shared" si="6"/>
        <v>Calendar 36</v>
      </c>
      <c r="B76" s="69" t="str">
        <f t="shared" si="7"/>
        <v>Country_code</v>
      </c>
      <c r="C76" s="43" t="s">
        <v>196</v>
      </c>
      <c r="D76" s="43"/>
      <c r="E76" s="17" t="s">
        <v>94</v>
      </c>
      <c r="F76" s="39"/>
      <c r="G76" s="78"/>
      <c r="H76" s="78"/>
      <c r="I76" s="42"/>
      <c r="J76" s="42"/>
      <c r="K76" s="119"/>
      <c r="L76" s="17" t="s">
        <v>97</v>
      </c>
      <c r="M76" s="41"/>
      <c r="N76" s="78"/>
      <c r="O76" s="78"/>
      <c r="P76" s="40"/>
      <c r="Q76" s="42"/>
      <c r="R76" s="119"/>
      <c r="S76" s="17" t="s">
        <v>98</v>
      </c>
      <c r="T76" s="41"/>
      <c r="U76" s="78"/>
      <c r="V76" s="78"/>
      <c r="W76" s="42"/>
      <c r="X76" s="42"/>
      <c r="Y76" s="118"/>
      <c r="Z76" s="17" t="s">
        <v>99</v>
      </c>
      <c r="AA76" s="41"/>
      <c r="AB76" s="78"/>
      <c r="AC76" s="78"/>
      <c r="AD76" s="42"/>
      <c r="AE76" s="42"/>
      <c r="AF76" s="118"/>
      <c r="AG76" s="17" t="s">
        <v>100</v>
      </c>
      <c r="AH76" s="41"/>
      <c r="AI76" s="78"/>
      <c r="AJ76" s="78"/>
      <c r="AK76" s="42"/>
      <c r="AL76" s="42"/>
      <c r="AM76" s="118"/>
      <c r="AN76" s="17" t="s">
        <v>101</v>
      </c>
      <c r="AO76" s="41"/>
      <c r="AP76" s="78"/>
      <c r="AQ76" s="78"/>
      <c r="AR76" s="42"/>
      <c r="AS76" s="42"/>
      <c r="AT76" s="118"/>
      <c r="AU76" s="17" t="s">
        <v>157</v>
      </c>
      <c r="AV76" s="41"/>
      <c r="AW76" s="78"/>
      <c r="AX76" s="78"/>
      <c r="AY76" s="42"/>
      <c r="AZ76" s="42"/>
      <c r="BA76" s="118"/>
      <c r="BB76" s="17" t="s">
        <v>103</v>
      </c>
      <c r="BC76" s="41"/>
      <c r="BD76" s="78"/>
      <c r="BE76" s="78"/>
      <c r="BF76" s="42"/>
      <c r="BG76" s="42"/>
      <c r="BH76" s="118"/>
      <c r="BI76" s="17" t="s">
        <v>104</v>
      </c>
      <c r="BJ76" s="39"/>
      <c r="BK76" s="78"/>
      <c r="BL76" s="78"/>
      <c r="BM76" s="42"/>
      <c r="BN76" s="42"/>
      <c r="BO76" s="118"/>
      <c r="BP76" s="17" t="s">
        <v>105</v>
      </c>
      <c r="BQ76" s="41"/>
      <c r="BR76" s="78"/>
      <c r="BS76" s="78"/>
      <c r="BT76" s="42"/>
      <c r="BU76" s="42"/>
      <c r="BV76" s="118"/>
      <c r="BW76" s="17" t="s">
        <v>106</v>
      </c>
      <c r="BX76" s="41"/>
      <c r="BY76" s="80"/>
      <c r="BZ76" s="80"/>
      <c r="CA76" s="42"/>
      <c r="CB76" s="42"/>
      <c r="CC76" s="118"/>
      <c r="CD76" s="17" t="s">
        <v>107</v>
      </c>
      <c r="CE76" s="41"/>
      <c r="CF76" s="78"/>
      <c r="CG76" s="78"/>
      <c r="CH76" s="42"/>
      <c r="CI76" s="42"/>
      <c r="CJ76" s="118"/>
      <c r="CK76" s="17" t="s">
        <v>108</v>
      </c>
      <c r="CL76" s="41"/>
      <c r="CM76" s="78"/>
      <c r="CN76" s="78"/>
      <c r="CO76" s="42"/>
      <c r="CP76" s="42"/>
      <c r="CQ76" s="118"/>
      <c r="CR76" s="17" t="s">
        <v>109</v>
      </c>
      <c r="CS76" s="41"/>
      <c r="CT76" s="78"/>
      <c r="CU76" s="78"/>
      <c r="CV76" s="42"/>
      <c r="CW76" s="42"/>
      <c r="CX76" s="118"/>
      <c r="CY76" s="17" t="s">
        <v>110</v>
      </c>
      <c r="CZ76" s="41"/>
      <c r="DA76" s="78"/>
      <c r="DB76" s="78"/>
      <c r="DC76" s="42"/>
      <c r="DD76" s="42"/>
      <c r="DE76" s="118"/>
      <c r="DF76" s="17" t="s">
        <v>111</v>
      </c>
      <c r="DG76" s="41"/>
      <c r="DH76" s="78"/>
      <c r="DI76" s="78"/>
      <c r="DJ76" s="42"/>
      <c r="DK76" s="42"/>
      <c r="DL76" s="118"/>
      <c r="DM76" s="17" t="s">
        <v>112</v>
      </c>
      <c r="DN76" s="41"/>
      <c r="DO76" s="78"/>
      <c r="DP76" s="78"/>
      <c r="DQ76" s="42"/>
      <c r="DR76" s="42"/>
      <c r="DS76" s="118"/>
      <c r="DT76" s="17" t="s">
        <v>113</v>
      </c>
      <c r="DU76" s="41"/>
      <c r="DV76" s="78"/>
      <c r="DW76" s="78"/>
      <c r="DX76" s="42"/>
      <c r="DY76" s="42"/>
      <c r="DZ76" s="118"/>
      <c r="EA76" s="17" t="s">
        <v>114</v>
      </c>
      <c r="EB76" s="41"/>
      <c r="EC76" s="78"/>
      <c r="ED76" s="78"/>
      <c r="EE76" s="42"/>
      <c r="EF76" s="42"/>
      <c r="EG76" s="118"/>
      <c r="EH76" s="17" t="s">
        <v>115</v>
      </c>
      <c r="EI76" s="41"/>
      <c r="EJ76" s="78"/>
      <c r="EK76" s="78"/>
      <c r="EL76" s="42"/>
      <c r="EM76" s="42"/>
      <c r="EN76" s="118"/>
      <c r="ET76" s="155" t="s">
        <v>83</v>
      </c>
      <c r="EU76" s="59"/>
      <c r="EV76" s="77"/>
      <c r="EW76" s="176"/>
      <c r="EX76" s="179"/>
      <c r="EY76" s="179"/>
      <c r="EZ76" s="122"/>
      <c r="FA76" s="155" t="s">
        <v>90</v>
      </c>
      <c r="FB76" s="39"/>
      <c r="FC76" s="77"/>
      <c r="FD76" s="77"/>
      <c r="FE76" s="179"/>
      <c r="FF76" s="179"/>
      <c r="FG76" s="119"/>
      <c r="FH76" s="155" t="s">
        <v>89</v>
      </c>
      <c r="FI76" s="39"/>
      <c r="FJ76" s="77"/>
      <c r="FK76" s="77"/>
      <c r="FL76" s="179"/>
      <c r="FM76" s="179"/>
      <c r="FN76" s="119"/>
      <c r="FO76" s="155" t="s">
        <v>92</v>
      </c>
      <c r="FP76" s="39"/>
      <c r="FQ76" s="77"/>
      <c r="FR76" s="77"/>
      <c r="FS76" s="179"/>
      <c r="FT76" s="179"/>
      <c r="FU76" s="230"/>
    </row>
    <row r="77" spans="1:177" ht="33.75" customHeight="1" x14ac:dyDescent="0.2">
      <c r="A77" s="115" t="str">
        <f t="shared" si="6"/>
        <v>Calendar 36</v>
      </c>
      <c r="B77" s="69" t="str">
        <f t="shared" si="7"/>
        <v>Country_code</v>
      </c>
      <c r="C77" s="43" t="s">
        <v>196</v>
      </c>
      <c r="D77" s="43"/>
      <c r="E77" s="17" t="s">
        <v>94</v>
      </c>
      <c r="F77" s="39"/>
      <c r="G77" s="78"/>
      <c r="H77" s="78"/>
      <c r="I77" s="42"/>
      <c r="J77" s="42"/>
      <c r="K77" s="119"/>
      <c r="L77" s="17" t="s">
        <v>97</v>
      </c>
      <c r="M77" s="41"/>
      <c r="N77" s="78"/>
      <c r="O77" s="78"/>
      <c r="P77" s="40"/>
      <c r="Q77" s="42"/>
      <c r="R77" s="119"/>
      <c r="S77" s="17" t="s">
        <v>98</v>
      </c>
      <c r="T77" s="41"/>
      <c r="U77" s="78"/>
      <c r="V77" s="78"/>
      <c r="W77" s="42"/>
      <c r="X77" s="42"/>
      <c r="Y77" s="118"/>
      <c r="Z77" s="17" t="s">
        <v>99</v>
      </c>
      <c r="AA77" s="41"/>
      <c r="AB77" s="78"/>
      <c r="AC77" s="78"/>
      <c r="AD77" s="42"/>
      <c r="AE77" s="42"/>
      <c r="AF77" s="118"/>
      <c r="AG77" s="17" t="s">
        <v>100</v>
      </c>
      <c r="AH77" s="41"/>
      <c r="AI77" s="78"/>
      <c r="AJ77" s="78"/>
      <c r="AK77" s="42"/>
      <c r="AL77" s="42"/>
      <c r="AM77" s="118"/>
      <c r="AN77" s="17" t="s">
        <v>101</v>
      </c>
      <c r="AO77" s="41"/>
      <c r="AP77" s="78"/>
      <c r="AQ77" s="78"/>
      <c r="AR77" s="42"/>
      <c r="AS77" s="42"/>
      <c r="AT77" s="118"/>
      <c r="AU77" s="17" t="s">
        <v>157</v>
      </c>
      <c r="AV77" s="41"/>
      <c r="AW77" s="78"/>
      <c r="AX77" s="78"/>
      <c r="AY77" s="42"/>
      <c r="AZ77" s="42"/>
      <c r="BA77" s="118"/>
      <c r="BB77" s="17" t="s">
        <v>103</v>
      </c>
      <c r="BC77" s="41"/>
      <c r="BD77" s="78"/>
      <c r="BE77" s="78"/>
      <c r="BF77" s="42"/>
      <c r="BG77" s="42"/>
      <c r="BH77" s="118"/>
      <c r="BI77" s="17" t="s">
        <v>104</v>
      </c>
      <c r="BJ77" s="39"/>
      <c r="BK77" s="78"/>
      <c r="BL77" s="78"/>
      <c r="BM77" s="42"/>
      <c r="BN77" s="42"/>
      <c r="BO77" s="118"/>
      <c r="BP77" s="17" t="s">
        <v>105</v>
      </c>
      <c r="BQ77" s="41"/>
      <c r="BR77" s="78"/>
      <c r="BS77" s="78"/>
      <c r="BT77" s="42"/>
      <c r="BU77" s="42"/>
      <c r="BV77" s="118"/>
      <c r="BW77" s="17" t="s">
        <v>106</v>
      </c>
      <c r="BX77" s="41"/>
      <c r="BY77" s="80"/>
      <c r="BZ77" s="80"/>
      <c r="CA77" s="42"/>
      <c r="CB77" s="42"/>
      <c r="CC77" s="118"/>
      <c r="CD77" s="17" t="s">
        <v>107</v>
      </c>
      <c r="CE77" s="41"/>
      <c r="CF77" s="78"/>
      <c r="CG77" s="78"/>
      <c r="CH77" s="42"/>
      <c r="CI77" s="42"/>
      <c r="CJ77" s="118"/>
      <c r="CK77" s="17" t="s">
        <v>108</v>
      </c>
      <c r="CL77" s="41"/>
      <c r="CM77" s="78"/>
      <c r="CN77" s="78"/>
      <c r="CO77" s="42"/>
      <c r="CP77" s="42"/>
      <c r="CQ77" s="118"/>
      <c r="CR77" s="17" t="s">
        <v>109</v>
      </c>
      <c r="CS77" s="41"/>
      <c r="CT77" s="78"/>
      <c r="CU77" s="78"/>
      <c r="CV77" s="42"/>
      <c r="CW77" s="42"/>
      <c r="CX77" s="118"/>
      <c r="CY77" s="17" t="s">
        <v>110</v>
      </c>
      <c r="CZ77" s="41"/>
      <c r="DA77" s="78"/>
      <c r="DB77" s="78"/>
      <c r="DC77" s="42"/>
      <c r="DD77" s="42"/>
      <c r="DE77" s="118"/>
      <c r="DF77" s="17" t="s">
        <v>111</v>
      </c>
      <c r="DG77" s="41"/>
      <c r="DH77" s="78"/>
      <c r="DI77" s="78"/>
      <c r="DJ77" s="42"/>
      <c r="DK77" s="42"/>
      <c r="DL77" s="118"/>
      <c r="DM77" s="17" t="s">
        <v>112</v>
      </c>
      <c r="DN77" s="41"/>
      <c r="DO77" s="78"/>
      <c r="DP77" s="78"/>
      <c r="DQ77" s="42"/>
      <c r="DR77" s="42"/>
      <c r="DS77" s="118"/>
      <c r="DT77" s="17" t="s">
        <v>113</v>
      </c>
      <c r="DU77" s="41"/>
      <c r="DV77" s="78"/>
      <c r="DW77" s="78"/>
      <c r="DX77" s="42"/>
      <c r="DY77" s="42"/>
      <c r="DZ77" s="118"/>
      <c r="EA77" s="17" t="s">
        <v>114</v>
      </c>
      <c r="EB77" s="41"/>
      <c r="EC77" s="78"/>
      <c r="ED77" s="78"/>
      <c r="EE77" s="42"/>
      <c r="EF77" s="42"/>
      <c r="EG77" s="118"/>
      <c r="EH77" s="17" t="s">
        <v>115</v>
      </c>
      <c r="EI77" s="41"/>
      <c r="EJ77" s="78"/>
      <c r="EK77" s="78"/>
      <c r="EL77" s="42"/>
      <c r="EM77" s="42"/>
      <c r="EN77" s="118"/>
      <c r="ET77" s="155" t="s">
        <v>83</v>
      </c>
      <c r="EU77" s="59"/>
      <c r="EV77" s="77"/>
      <c r="EW77" s="176"/>
      <c r="EX77" s="179"/>
      <c r="EY77" s="179"/>
      <c r="EZ77" s="122"/>
      <c r="FA77" s="155" t="s">
        <v>90</v>
      </c>
      <c r="FB77" s="41"/>
      <c r="FC77" s="77"/>
      <c r="FD77" s="77"/>
      <c r="FE77" s="179"/>
      <c r="FF77" s="179"/>
      <c r="FG77" s="118"/>
      <c r="FH77" s="155" t="s">
        <v>89</v>
      </c>
      <c r="FI77" s="41"/>
      <c r="FJ77" s="77"/>
      <c r="FK77" s="77"/>
      <c r="FL77" s="179"/>
      <c r="FM77" s="179"/>
      <c r="FN77" s="118"/>
      <c r="FO77" s="155" t="s">
        <v>92</v>
      </c>
      <c r="FP77" s="41"/>
      <c r="FQ77" s="77"/>
      <c r="FR77" s="77"/>
      <c r="FS77" s="179"/>
      <c r="FT77" s="179"/>
      <c r="FU77" s="232"/>
    </row>
    <row r="78" spans="1:177" ht="33.75" customHeight="1" x14ac:dyDescent="0.2">
      <c r="A78" s="115" t="str">
        <f t="shared" si="6"/>
        <v>Calendar 37</v>
      </c>
      <c r="B78" s="69" t="str">
        <f t="shared" si="7"/>
        <v>Country_code</v>
      </c>
      <c r="C78" s="43" t="s">
        <v>197</v>
      </c>
      <c r="D78" s="43"/>
      <c r="E78" s="17" t="s">
        <v>94</v>
      </c>
      <c r="F78" s="39"/>
      <c r="G78" s="78"/>
      <c r="H78" s="78"/>
      <c r="I78" s="42"/>
      <c r="J78" s="42"/>
      <c r="K78" s="119"/>
      <c r="L78" s="17" t="s">
        <v>97</v>
      </c>
      <c r="M78" s="41"/>
      <c r="N78" s="78"/>
      <c r="O78" s="78"/>
      <c r="P78" s="40"/>
      <c r="Q78" s="42"/>
      <c r="R78" s="119"/>
      <c r="S78" s="17" t="s">
        <v>98</v>
      </c>
      <c r="T78" s="41"/>
      <c r="U78" s="78"/>
      <c r="V78" s="78"/>
      <c r="W78" s="42"/>
      <c r="X78" s="42"/>
      <c r="Y78" s="118"/>
      <c r="Z78" s="17" t="s">
        <v>99</v>
      </c>
      <c r="AA78" s="41"/>
      <c r="AB78" s="78"/>
      <c r="AC78" s="78"/>
      <c r="AD78" s="42"/>
      <c r="AE78" s="42"/>
      <c r="AF78" s="118"/>
      <c r="AG78" s="17" t="s">
        <v>100</v>
      </c>
      <c r="AH78" s="41"/>
      <c r="AI78" s="78"/>
      <c r="AJ78" s="78"/>
      <c r="AK78" s="42"/>
      <c r="AL78" s="42"/>
      <c r="AM78" s="118"/>
      <c r="AN78" s="17" t="s">
        <v>101</v>
      </c>
      <c r="AO78" s="41"/>
      <c r="AP78" s="78"/>
      <c r="AQ78" s="78"/>
      <c r="AR78" s="42"/>
      <c r="AS78" s="42"/>
      <c r="AT78" s="118"/>
      <c r="AU78" s="17" t="s">
        <v>157</v>
      </c>
      <c r="AV78" s="41"/>
      <c r="AW78" s="78"/>
      <c r="AX78" s="78"/>
      <c r="AY78" s="42"/>
      <c r="AZ78" s="42"/>
      <c r="BA78" s="118"/>
      <c r="BB78" s="17" t="s">
        <v>103</v>
      </c>
      <c r="BC78" s="41"/>
      <c r="BD78" s="78"/>
      <c r="BE78" s="78"/>
      <c r="BF78" s="42"/>
      <c r="BG78" s="42"/>
      <c r="BH78" s="118"/>
      <c r="BI78" s="17" t="s">
        <v>104</v>
      </c>
      <c r="BJ78" s="39"/>
      <c r="BK78" s="78"/>
      <c r="BL78" s="78"/>
      <c r="BM78" s="42"/>
      <c r="BN78" s="42"/>
      <c r="BO78" s="118"/>
      <c r="BP78" s="17" t="s">
        <v>105</v>
      </c>
      <c r="BQ78" s="41"/>
      <c r="BR78" s="78"/>
      <c r="BS78" s="78"/>
      <c r="BT78" s="42"/>
      <c r="BU78" s="42"/>
      <c r="BV78" s="118"/>
      <c r="BW78" s="17" t="s">
        <v>106</v>
      </c>
      <c r="BX78" s="41"/>
      <c r="BY78" s="80"/>
      <c r="BZ78" s="80"/>
      <c r="CA78" s="42"/>
      <c r="CB78" s="42"/>
      <c r="CC78" s="118"/>
      <c r="CD78" s="17" t="s">
        <v>107</v>
      </c>
      <c r="CE78" s="41"/>
      <c r="CF78" s="78"/>
      <c r="CG78" s="78"/>
      <c r="CH78" s="42"/>
      <c r="CI78" s="42"/>
      <c r="CJ78" s="118"/>
      <c r="CK78" s="17" t="s">
        <v>108</v>
      </c>
      <c r="CL78" s="41"/>
      <c r="CM78" s="78"/>
      <c r="CN78" s="78"/>
      <c r="CO78" s="42"/>
      <c r="CP78" s="42"/>
      <c r="CQ78" s="118"/>
      <c r="CR78" s="17" t="s">
        <v>109</v>
      </c>
      <c r="CS78" s="41"/>
      <c r="CT78" s="78"/>
      <c r="CU78" s="78"/>
      <c r="CV78" s="42"/>
      <c r="CW78" s="42"/>
      <c r="CX78" s="118"/>
      <c r="CY78" s="17" t="s">
        <v>110</v>
      </c>
      <c r="CZ78" s="41"/>
      <c r="DA78" s="78"/>
      <c r="DB78" s="78"/>
      <c r="DC78" s="42"/>
      <c r="DD78" s="42"/>
      <c r="DE78" s="118"/>
      <c r="DF78" s="17" t="s">
        <v>111</v>
      </c>
      <c r="DG78" s="41"/>
      <c r="DH78" s="78"/>
      <c r="DI78" s="78"/>
      <c r="DJ78" s="42"/>
      <c r="DK78" s="42"/>
      <c r="DL78" s="118"/>
      <c r="DM78" s="17" t="s">
        <v>112</v>
      </c>
      <c r="DN78" s="41"/>
      <c r="DO78" s="78"/>
      <c r="DP78" s="78"/>
      <c r="DQ78" s="42"/>
      <c r="DR78" s="42"/>
      <c r="DS78" s="118"/>
      <c r="DT78" s="17" t="s">
        <v>113</v>
      </c>
      <c r="DU78" s="41"/>
      <c r="DV78" s="78"/>
      <c r="DW78" s="78"/>
      <c r="DX78" s="42"/>
      <c r="DY78" s="42"/>
      <c r="DZ78" s="118"/>
      <c r="EA78" s="17" t="s">
        <v>114</v>
      </c>
      <c r="EB78" s="41"/>
      <c r="EC78" s="78"/>
      <c r="ED78" s="78"/>
      <c r="EE78" s="42"/>
      <c r="EF78" s="42"/>
      <c r="EG78" s="118"/>
      <c r="EH78" s="17" t="s">
        <v>115</v>
      </c>
      <c r="EI78" s="41"/>
      <c r="EJ78" s="78"/>
      <c r="EK78" s="78"/>
      <c r="EL78" s="42"/>
      <c r="EM78" s="42"/>
      <c r="EN78" s="118"/>
      <c r="ET78" s="155" t="s">
        <v>83</v>
      </c>
      <c r="EU78" s="59"/>
      <c r="EV78" s="77"/>
      <c r="EW78" s="176"/>
      <c r="EX78" s="179"/>
      <c r="EY78" s="179"/>
      <c r="EZ78" s="122"/>
      <c r="FA78" s="155" t="s">
        <v>90</v>
      </c>
      <c r="FB78" s="39"/>
      <c r="FC78" s="77"/>
      <c r="FD78" s="77"/>
      <c r="FE78" s="179"/>
      <c r="FF78" s="179"/>
      <c r="FG78" s="119"/>
      <c r="FH78" s="155" t="s">
        <v>89</v>
      </c>
      <c r="FI78" s="39"/>
      <c r="FJ78" s="77"/>
      <c r="FK78" s="77"/>
      <c r="FL78" s="179"/>
      <c r="FM78" s="179"/>
      <c r="FN78" s="119"/>
      <c r="FO78" s="155" t="s">
        <v>92</v>
      </c>
      <c r="FP78" s="39"/>
      <c r="FQ78" s="77"/>
      <c r="FR78" s="77"/>
      <c r="FS78" s="179"/>
      <c r="FT78" s="179"/>
      <c r="FU78" s="230"/>
    </row>
    <row r="79" spans="1:177" ht="33.75" customHeight="1" x14ac:dyDescent="0.2">
      <c r="A79" s="115" t="str">
        <f t="shared" si="6"/>
        <v>Calendar 37</v>
      </c>
      <c r="B79" s="69" t="str">
        <f t="shared" si="7"/>
        <v>Country_code</v>
      </c>
      <c r="C79" s="43" t="s">
        <v>197</v>
      </c>
      <c r="D79" s="43"/>
      <c r="E79" s="17" t="s">
        <v>94</v>
      </c>
      <c r="F79" s="39"/>
      <c r="G79" s="78"/>
      <c r="H79" s="78"/>
      <c r="I79" s="42"/>
      <c r="J79" s="42"/>
      <c r="K79" s="119"/>
      <c r="L79" s="17" t="s">
        <v>97</v>
      </c>
      <c r="M79" s="41"/>
      <c r="N79" s="78"/>
      <c r="O79" s="78"/>
      <c r="P79" s="40"/>
      <c r="Q79" s="42"/>
      <c r="R79" s="119"/>
      <c r="S79" s="17" t="s">
        <v>98</v>
      </c>
      <c r="T79" s="41"/>
      <c r="U79" s="78"/>
      <c r="V79" s="78"/>
      <c r="W79" s="42"/>
      <c r="X79" s="42"/>
      <c r="Y79" s="118"/>
      <c r="Z79" s="17" t="s">
        <v>99</v>
      </c>
      <c r="AA79" s="41"/>
      <c r="AB79" s="78"/>
      <c r="AC79" s="78"/>
      <c r="AD79" s="42"/>
      <c r="AE79" s="42"/>
      <c r="AF79" s="118"/>
      <c r="AG79" s="17" t="s">
        <v>100</v>
      </c>
      <c r="AH79" s="41"/>
      <c r="AI79" s="78"/>
      <c r="AJ79" s="78"/>
      <c r="AK79" s="42"/>
      <c r="AL79" s="42"/>
      <c r="AM79" s="118"/>
      <c r="AN79" s="17" t="s">
        <v>101</v>
      </c>
      <c r="AO79" s="41"/>
      <c r="AP79" s="78"/>
      <c r="AQ79" s="78"/>
      <c r="AR79" s="42"/>
      <c r="AS79" s="42"/>
      <c r="AT79" s="118"/>
      <c r="AU79" s="17" t="s">
        <v>157</v>
      </c>
      <c r="AV79" s="41"/>
      <c r="AW79" s="78"/>
      <c r="AX79" s="78"/>
      <c r="AY79" s="42"/>
      <c r="AZ79" s="42"/>
      <c r="BA79" s="118"/>
      <c r="BB79" s="17" t="s">
        <v>103</v>
      </c>
      <c r="BC79" s="41"/>
      <c r="BD79" s="78"/>
      <c r="BE79" s="78"/>
      <c r="BF79" s="42"/>
      <c r="BG79" s="42"/>
      <c r="BH79" s="118"/>
      <c r="BI79" s="17" t="s">
        <v>104</v>
      </c>
      <c r="BJ79" s="39"/>
      <c r="BK79" s="78"/>
      <c r="BL79" s="78"/>
      <c r="BM79" s="42"/>
      <c r="BN79" s="42"/>
      <c r="BO79" s="118"/>
      <c r="BP79" s="17" t="s">
        <v>105</v>
      </c>
      <c r="BQ79" s="41"/>
      <c r="BR79" s="78"/>
      <c r="BS79" s="78"/>
      <c r="BT79" s="42"/>
      <c r="BU79" s="42"/>
      <c r="BV79" s="118"/>
      <c r="BW79" s="17" t="s">
        <v>106</v>
      </c>
      <c r="BX79" s="41"/>
      <c r="BY79" s="80"/>
      <c r="BZ79" s="80"/>
      <c r="CA79" s="42"/>
      <c r="CB79" s="42"/>
      <c r="CC79" s="118"/>
      <c r="CD79" s="17" t="s">
        <v>107</v>
      </c>
      <c r="CE79" s="41"/>
      <c r="CF79" s="78"/>
      <c r="CG79" s="78"/>
      <c r="CH79" s="42"/>
      <c r="CI79" s="42"/>
      <c r="CJ79" s="118"/>
      <c r="CK79" s="17" t="s">
        <v>108</v>
      </c>
      <c r="CL79" s="41"/>
      <c r="CM79" s="78"/>
      <c r="CN79" s="78"/>
      <c r="CO79" s="42"/>
      <c r="CP79" s="42"/>
      <c r="CQ79" s="118"/>
      <c r="CR79" s="17" t="s">
        <v>109</v>
      </c>
      <c r="CS79" s="41"/>
      <c r="CT79" s="78"/>
      <c r="CU79" s="78"/>
      <c r="CV79" s="42"/>
      <c r="CW79" s="42"/>
      <c r="CX79" s="118"/>
      <c r="CY79" s="17" t="s">
        <v>110</v>
      </c>
      <c r="CZ79" s="41"/>
      <c r="DA79" s="78"/>
      <c r="DB79" s="78"/>
      <c r="DC79" s="42"/>
      <c r="DD79" s="42"/>
      <c r="DE79" s="118"/>
      <c r="DF79" s="17" t="s">
        <v>111</v>
      </c>
      <c r="DG79" s="41"/>
      <c r="DH79" s="78"/>
      <c r="DI79" s="78"/>
      <c r="DJ79" s="42"/>
      <c r="DK79" s="42"/>
      <c r="DL79" s="118"/>
      <c r="DM79" s="17" t="s">
        <v>112</v>
      </c>
      <c r="DN79" s="41"/>
      <c r="DO79" s="78"/>
      <c r="DP79" s="78"/>
      <c r="DQ79" s="42"/>
      <c r="DR79" s="42"/>
      <c r="DS79" s="118"/>
      <c r="DT79" s="17" t="s">
        <v>113</v>
      </c>
      <c r="DU79" s="41"/>
      <c r="DV79" s="78"/>
      <c r="DW79" s="78"/>
      <c r="DX79" s="42"/>
      <c r="DY79" s="42"/>
      <c r="DZ79" s="118"/>
      <c r="EA79" s="17" t="s">
        <v>114</v>
      </c>
      <c r="EB79" s="41"/>
      <c r="EC79" s="78"/>
      <c r="ED79" s="78"/>
      <c r="EE79" s="42"/>
      <c r="EF79" s="42"/>
      <c r="EG79" s="118"/>
      <c r="EH79" s="17" t="s">
        <v>115</v>
      </c>
      <c r="EI79" s="41"/>
      <c r="EJ79" s="78"/>
      <c r="EK79" s="78"/>
      <c r="EL79" s="42"/>
      <c r="EM79" s="42"/>
      <c r="EN79" s="118"/>
      <c r="ET79" s="155" t="s">
        <v>83</v>
      </c>
      <c r="EU79" s="59"/>
      <c r="EV79" s="77"/>
      <c r="EW79" s="176"/>
      <c r="EX79" s="179"/>
      <c r="EY79" s="179"/>
      <c r="EZ79" s="122"/>
      <c r="FA79" s="155" t="s">
        <v>90</v>
      </c>
      <c r="FB79" s="41"/>
      <c r="FC79" s="77"/>
      <c r="FD79" s="77"/>
      <c r="FE79" s="179"/>
      <c r="FF79" s="179"/>
      <c r="FG79" s="118"/>
      <c r="FH79" s="155" t="s">
        <v>89</v>
      </c>
      <c r="FI79" s="41"/>
      <c r="FJ79" s="77"/>
      <c r="FK79" s="77"/>
      <c r="FL79" s="179"/>
      <c r="FM79" s="179"/>
      <c r="FN79" s="118"/>
      <c r="FO79" s="155" t="s">
        <v>92</v>
      </c>
      <c r="FP79" s="41"/>
      <c r="FQ79" s="77"/>
      <c r="FR79" s="77"/>
      <c r="FS79" s="179"/>
      <c r="FT79" s="179"/>
      <c r="FU79" s="232"/>
    </row>
    <row r="80" spans="1:177" ht="33.75" customHeight="1" x14ac:dyDescent="0.2">
      <c r="A80" s="115" t="str">
        <f>Test_Month!$B$5</f>
        <v>North</v>
      </c>
      <c r="B80" s="69" t="str">
        <f t="shared" si="7"/>
        <v>Country_code</v>
      </c>
      <c r="C80" s="116" t="str" cm="1">
        <f t="array" aca="1" ref="C80" ca="1">MID(CELL("filename",Test_Month!A77),FIND("]",CELL("filename",Test_Month!A77))+1,255)</f>
        <v>Test_Month</v>
      </c>
      <c r="D80" s="43" t="str">
        <f>Test_Month!$B$6</f>
        <v>Please specify</v>
      </c>
      <c r="E80" s="152" t="str">
        <f>Test_Month!$A$27</f>
        <v xml:space="preserve"> Period 1</v>
      </c>
      <c r="F80" s="39" t="str">
        <f>IF(Test_Month!$C$28=0,"-",Test_Month!$C$28)</f>
        <v>-</v>
      </c>
      <c r="G80" s="78">
        <f>IF(Test_Month!$C$29=0,"-",Test_Month!$C$29)</f>
        <v>45505</v>
      </c>
      <c r="H80" s="78">
        <f>IF(Test_Month!$E$29=0,"-",Test_Month!$E$29)</f>
        <v>45505</v>
      </c>
      <c r="I80" s="42" t="str">
        <f>IF(Test_Month!$C$30=0,"-",Test_Month!$C$30)</f>
        <v>-</v>
      </c>
      <c r="J80" s="42" t="str">
        <f>IF(Test_Month!$E$30=0,"-",Test_Month!$E$30)</f>
        <v>-</v>
      </c>
      <c r="K80" s="119" t="str">
        <f>IF(Test_Month!$E$31=0,"-",Test_Month!$E$31)</f>
        <v>-</v>
      </c>
      <c r="L80" s="17" t="s">
        <v>97</v>
      </c>
      <c r="M80" s="39" t="str">
        <f>IF(Test_Month!$C$33=0,"-",Test_Month!$C$33)</f>
        <v>-</v>
      </c>
      <c r="N80" s="78">
        <f>IF(Test_Month!$C$34=0,"-",Test_Month!$C$34)</f>
        <v>45536</v>
      </c>
      <c r="O80" s="78">
        <f>IF(Test_Month!$E$34=0,"-",Test_Month!$E$34)</f>
        <v>45537</v>
      </c>
      <c r="P80" s="42" t="str">
        <f>IF(Test_Month!$C$35=0,"-",Test_Month!$C$35)</f>
        <v>-</v>
      </c>
      <c r="Q80" s="42" t="str">
        <f>IF(Test_Month!$E$35=0,"-",Test_Month!$E$35)</f>
        <v>-</v>
      </c>
      <c r="R80" s="119" t="str">
        <f>IF(Test_Month!$E$36=0,"-",Test_Month!$E$36)</f>
        <v>-</v>
      </c>
      <c r="S80" s="17" t="s">
        <v>98</v>
      </c>
      <c r="T80" s="39" t="str">
        <f>IF(Test_Month!$C$38=0,"-",Test_Month!$C$38)</f>
        <v>-</v>
      </c>
      <c r="U80" s="78">
        <f>IF(Test_Month!$C$39=0,"-",Test_Month!$C$39)</f>
        <v>45566</v>
      </c>
      <c r="V80" s="78">
        <f>IF(Test_Month!$E$39=0,"-",Test_Month!$E$39)</f>
        <v>45567</v>
      </c>
      <c r="W80" s="42" t="str">
        <f>IF(Test_Month!$C$40=0,"-",Test_Month!$C$40)</f>
        <v>-</v>
      </c>
      <c r="X80" s="42" t="str">
        <f>IF(Test_Month!$E$40=0,"-",Test_Month!$E$40)</f>
        <v>-</v>
      </c>
      <c r="Y80" s="119" t="str">
        <f>IF(Test_Month!$E$41=0,"-",Test_Month!$E$41)</f>
        <v>-</v>
      </c>
      <c r="Z80" s="17" t="s">
        <v>99</v>
      </c>
      <c r="AA80" s="157" t="str">
        <f>IF(Test_Month!$C$43=0,"-",Test_Month!$C$43)</f>
        <v>-</v>
      </c>
      <c r="AB80" s="78">
        <f>IF(Test_Month!$C$44=0,"-",Test_Month!$C$44)</f>
        <v>45597</v>
      </c>
      <c r="AC80" s="78">
        <f>IF(Test_Month!$E$44=0,"-",Test_Month!$E$44)</f>
        <v>45598</v>
      </c>
      <c r="AD80" s="42" t="str">
        <f>IF(Test_Month!$C$45=0,"-",Test_Month!$C$45)</f>
        <v>-</v>
      </c>
      <c r="AE80" s="42" t="str">
        <f>IF(Test_Month!$E$45=0,"-",Test_Month!$E$45)</f>
        <v>-</v>
      </c>
      <c r="AF80" s="119" t="str">
        <f>IF(Test_Month!$E$46=0,"-",Test_Month!$E$46)</f>
        <v>-</v>
      </c>
      <c r="AG80" s="17" t="s">
        <v>100</v>
      </c>
      <c r="AH80" s="39" t="str">
        <f>IF(Test_Month!$C$48=0,"-",Test_Month!$C$48)</f>
        <v>-</v>
      </c>
      <c r="AI80" s="78">
        <f>IF(Test_Month!$C$49=0,"-",Test_Month!$C$49)</f>
        <v>45627</v>
      </c>
      <c r="AJ80" s="78">
        <f>IF(Test_Month!$E$49=0,"-",Test_Month!$E$49)</f>
        <v>45628</v>
      </c>
      <c r="AK80" s="42" t="str">
        <f>IF(Test_Month!$C$50=0,"-",Test_Month!$C$50)</f>
        <v>-</v>
      </c>
      <c r="AL80" s="42" t="str">
        <f>IF(Test_Month!$E$50=0,"-",Test_Month!$E$50)</f>
        <v>-</v>
      </c>
      <c r="AM80" s="119" t="str">
        <f>IF(Test_Month!$E$51=0,"-",Test_Month!$E$51)</f>
        <v>-</v>
      </c>
      <c r="AN80" s="17" t="s">
        <v>101</v>
      </c>
      <c r="AO80" s="39" t="str">
        <f>IF(Test_Month!$C$53=0,"-",Test_Month!$C$53)</f>
        <v>-</v>
      </c>
      <c r="AP80" s="78">
        <f>IF(Test_Month!$C$54=0,"-",Test_Month!$C$54)</f>
        <v>45658</v>
      </c>
      <c r="AQ80" s="78">
        <f>IF(Test_Month!$E$54=0,"-",Test_Month!$E$54)</f>
        <v>45659</v>
      </c>
      <c r="AR80" s="42" t="str">
        <f>IF(Test_Month!$C$55=0,"-",Test_Month!$C$55)</f>
        <v>-</v>
      </c>
      <c r="AS80" s="42" t="str">
        <f>IF(Test_Month!$E$55=0,"-",Test_Month!$E$55)</f>
        <v>-</v>
      </c>
      <c r="AT80" s="119" t="str">
        <f>IF(Test_Month!$E$56=0,"-",Test_Month!$E$56)</f>
        <v>-</v>
      </c>
      <c r="AU80" s="17" t="s">
        <v>102</v>
      </c>
      <c r="AV80" s="39" t="str">
        <f>IF(Test_Month!$C$58=0,"-",Test_Month!$C$58)</f>
        <v>-</v>
      </c>
      <c r="AW80" s="78">
        <f>IF(Test_Month!$C$59=0,"-",Test_Month!$C$59)</f>
        <v>45689</v>
      </c>
      <c r="AX80" s="78">
        <f>IF(Test_Month!$E$59=0,"-",Test_Month!$E$59)</f>
        <v>45690</v>
      </c>
      <c r="AY80" s="42" t="str">
        <f>IF(Test_Month!$C$60=0,"-",Test_Month!$C$60)</f>
        <v>-</v>
      </c>
      <c r="AZ80" s="42" t="str">
        <f>IF(Test_Month!$E$60=0,"-",Test_Month!$E$60)</f>
        <v>-</v>
      </c>
      <c r="BA80" s="119" t="str">
        <f>IF(Test_Month!$E$61=0,"-",Test_Month!$E$61)</f>
        <v>-</v>
      </c>
      <c r="BB80" s="17" t="s">
        <v>103</v>
      </c>
      <c r="BC80" s="39" t="str">
        <f>IF(Test_Month!$C$63=0,"-",Test_Month!$C$63)</f>
        <v>-</v>
      </c>
      <c r="BD80" s="78">
        <f>IF(Test_Month!$C$64=0,"-",Test_Month!$C$64)</f>
        <v>45717</v>
      </c>
      <c r="BE80" s="78">
        <f>IF(Test_Month!$E$64=0,"-",Test_Month!$E$64)</f>
        <v>45718</v>
      </c>
      <c r="BF80" s="42" t="str">
        <f>IF(Test_Month!$C$65=0,"-",Test_Month!$C$65)</f>
        <v>-</v>
      </c>
      <c r="BG80" s="42" t="str">
        <f>IF(Test_Month!$E$65=0,"-",Test_Month!$E$65)</f>
        <v>-</v>
      </c>
      <c r="BH80" s="119" t="str">
        <f>IF(Test_Month!$E$66=0,"-",Test_Month!$E$66)</f>
        <v>-</v>
      </c>
      <c r="BI80" s="17" t="s">
        <v>104</v>
      </c>
      <c r="BJ80" s="39" t="str">
        <f>IF(Test_Month!$C$68=0,"-",Test_Month!$C$68)</f>
        <v>-</v>
      </c>
      <c r="BK80" s="78">
        <f>IF(Test_Month!$C$69=0,"-",Test_Month!$C$69)</f>
        <v>45748</v>
      </c>
      <c r="BL80" s="78">
        <f>IF(Test_Month!$E$69=0,"-",Test_Month!$E$69)</f>
        <v>45749</v>
      </c>
      <c r="BM80" s="42" t="str">
        <f>IF(Test_Month!$C$70=0,"-",Test_Month!$C$70)</f>
        <v>-</v>
      </c>
      <c r="BN80" s="42" t="str">
        <f>IF(Test_Month!$E$70=0,"-",Test_Month!$E$70)</f>
        <v>-</v>
      </c>
      <c r="BO80" s="119" t="str">
        <f>IF(Test_Month!$E$71=0,"-",Test_Month!$E$71)</f>
        <v>-</v>
      </c>
      <c r="BP80" s="17" t="s">
        <v>105</v>
      </c>
      <c r="BQ80" s="39" t="str">
        <f>IF(Test_Month!$C$73=0,"-",Test_Month!$C$73)</f>
        <v>-</v>
      </c>
      <c r="BR80" s="78">
        <f>IF(Test_Month!$C$74="-",0,Test_Month!$C$74)</f>
        <v>45778</v>
      </c>
      <c r="BS80" s="78">
        <f>IF(Test_Month!$E$74=0,"-",Test_Month!$E$74)</f>
        <v>45779</v>
      </c>
      <c r="BT80" s="42" t="str">
        <f>IF(Test_Month!$C$75=0,"-",Test_Month!$C$75)</f>
        <v>-</v>
      </c>
      <c r="BU80" s="42" t="str">
        <f>IF(Test_Month!$E$75=0,"-",Test_Month!$E$75)</f>
        <v>-</v>
      </c>
      <c r="BV80" s="119" t="str">
        <f>IF(Test_Month!$E$76=0,"-",Test_Month!$E$76)</f>
        <v>-</v>
      </c>
      <c r="BW80" s="17" t="s">
        <v>106</v>
      </c>
      <c r="BX80" s="39" t="str">
        <f>IF(Test_Month!$C$78=0,"-",Test_Month!$C$78)</f>
        <v>-</v>
      </c>
      <c r="BY80" s="78">
        <f>IF(Test_Month!$C$79=0,"-",Test_Month!$C$79)</f>
        <v>45809</v>
      </c>
      <c r="BZ80" s="78">
        <f>IF(Test_Month!$E$79=0,"-",Test_Month!$E$79)</f>
        <v>45810</v>
      </c>
      <c r="CA80" s="42" t="str">
        <f>IF(Test_Month!$C$80=0,"-",Test_Month!$C$80)</f>
        <v>-</v>
      </c>
      <c r="CB80" s="42" t="str">
        <f>IF(Test_Month!$E$80=0,"-",Test_Month!$E$80)</f>
        <v>-</v>
      </c>
      <c r="CC80" s="119" t="str">
        <f>IF(Test_Month!$E$81=0,"-",Test_Month!$E$81)</f>
        <v>-</v>
      </c>
      <c r="CD80" s="17" t="s">
        <v>107</v>
      </c>
      <c r="CE80" s="39" t="str">
        <f>IF(Test_Month!$C$83=0,"-",Test_Month!$C$83)</f>
        <v>-</v>
      </c>
      <c r="CF80" s="78">
        <f>IF(Test_Month!$C$84=0,"-",Test_Month!$C$84)</f>
        <v>45839</v>
      </c>
      <c r="CG80" s="78">
        <f>IF(Test_Month!$E$84=0,"-",Test_Month!$E$84)</f>
        <v>45840</v>
      </c>
      <c r="CH80" s="42" t="str">
        <f>IF(Test_Month!$C$85=0,"-",Test_Month!$C$85)</f>
        <v>-</v>
      </c>
      <c r="CI80" s="42" t="str">
        <f>IF(Test_Month!$E$85=0,"-",Test_Month!$E$85)</f>
        <v>-</v>
      </c>
      <c r="CJ80" s="119" t="str">
        <f>IF(Test_Month!$E$86=0,"-",Test_Month!$E$86)</f>
        <v>-</v>
      </c>
      <c r="CK80" s="17" t="s">
        <v>108</v>
      </c>
      <c r="CL80" s="39" t="str">
        <f>IF(Test_Month!$C$88=0,"-",Test_Month!$C$88)</f>
        <v>-</v>
      </c>
      <c r="CM80" s="78">
        <f>IF(Test_Month!$C$89=0,"-",Test_Month!$C$89)</f>
        <v>45870</v>
      </c>
      <c r="CN80" s="78">
        <f>IF(Test_Month!$E$89=0,"-",Test_Month!$E$89)</f>
        <v>45871</v>
      </c>
      <c r="CO80" s="42" t="str">
        <f>IF(Test_Month!$C$90=0,"-",Test_Month!$C$90)</f>
        <v>-</v>
      </c>
      <c r="CP80" s="42" t="str">
        <f>IF(Test_Month!$E$90=0,"-",Test_Month!$E$90)</f>
        <v>-</v>
      </c>
      <c r="CQ80" s="119" t="str">
        <f>IF(Test_Month!$E$91=0,"-",Test_Month!$E$91)</f>
        <v>-</v>
      </c>
      <c r="CR80" s="17" t="s">
        <v>109</v>
      </c>
      <c r="CS80" s="39" t="str">
        <f>IF(Test_Month!$C$93=0,"-",Test_Month!$C$93)</f>
        <v>-</v>
      </c>
      <c r="CT80" s="78">
        <f>IF(Test_Month!$C$94=0,"-",Test_Month!$C$94)</f>
        <v>45901</v>
      </c>
      <c r="CU80" s="78">
        <f>IF(Test_Month!$E$94=0,"-",Test_Month!$E$94)</f>
        <v>45902</v>
      </c>
      <c r="CV80" s="42" t="str">
        <f>IF(Test_Month!$C$95=0,"-",Test_Month!$C$95)</f>
        <v>-</v>
      </c>
      <c r="CW80" s="42" t="str">
        <f>IF(Test_Month!$E$95=0,"-",Test_Month!$E$95)</f>
        <v>-</v>
      </c>
      <c r="CX80" s="119" t="str">
        <f>IF(Test_Month!$E$96=0,"-",Test_Month!$E$96)</f>
        <v>-</v>
      </c>
      <c r="CY80" s="17" t="s">
        <v>110</v>
      </c>
      <c r="CZ80" s="39" t="str">
        <f>IF(Test_Month!$C$98=0,"-",Test_Month!$C$98)</f>
        <v>-</v>
      </c>
      <c r="DA80" s="78">
        <f>IF(Test_Month!$C$99=0,"-",Test_Month!$C$99)</f>
        <v>45931</v>
      </c>
      <c r="DB80" s="78">
        <f>IF(Test_Month!$E$99=0,"-",Test_Month!$E$99)</f>
        <v>45932</v>
      </c>
      <c r="DC80" s="42" t="str">
        <f>IF(Test_Month!$C$100=0,"-",Test_Month!$C$100)</f>
        <v>-</v>
      </c>
      <c r="DD80" s="42" t="str">
        <f>IF(Test_Month!$E$100=0,"-",Test_Month!$E$100)</f>
        <v>-</v>
      </c>
      <c r="DE80" s="119" t="str">
        <f>IF(Test_Month!$E$101=0,"-",Test_Month!$E$101)</f>
        <v>-</v>
      </c>
      <c r="DF80" s="17" t="s">
        <v>111</v>
      </c>
      <c r="DG80" s="39" t="str">
        <f>IF(Test_Month!$C$103=0,"-",Test_Month!$C$103)</f>
        <v>-</v>
      </c>
      <c r="DH80" s="78">
        <f>IF(Test_Month!$C$104=0,"-",Test_Month!$C$104)</f>
        <v>45931</v>
      </c>
      <c r="DI80" s="78">
        <f>IF(Test_Month!$E$104=0,"-",Test_Month!$E$104)</f>
        <v>45932</v>
      </c>
      <c r="DJ80" s="42" t="str">
        <f>IF(Test_Month!$C$105=0,"-",Test_Month!$C$105)</f>
        <v>-</v>
      </c>
      <c r="DK80" s="42" t="str">
        <f>IF(Test_Month!$E$105=0,"-",Test_Month!$E$105)</f>
        <v>-</v>
      </c>
      <c r="DL80" s="119" t="str">
        <f>IF(Test_Month!$E$106=0,"-",Test_Month!$E$106)</f>
        <v>-</v>
      </c>
      <c r="DM80" s="17" t="s">
        <v>112</v>
      </c>
      <c r="DN80" s="39" t="str">
        <f>IF(Test_Month!$C$108=0,"-",Test_Month!$C$108)</f>
        <v>-</v>
      </c>
      <c r="DO80" s="78" t="str">
        <f>IF(Test_Month!$C$109=0,"-",Test_Month!$C$109)</f>
        <v>-</v>
      </c>
      <c r="DP80" s="78" t="str">
        <f>IF(Test_Month!$E$109=0,"-",Test_Month!$E$109)</f>
        <v>-</v>
      </c>
      <c r="DQ80" s="42" t="str">
        <f>IF(Test_Month!$C$110=0,"-",Test_Month!$C$110)</f>
        <v>-</v>
      </c>
      <c r="DR80" s="42" t="str">
        <f>IF(Test_Month!$E$110=0,"-",Test_Month!$E$110)</f>
        <v>-</v>
      </c>
      <c r="DS80" s="119" t="str">
        <f>IF(Test_Month!$E$111=0,"-",Test_Month!$E$111)</f>
        <v>-</v>
      </c>
      <c r="DT80" s="17" t="s">
        <v>113</v>
      </c>
      <c r="DU80" s="39" t="str">
        <f>IF(Test_Month!$C$113=0,"-",Test_Month!$C$113)</f>
        <v>-</v>
      </c>
      <c r="DV80" s="78" t="str">
        <f>IF(Test_Month!$C$114=0,"-",Test_Month!$C$114)</f>
        <v>-</v>
      </c>
      <c r="DW80" s="78" t="str">
        <f>IF(Test_Month!$E$114=0,"-",Test_Month!$E$114)</f>
        <v>-</v>
      </c>
      <c r="DX80" s="42" t="str">
        <f>IF(Test_Month!$C$115=0,"-",Test_Month!$C$115)</f>
        <v>-</v>
      </c>
      <c r="DY80" s="42" t="str">
        <f>IF(Test_Month!$E$115=0,"-",Test_Month!$E$115)</f>
        <v>-</v>
      </c>
      <c r="DZ80" s="119" t="str">
        <f>IF(Test_Month!$E$116=0,"-",Test_Month!$E$116)</f>
        <v>-</v>
      </c>
      <c r="EA80" s="17" t="s">
        <v>114</v>
      </c>
      <c r="EB80" s="39" t="str">
        <f>IF(Test_Month!$C$118=0,"-",Test_Month!$C$118)</f>
        <v>-</v>
      </c>
      <c r="EC80" s="78" t="str">
        <f>IF(Test_Month!$C$119=0,"-",Test_Month!$C$119)</f>
        <v>-</v>
      </c>
      <c r="ED80" s="78" t="str">
        <f>IF(Test_Month!$E$119=0,"-",Test_Month!$E$119)</f>
        <v>-</v>
      </c>
      <c r="EE80" s="42" t="str">
        <f>IF(Test_Month!$C$120=0,"-",Test_Month!$C$120)</f>
        <v>-</v>
      </c>
      <c r="EF80" s="42" t="str">
        <f>IF(Test_Month!$E$120=0,"-",Test_Month!$E$120)</f>
        <v>-</v>
      </c>
      <c r="EG80" s="119" t="str">
        <f>IF(Test_Month!$E$121=0,"-",Test_Month!$E$121)</f>
        <v>-</v>
      </c>
      <c r="EH80" s="17" t="s">
        <v>115</v>
      </c>
      <c r="EI80" s="39" t="str">
        <f>IF(Test_Month!$C$123=0,"-",Test_Month!$C$123)</f>
        <v>-</v>
      </c>
      <c r="EJ80" s="78" t="str">
        <f>IF(Test_Month!$C$124=0,"-",Test_Month!$C$124)</f>
        <v>-</v>
      </c>
      <c r="EK80" s="78" t="str">
        <f>IF(Test_Month!$E$124=0,"-",Test_Month!$E$124)</f>
        <v>-</v>
      </c>
      <c r="EL80" s="42" t="str">
        <f>IF(Test_Month!$C$125=0,"-",Test_Month!$C$125)</f>
        <v>-</v>
      </c>
      <c r="EM80" s="42" t="str">
        <f>IF(Test_Month!$E$125=0,"-",Test_Month!$E$125)</f>
        <v>-</v>
      </c>
      <c r="EN80" s="119" t="str">
        <f>IF(Test_Month!$E$126=0,"-",Test_Month!$E$126)</f>
        <v>-</v>
      </c>
      <c r="ES80" s="69" t="str">
        <f ca="1">C80</f>
        <v>Test_Month</v>
      </c>
      <c r="ET80" s="155" t="s">
        <v>83</v>
      </c>
      <c r="EU80" s="39" t="str">
        <f>IF(Test_Month!$C$8=0,"",Test_Month!$C$8)</f>
        <v/>
      </c>
      <c r="EV80" s="78">
        <f>IF(OR(Test_Month!$C$9=0,Test_Month!$C$9=""),"",Test_Month!$C$9)</f>
        <v>45474</v>
      </c>
      <c r="EW80" s="78">
        <f>EV80</f>
        <v>45474</v>
      </c>
      <c r="EX80" s="180"/>
      <c r="EY80" s="180"/>
      <c r="EZ80" s="119" t="str">
        <f>IF(Test_Month!$E$10=0,"",Test_Month!$E$10)</f>
        <v/>
      </c>
      <c r="FA80" s="155" t="s">
        <v>90</v>
      </c>
      <c r="FB80" s="39" t="str">
        <f>IF(Test_Month!$C$16=0,"",Test_Month!$C$16)</f>
        <v/>
      </c>
      <c r="FC80" s="78">
        <f>IF(OR(Test_Month!$C$17=0,Test_Month!$C$17=""),"",Test_Month!$C$17)</f>
        <v>45626</v>
      </c>
      <c r="FD80" s="78">
        <f>FC80</f>
        <v>45626</v>
      </c>
      <c r="FE80" s="180" t="s">
        <v>152</v>
      </c>
      <c r="FF80" s="180" t="s">
        <v>152</v>
      </c>
      <c r="FG80" s="119" t="str">
        <f>IF(Test_Month!$E$18=0,"-",Test_Month!$E$18)</f>
        <v>-</v>
      </c>
      <c r="FH80" s="155" t="s">
        <v>89</v>
      </c>
      <c r="FI80" s="39" t="str">
        <f>IF(Test_Month!$C$12=0,"-",Test_Month!$C$12)</f>
        <v>-</v>
      </c>
      <c r="FJ80" s="78" t="str">
        <f>IF(Test_Month!$C$13=0,"-",Test_Month!$C$13)</f>
        <v>-</v>
      </c>
      <c r="FK80" s="78" t="str">
        <f>IF(Test_Month!$C$13=0,"-",Test_Month!$C$13)</f>
        <v>-</v>
      </c>
      <c r="FL80" s="180" t="s">
        <v>152</v>
      </c>
      <c r="FM80" s="180" t="s">
        <v>152</v>
      </c>
      <c r="FN80" s="119" t="str">
        <f>IF(Test_Month!$E$14=0,"-",Test_Month!$E$14)</f>
        <v>-</v>
      </c>
      <c r="FO80" s="155" t="s">
        <v>92</v>
      </c>
      <c r="FP80" s="39" t="str">
        <f>IF(Test_Month!$C$20=0,"-",Test_Month!$C$20)</f>
        <v>-</v>
      </c>
      <c r="FQ80" s="78" t="str">
        <f>IF(Test_Month!$C$21=0,"-",Test_Month!$C$21)</f>
        <v>-</v>
      </c>
      <c r="FR80" s="78" t="str">
        <f>IF(Test_Month!$C$21=0,"-",Test_Month!$C$21)</f>
        <v>-</v>
      </c>
      <c r="FS80" s="180" t="s">
        <v>152</v>
      </c>
      <c r="FT80" s="180" t="s">
        <v>152</v>
      </c>
      <c r="FU80" s="230" t="str">
        <f>IF(Test_Month!$E$22=0,"-",Test_Month!$E$22)</f>
        <v>-</v>
      </c>
    </row>
    <row r="81" spans="1:177" ht="33.75" customHeight="1" x14ac:dyDescent="0.2">
      <c r="A81" s="115" t="str">
        <f>Test_Month!$H$5</f>
        <v>South</v>
      </c>
      <c r="B81" s="69" t="str">
        <f t="shared" si="7"/>
        <v>Country_code</v>
      </c>
      <c r="C81" s="116" t="str" cm="1">
        <f t="array" aca="1" ref="C81" ca="1">MID(CELL("filename",Test_Month!A78),FIND("]",CELL("filename",Test_Month!A78))+1,255)</f>
        <v>Test_Month</v>
      </c>
      <c r="D81" s="43" t="str">
        <f>Test_Month!$H$6</f>
        <v>Please specify</v>
      </c>
      <c r="E81" s="152" t="str">
        <f>Test_Month!$A$27</f>
        <v xml:space="preserve"> Period 1</v>
      </c>
      <c r="F81" s="39" t="str">
        <f>IF(Test_Month!$I$28=0,"-",Test_Month!$I$28)</f>
        <v>-</v>
      </c>
      <c r="G81" s="78">
        <f>IF(Test_Month!$I$29=0,"-",Test_Month!$I$29)</f>
        <v>45505</v>
      </c>
      <c r="H81" s="78">
        <f>IF(Test_Month!$K$29=0,"-",Test_Month!$K$29)</f>
        <v>45505</v>
      </c>
      <c r="I81" s="42" t="str">
        <f>IF(Test_Month!$I$30=0,"-",Test_Month!$I$30)</f>
        <v>-</v>
      </c>
      <c r="J81" s="42" t="str">
        <f>IF(Test_Month!$K$30=0,"-",Test_Month!$K$30)</f>
        <v>-</v>
      </c>
      <c r="K81" s="119" t="str">
        <f>IF(Test_Month!$K$31=0,"-",Test_Month!$K$31)</f>
        <v>-</v>
      </c>
      <c r="L81" s="17" t="s">
        <v>97</v>
      </c>
      <c r="M81" s="39" t="str">
        <f>IF(Test_Month!$I$33=0,"-",Test_Month!$I$33)</f>
        <v>-</v>
      </c>
      <c r="N81" s="78" t="str">
        <f>IF(Test_Month!$I$34=0,"-",Test_Month!$I$34)</f>
        <v>-</v>
      </c>
      <c r="O81" s="78" t="str">
        <f>IF(Test_Month!$K$34=0,"-",Test_Month!$K$34)</f>
        <v>-</v>
      </c>
      <c r="P81" s="42" t="str">
        <f>IF(Test_Month!$I$35=0,"-",Test_Month!$I$35)</f>
        <v>-</v>
      </c>
      <c r="Q81" s="42" t="str">
        <f>IF(Test_Month!$K$35=0,"-",Test_Month!$K$35)</f>
        <v>-</v>
      </c>
      <c r="R81" s="119" t="str">
        <f>IF(Test_Month!$K$36=0,"-",Test_Month!$K$36)</f>
        <v>-</v>
      </c>
      <c r="S81" s="17" t="s">
        <v>98</v>
      </c>
      <c r="T81" s="39" t="str">
        <f>IF(Test_Month!$I$38=0,"-",Test_Month!$I$38)</f>
        <v>-</v>
      </c>
      <c r="U81" s="78" t="str">
        <f>IF(Test_Month!$I$39=0,"-",Test_Month!$I$39)</f>
        <v>-</v>
      </c>
      <c r="V81" s="78" t="str">
        <f>IF(Test_Month!$K$39=0,"-",Test_Month!$K$39)</f>
        <v>-</v>
      </c>
      <c r="W81" s="42" t="str">
        <f>IF(Test_Month!$I$40=0,"-",Test_Month!$I$40)</f>
        <v>-</v>
      </c>
      <c r="X81" s="42" t="str">
        <f>IF(Test_Month!$K$40=0,"-",Test_Month!$K$40)</f>
        <v>-</v>
      </c>
      <c r="Y81" s="119" t="str">
        <f>IF(Test_Month!$K$41=0,"-",Test_Month!$K$41)</f>
        <v>-</v>
      </c>
      <c r="Z81" s="17" t="s">
        <v>99</v>
      </c>
      <c r="AA81" s="157" t="str">
        <f>IF(Test_Month!$I$43=0,"-",Test_Month!$I$43)</f>
        <v>-</v>
      </c>
      <c r="AB81" s="78" t="str">
        <f>IF(Test_Month!$I$44=0,"-",Test_Month!$I$44)</f>
        <v>-</v>
      </c>
      <c r="AC81" s="78" t="str">
        <f>IF(Test_Month!$K$44=0,"-",Test_Month!$K$44)</f>
        <v>-</v>
      </c>
      <c r="AD81" s="42" t="str">
        <f>IF(Test_Month!$I$45=0,"-",Test_Month!$I$45)</f>
        <v>-</v>
      </c>
      <c r="AE81" s="42" t="str">
        <f>IF(Test_Month!$K$45=0,"-",Test_Month!$K$45)</f>
        <v>-</v>
      </c>
      <c r="AF81" s="119" t="str">
        <f>IF(Test_Month!$K$46=0,"-",Test_Month!$K$46)</f>
        <v>-</v>
      </c>
      <c r="AG81" s="17" t="s">
        <v>100</v>
      </c>
      <c r="AH81" s="39" t="str">
        <f>IF(Test_Month!$I$48=0,"-",Test_Month!$I$48)</f>
        <v>-</v>
      </c>
      <c r="AI81" s="78" t="str">
        <f>IF(Test_Month!$I$49=0,"-",Test_Month!$I$49)</f>
        <v>-</v>
      </c>
      <c r="AJ81" s="78" t="str">
        <f>IF(Test_Month!$K$49=0,"-",Test_Month!$K$49)</f>
        <v>-</v>
      </c>
      <c r="AK81" s="42" t="str">
        <f>IF(Test_Month!$I$50=0,"-",Test_Month!$I$50)</f>
        <v>-</v>
      </c>
      <c r="AL81" s="42" t="str">
        <f>IF(Test_Month!$K$50=0,"-",Test_Month!$K$50)</f>
        <v>-</v>
      </c>
      <c r="AM81" s="119" t="str">
        <f>IF(Test_Month!$K$51=0,"-",Test_Month!$K$51)</f>
        <v>-</v>
      </c>
      <c r="AN81" s="17" t="s">
        <v>101</v>
      </c>
      <c r="AO81" s="39" t="str">
        <f>IF(Test_Month!$I$53=0,"-",Test_Month!$I$53)</f>
        <v>-</v>
      </c>
      <c r="AP81" s="78" t="str">
        <f>IF(Test_Month!$I$54=0,"-",Test_Month!$I$54)</f>
        <v>-</v>
      </c>
      <c r="AQ81" s="78" t="str">
        <f>IF(Test_Month!$K$54=0,"-",Test_Month!$K$54)</f>
        <v>-</v>
      </c>
      <c r="AR81" s="42" t="str">
        <f>IF(Test_Month!$I$55=0,"-",Test_Month!$I$55)</f>
        <v>-</v>
      </c>
      <c r="AS81" s="42" t="str">
        <f>IF(Test_Month!$K$55=0,"-",Test_Month!$K$55)</f>
        <v>-</v>
      </c>
      <c r="AT81" s="119" t="str">
        <f>IF(Test_Month!$K$56=0,"-",Test_Month!$K$56)</f>
        <v>-</v>
      </c>
      <c r="AU81" s="17" t="s">
        <v>102</v>
      </c>
      <c r="AV81" s="39" t="str">
        <f>IF(Test_Month!$I$58=0,"-",Test_Month!$I$58)</f>
        <v>-</v>
      </c>
      <c r="AW81" s="78" t="str">
        <f>IF(Test_Month!$I$59=0,"-",Test_Month!$I$59)</f>
        <v>-</v>
      </c>
      <c r="AX81" s="78" t="str">
        <f>IF(Test_Month!$K$59=0,"-",Test_Month!$K$59)</f>
        <v>-</v>
      </c>
      <c r="AY81" s="42" t="str">
        <f>IF(Test_Month!$I$60=0,"-",Test_Month!$I$60)</f>
        <v>-</v>
      </c>
      <c r="AZ81" s="42" t="str">
        <f>IF(Test_Month!$K$60=0,"-",Test_Month!$K$60)</f>
        <v>-</v>
      </c>
      <c r="BA81" s="119" t="str">
        <f>IF(Test_Month!$K$61=0,"-",Test_Month!$K$61)</f>
        <v>-</v>
      </c>
      <c r="BB81" s="17" t="s">
        <v>103</v>
      </c>
      <c r="BC81" s="39" t="str">
        <f>IF(Test_Month!$I$63=0,"-",Test_Month!$I$63)</f>
        <v>-</v>
      </c>
      <c r="BD81" s="78" t="str">
        <f>IF(Test_Month!$I$64=0,"-",Test_Month!$I$64)</f>
        <v>-</v>
      </c>
      <c r="BE81" s="78" t="str">
        <f>IF(Test_Month!$K$64=0,"-",Test_Month!$K$64)</f>
        <v>-</v>
      </c>
      <c r="BF81" s="42" t="str">
        <f>IF(Test_Month!$I$65=0,"-",Test_Month!$I$65)</f>
        <v>-</v>
      </c>
      <c r="BG81" s="42" t="str">
        <f>IF(Test_Month!$K$65=0,"-",Test_Month!$K$65)</f>
        <v>-</v>
      </c>
      <c r="BH81" s="119" t="str">
        <f>IF(Test_Month!$K$66=0,"-",Test_Month!$K$66)</f>
        <v>-</v>
      </c>
      <c r="BI81" s="17" t="s">
        <v>104</v>
      </c>
      <c r="BJ81" s="39" t="str">
        <f>IF(Test_Month!$I$68=0,"-",Test_Month!$I$68)</f>
        <v>-</v>
      </c>
      <c r="BK81" s="78" t="str">
        <f>IF(Test_Month!$I$69=0,"-",Test_Month!$I$69)</f>
        <v>-</v>
      </c>
      <c r="BL81" s="78" t="str">
        <f>IF(Test_Month!$K$69=0,"-",Test_Month!$K$69)</f>
        <v>-</v>
      </c>
      <c r="BM81" s="42" t="str">
        <f>IF(Test_Month!$I$70=0,"-",Test_Month!$I$70)</f>
        <v>-</v>
      </c>
      <c r="BN81" s="42" t="str">
        <f>IF(Test_Month!$K$70=0,"-",Test_Month!$K$70)</f>
        <v>-</v>
      </c>
      <c r="BO81" s="119" t="str">
        <f>IF(Test_Month!$K$71=0,"-",Test_Month!$K$71)</f>
        <v>-</v>
      </c>
      <c r="BP81" s="17" t="s">
        <v>105</v>
      </c>
      <c r="BQ81" s="39" t="str">
        <f>IF(Test_Month!$I$73=0,"-",Test_Month!$I$73)</f>
        <v>-</v>
      </c>
      <c r="BR81" s="78">
        <f>IF(Test_Month!$I$74="-",0,Test_Month!$I$74)</f>
        <v>0</v>
      </c>
      <c r="BS81" s="78" t="str">
        <f>IF(Test_Month!$K$74=0,"-",Test_Month!$K$74)</f>
        <v>-</v>
      </c>
      <c r="BT81" s="42" t="str">
        <f>IF(Test_Month!$I$75=0,"-",Test_Month!$I$75)</f>
        <v>-</v>
      </c>
      <c r="BU81" s="42" t="str">
        <f>IF(Test_Month!$K$75=0,"-",Test_Month!$K$75)</f>
        <v>-</v>
      </c>
      <c r="BV81" s="119" t="str">
        <f>IF(Test_Month!$K$76=0,"-",Test_Month!$K$76)</f>
        <v>-</v>
      </c>
      <c r="BW81" s="17" t="s">
        <v>106</v>
      </c>
      <c r="BX81" s="39" t="str">
        <f>IF(Test_Month!$I$78=0,"-",Test_Month!$I$78)</f>
        <v>-</v>
      </c>
      <c r="BY81" s="78" t="str">
        <f>IF(Test_Month!$I$79=0,"-",Test_Month!$I$79)</f>
        <v>-</v>
      </c>
      <c r="BZ81" s="78" t="str">
        <f>IF(Test_Month!$K$79=0,"-",Test_Month!$K$79)</f>
        <v>-</v>
      </c>
      <c r="CA81" s="42" t="str">
        <f>IF(Test_Month!$I$80=0,"-",Test_Month!$I$80)</f>
        <v>-</v>
      </c>
      <c r="CB81" s="42" t="str">
        <f>IF(Test_Month!$K$80=0,"-",Test_Month!$K$80)</f>
        <v>-</v>
      </c>
      <c r="CC81" s="119" t="str">
        <f>IF(Test_Month!$K$81=0,"-",Test_Month!$K$81)</f>
        <v>-</v>
      </c>
      <c r="CD81" s="17" t="s">
        <v>107</v>
      </c>
      <c r="CE81" s="39" t="str">
        <f>IF(Test_Month!$I$83=0,"-",Test_Month!$I$83)</f>
        <v>-</v>
      </c>
      <c r="CF81" s="78" t="str">
        <f>IF(Test_Month!$I$84=0,"-",Test_Month!$I$84)</f>
        <v>-</v>
      </c>
      <c r="CG81" s="78" t="str">
        <f>IF(Test_Month!$K$84=0,"-",Test_Month!$K$84)</f>
        <v>-</v>
      </c>
      <c r="CH81" s="42" t="str">
        <f>IF(Test_Month!$I$85=0,"-",Test_Month!$I$85)</f>
        <v>-</v>
      </c>
      <c r="CI81" s="42" t="str">
        <f>IF(Test_Month!$K$85=0,"-",Test_Month!$K$85)</f>
        <v>-</v>
      </c>
      <c r="CJ81" s="119" t="str">
        <f>IF(Test_Month!$K$86=0,"-",Test_Month!$K$86)</f>
        <v>-</v>
      </c>
      <c r="CK81" s="17" t="s">
        <v>108</v>
      </c>
      <c r="CL81" s="39" t="str">
        <f>IF(Test_Month!$I$88=0,"-",Test_Month!$I$88)</f>
        <v>-</v>
      </c>
      <c r="CM81" s="78" t="str">
        <f>IF(Test_Month!$I$89=0,"-",Test_Month!$I$89)</f>
        <v>-</v>
      </c>
      <c r="CN81" s="78" t="str">
        <f>IF(Test_Month!$K$89=0,"-",Test_Month!$K$89)</f>
        <v>-</v>
      </c>
      <c r="CO81" s="42" t="str">
        <f>IF(Test_Month!$I$90=0,"-",Test_Month!$I$90)</f>
        <v>-</v>
      </c>
      <c r="CP81" s="42" t="str">
        <f>IF(Test_Month!$K$90=0,"-",Test_Month!$K$90)</f>
        <v>-</v>
      </c>
      <c r="CQ81" s="119" t="str">
        <f>IF(Test_Month!$K$91=0,"-",Test_Month!$K$91)</f>
        <v>-</v>
      </c>
      <c r="CR81" s="17" t="s">
        <v>109</v>
      </c>
      <c r="CS81" s="39" t="str">
        <f>IF(Test_Month!$I$93=0,"-",Test_Month!$I$93)</f>
        <v>-</v>
      </c>
      <c r="CT81" s="78" t="str">
        <f>IF(Test_Month!$I$94=0,"-",Test_Month!$I$94)</f>
        <v>-</v>
      </c>
      <c r="CU81" s="78" t="str">
        <f>IF(Test_Month!$K$94=0,"-",Test_Month!$K$94)</f>
        <v>-</v>
      </c>
      <c r="CV81" s="42" t="str">
        <f>IF(Test_Month!$I$95=0,"-",Test_Month!$I$95)</f>
        <v>-</v>
      </c>
      <c r="CW81" s="42" t="str">
        <f>IF(Test_Month!$K$95=0,"-",Test_Month!$K$95)</f>
        <v>-</v>
      </c>
      <c r="CX81" s="119" t="str">
        <f>IF(Test_Month!$K$96=0,"-",Test_Month!$K$96)</f>
        <v>-</v>
      </c>
      <c r="CY81" s="17" t="s">
        <v>110</v>
      </c>
      <c r="CZ81" s="39" t="str">
        <f>IF(Test_Month!$I$98=0,"-",Test_Month!$I$98)</f>
        <v>-</v>
      </c>
      <c r="DA81" s="78" t="str">
        <f>IF(Test_Month!$I$99=0,"-",Test_Month!$I$99)</f>
        <v>-</v>
      </c>
      <c r="DB81" s="78" t="str">
        <f>IF(Test_Month!$K$99=0,"-",Test_Month!$K$99)</f>
        <v>-</v>
      </c>
      <c r="DC81" s="42" t="str">
        <f>IF(Test_Month!$I$100=0,"-",Test_Month!$I$100)</f>
        <v>-</v>
      </c>
      <c r="DD81" s="42" t="str">
        <f>IF(Test_Month!$K$100=0,"-",Test_Month!$K$100)</f>
        <v>-</v>
      </c>
      <c r="DE81" s="119" t="str">
        <f>IF(Test_Month!$K$101=0,"-",Test_Month!$K$101)</f>
        <v>-</v>
      </c>
      <c r="DF81" s="17" t="s">
        <v>111</v>
      </c>
      <c r="DG81" s="39" t="str">
        <f>IF(Test_Month!$I$103=0,"-",Test_Month!$I$103)</f>
        <v>-</v>
      </c>
      <c r="DH81" s="78" t="str">
        <f>IF(Test_Month!$I$104=0,"-",Test_Month!$I$104)</f>
        <v>-</v>
      </c>
      <c r="DI81" s="78" t="str">
        <f>IF(Test_Month!$K$104=0,"-",Test_Month!$K$104)</f>
        <v>-</v>
      </c>
      <c r="DJ81" s="42" t="str">
        <f>IF(Test_Month!$I$105=0,"-",Test_Month!$I$105)</f>
        <v>-</v>
      </c>
      <c r="DK81" s="42" t="str">
        <f>IF(Test_Month!$K$105=0,"-",Test_Month!$K$105)</f>
        <v>-</v>
      </c>
      <c r="DL81" s="119" t="str">
        <f>IF(Test_Month!$K$106=0,"-",Test_Month!$K$106)</f>
        <v>-</v>
      </c>
      <c r="DM81" s="17" t="s">
        <v>112</v>
      </c>
      <c r="DN81" s="39" t="str">
        <f>IF(Test_Month!$I$108=0,"-",Test_Month!$I$108)</f>
        <v>-</v>
      </c>
      <c r="DO81" s="78" t="str">
        <f>IF(Test_Month!$I$109=0,"-",Test_Month!$I$109)</f>
        <v>-</v>
      </c>
      <c r="DP81" s="78" t="str">
        <f>IF(Test_Month!$K$109=0,"-",Test_Month!$K$109)</f>
        <v>-</v>
      </c>
      <c r="DQ81" s="42" t="str">
        <f>IF(Test_Month!$I$110=0,"-",Test_Month!$I$110)</f>
        <v>-</v>
      </c>
      <c r="DR81" s="42" t="str">
        <f>IF(Test_Month!$K$110=0,"-",Test_Month!$K$110)</f>
        <v>-</v>
      </c>
      <c r="DS81" s="119" t="str">
        <f>IF(Test_Month!$K$111=0,"-",Test_Month!$K$111)</f>
        <v>-</v>
      </c>
      <c r="DT81" s="17" t="s">
        <v>113</v>
      </c>
      <c r="DU81" s="39" t="str">
        <f>IF(Test_Month!$I$113=0,"-",Test_Month!$I$113)</f>
        <v>-</v>
      </c>
      <c r="DV81" s="78" t="str">
        <f>IF(Test_Month!$I$114=0,"-",Test_Month!$I$114)</f>
        <v>-</v>
      </c>
      <c r="DW81" s="78" t="str">
        <f>IF(Test_Month!$K$114=0,"-",Test_Month!$K$114)</f>
        <v>-</v>
      </c>
      <c r="DX81" s="42" t="str">
        <f>IF(Test_Month!$I$115=0,"-",Test_Month!$I$115)</f>
        <v>-</v>
      </c>
      <c r="DY81" s="42" t="str">
        <f>IF(Test_Month!$K$115=0,"-",Test_Month!$K$115)</f>
        <v>-</v>
      </c>
      <c r="DZ81" s="119" t="str">
        <f>IF(Test_Month!$K$116=0,"-",Test_Month!$K$116)</f>
        <v>-</v>
      </c>
      <c r="EA81" s="17" t="s">
        <v>114</v>
      </c>
      <c r="EB81" s="39" t="str">
        <f>IF(Test_Month!$I$118=0,"-",Test_Month!$I$118)</f>
        <v>-</v>
      </c>
      <c r="EC81" s="78" t="str">
        <f>IF(Test_Month!$I$119=0,"-",Test_Month!$I$119)</f>
        <v>-</v>
      </c>
      <c r="ED81" s="78" t="str">
        <f>IF(Test_Month!$K$119=0,"-",Test_Month!$K$119)</f>
        <v>-</v>
      </c>
      <c r="EE81" s="42" t="str">
        <f>IF(Test_Month!$I$120=0,"-",Test_Month!$I$120)</f>
        <v>-</v>
      </c>
      <c r="EF81" s="42" t="str">
        <f>IF(Test_Month!$K$120=0,"-",Test_Month!$K$120)</f>
        <v>-</v>
      </c>
      <c r="EG81" s="119" t="str">
        <f>IF(Test_Month!$K$121=0,"-",Test_Month!$K$121)</f>
        <v>-</v>
      </c>
      <c r="EH81" s="17" t="s">
        <v>115</v>
      </c>
      <c r="EI81" s="39" t="str">
        <f>IF(Test_Month!$I$123=0,"-",Test_Month!$I$123)</f>
        <v>-</v>
      </c>
      <c r="EJ81" s="78" t="str">
        <f>IF(Test_Month!$I$124=0,"-",Test_Month!$I$124)</f>
        <v>-</v>
      </c>
      <c r="EK81" s="78" t="str">
        <f>IF(Test_Month!$K$124=0,"-",Test_Month!$K$124)</f>
        <v>-</v>
      </c>
      <c r="EL81" s="42" t="str">
        <f>IF(Test_Month!$I$125=0,"-",Test_Month!$I$125)</f>
        <v>-</v>
      </c>
      <c r="EM81" s="42" t="str">
        <f>IF(Test_Month!$K$125=0,"-",Test_Month!$K$125)</f>
        <v>-</v>
      </c>
      <c r="EN81" s="119" t="str">
        <f>IF(Test_Month!$K$126=0,"-",Test_Month!$K$126)</f>
        <v>-</v>
      </c>
      <c r="ES81" s="69" t="str">
        <f ca="1">C81</f>
        <v>Test_Month</v>
      </c>
      <c r="ET81" s="155" t="s">
        <v>83</v>
      </c>
      <c r="EU81" s="39" t="str">
        <f>IF(Test_Month!$I$8=0,"",Test_Month!$I$8)</f>
        <v/>
      </c>
      <c r="EV81" s="78">
        <f>IF(OR(Test_Month!$I$9=0,Test_Month!$I$9=""),"",Test_Month!$I$9)</f>
        <v>45474</v>
      </c>
      <c r="EW81" s="78">
        <f>EV81</f>
        <v>45474</v>
      </c>
      <c r="EX81" s="180"/>
      <c r="EY81" s="180"/>
      <c r="EZ81" s="119" t="str">
        <f>IF(Test_Month!$K$10=0,"",Test_Month!$K$10)</f>
        <v/>
      </c>
      <c r="FA81" s="155" t="s">
        <v>90</v>
      </c>
      <c r="FB81" s="39" t="str">
        <f>IF(Test_Month!$I$16=0,"",Test_Month!$I$16)</f>
        <v/>
      </c>
      <c r="FC81" s="78">
        <f>IF(OR(Test_Month!$I$17=0,Test_Month!$I$17=""),"",Test_Month!$I$17)</f>
        <v>45626</v>
      </c>
      <c r="FD81" s="78">
        <f>FC81</f>
        <v>45626</v>
      </c>
      <c r="FE81" s="180" t="s">
        <v>152</v>
      </c>
      <c r="FF81" s="180" t="s">
        <v>152</v>
      </c>
      <c r="FG81" s="119" t="str">
        <f>IF(Test_Month!$K$18=0,"-",Test_Month!$K$18)</f>
        <v>-</v>
      </c>
      <c r="FH81" s="155" t="s">
        <v>89</v>
      </c>
      <c r="FI81" s="39" t="str">
        <f>IF(Test_Month!$I$12=0,"-",Test_Month!$I$12)</f>
        <v>-</v>
      </c>
      <c r="FJ81" s="78" t="str">
        <f>IF(Test_Month!$I$13=0,"-",Test_Month!$I$13)</f>
        <v>-</v>
      </c>
      <c r="FK81" s="78" t="str">
        <f>IF(Test_Month!$I$13=0,"-",Test_Month!$I$13)</f>
        <v>-</v>
      </c>
      <c r="FL81" s="180" t="s">
        <v>152</v>
      </c>
      <c r="FM81" s="180" t="s">
        <v>152</v>
      </c>
      <c r="FN81" s="119" t="str">
        <f>IF(Test_Month!$K$14=0,"-",Test_Month!$K$14)</f>
        <v>-</v>
      </c>
      <c r="FO81" s="155" t="s">
        <v>92</v>
      </c>
      <c r="FP81" s="39" t="str">
        <f>IF(Test_Month!$I$20=0,"-",Test_Month!$I$20)</f>
        <v>-</v>
      </c>
      <c r="FQ81" s="78" t="str">
        <f>IF(Test_Month!$I$21=0,"-",Test_Month!$I$21)</f>
        <v>-</v>
      </c>
      <c r="FR81" s="78" t="str">
        <f>IF(Test_Month!$I$21=0,"-",Test_Month!$I$21)</f>
        <v>-</v>
      </c>
      <c r="FS81" s="180" t="s">
        <v>152</v>
      </c>
      <c r="FT81" s="180" t="s">
        <v>152</v>
      </c>
      <c r="FU81" s="230" t="str">
        <f>IF(Test_Month!$K$22=0,"-",Test_Month!$K$22)</f>
        <v>K22</v>
      </c>
    </row>
    <row r="82" spans="1:177" ht="33.75" customHeight="1" x14ac:dyDescent="0.2">
      <c r="A82" s="115" t="str">
        <f>Test_WE!$B$5</f>
        <v>PRIMARY</v>
      </c>
      <c r="B82" s="69" t="str">
        <f>B81</f>
        <v>Country_code</v>
      </c>
      <c r="C82" s="116" t="str" cm="1">
        <f t="array" aca="1" ref="C82" ca="1">MID(CELL("filename",Test_WE!A79),FIND("]",CELL("filename",Test_WE!A79))+1,255)</f>
        <v>Test_WE</v>
      </c>
      <c r="D82" s="43" t="str">
        <f>Test_WE!$B$6</f>
        <v>Please specify</v>
      </c>
      <c r="E82" s="152" t="str">
        <f>Test_WE!$A$27</f>
        <v xml:space="preserve"> Period 1</v>
      </c>
      <c r="F82" s="39" t="str">
        <f>IF(Test_WE!$C$28=0,"-",Test_WE!$C$28)</f>
        <v>-</v>
      </c>
      <c r="G82" s="78">
        <f>IF(Test_WE!$C$29=0,"-",Test_WE!$C$29)</f>
        <v>45479</v>
      </c>
      <c r="H82" s="78">
        <f>IF(Test_WE!$E$29=0,"-",Test_WE!$E$29)</f>
        <v>45480</v>
      </c>
      <c r="I82" s="42" t="str">
        <f>IF(Test_WE!$C$30=0,"-",Test_WE!$C$30)</f>
        <v>-</v>
      </c>
      <c r="J82" s="42" t="str">
        <f>IF(Test_WE!$E$30=0,"-",Test_WE!$E$30)</f>
        <v>-</v>
      </c>
      <c r="K82" s="119" t="str">
        <f>IF(Test_WE!$E$31=0,"-",Test_WE!$E$31)</f>
        <v>-</v>
      </c>
      <c r="L82" s="17" t="s">
        <v>97</v>
      </c>
      <c r="M82" s="39" t="str">
        <f>IF(Test_WE!$C$33=0,"-",Test_WE!$C$33)</f>
        <v>-</v>
      </c>
      <c r="N82" s="78">
        <f>IF(Test_WE!$C$34=0,"-",Test_WE!$C$34)</f>
        <v>45486</v>
      </c>
      <c r="O82" s="78">
        <f>IF(Test_WE!$E$34=0,"-",Test_WE!$E$34)</f>
        <v>45487</v>
      </c>
      <c r="P82" s="42" t="str">
        <f>IF(Test_WE!$C$35=0,"-",Test_WE!$C$35)</f>
        <v>-</v>
      </c>
      <c r="Q82" s="42" t="str">
        <f>IF(Test_WE!$E$35=0,"-",Test_WE!$E$35)</f>
        <v>-</v>
      </c>
      <c r="R82" s="119" t="str">
        <f>IF(Test_WE!$E$36=0,"-",Test_WE!$E$36)</f>
        <v>-</v>
      </c>
      <c r="S82" s="17" t="s">
        <v>98</v>
      </c>
      <c r="T82" s="39" t="str">
        <f>IF(Test_WE!$C$38=0,"-",Test_WE!$C$38)</f>
        <v>-</v>
      </c>
      <c r="U82" s="78">
        <f>IF(Test_WE!$C$39=0,"-",Test_WE!$C$39)</f>
        <v>45493</v>
      </c>
      <c r="V82" s="78">
        <f>IF(Test_WE!$E$39=0,"-",Test_WE!$E$39)</f>
        <v>45494</v>
      </c>
      <c r="W82" s="42" t="str">
        <f>IF(Test_WE!$C$40=0,"-",Test_WE!$C$40)</f>
        <v>-</v>
      </c>
      <c r="X82" s="42" t="str">
        <f>IF(Test_WE!$E$40=0,"-",Test_WE!$E$40)</f>
        <v>-</v>
      </c>
      <c r="Y82" s="119" t="str">
        <f>IF(Test_WE!$E$41=0,"-",Test_WE!$E$41)</f>
        <v>-</v>
      </c>
      <c r="Z82" s="17" t="s">
        <v>99</v>
      </c>
      <c r="AA82" s="157" t="str">
        <f>IF(Test_WE!$C$43=0,"-",Test_WE!$C$43)</f>
        <v>-</v>
      </c>
      <c r="AB82" s="78">
        <f>IF(Test_WE!$C$44=0,"-",Test_WE!$C$44)</f>
        <v>45500</v>
      </c>
      <c r="AC82" s="78">
        <f>IF(Test_WE!$E$44=0,"-",Test_WE!$E$44)</f>
        <v>45501</v>
      </c>
      <c r="AD82" s="42" t="str">
        <f>IF(Test_WE!$C$45=0,"-",Test_WE!$C$45)</f>
        <v>-</v>
      </c>
      <c r="AE82" s="42" t="str">
        <f>IF(Test_WE!$E$45=0,"-",Test_WE!$E$45)</f>
        <v>-</v>
      </c>
      <c r="AF82" s="119" t="str">
        <f>IF(Test_WE!$E$46=0,"-",Test_WE!$E$46)</f>
        <v>-</v>
      </c>
      <c r="AG82" s="17" t="s">
        <v>100</v>
      </c>
      <c r="AH82" s="39" t="str">
        <f>IF(Test_WE!$C$48=0,"-",Test_WE!$C$48)</f>
        <v>-</v>
      </c>
      <c r="AI82" s="78">
        <f>IF(Test_WE!$C$49=0,"-",Test_WE!$C$49)</f>
        <v>45507</v>
      </c>
      <c r="AJ82" s="78">
        <f>IF(Test_WE!$E$49=0,"-",Test_WE!$E$49)</f>
        <v>45508</v>
      </c>
      <c r="AK82" s="42" t="str">
        <f>IF(Test_WE!$C$50=0,"-",Test_WE!$C$50)</f>
        <v>-</v>
      </c>
      <c r="AL82" s="42" t="str">
        <f>IF(Test_WE!$E$50=0,"-",Test_WE!$E$50)</f>
        <v>-</v>
      </c>
      <c r="AM82" s="119" t="str">
        <f>IF(Test_WE!$E$51=0,"-",Test_WE!$E$51)</f>
        <v>-</v>
      </c>
      <c r="AN82" s="17" t="s">
        <v>101</v>
      </c>
      <c r="AO82" s="39" t="str">
        <f>IF(Test_WE!$C$53=0,"-",Test_WE!$C$53)</f>
        <v>-</v>
      </c>
      <c r="AP82" s="78">
        <f>IF(Test_WE!$C$54=0,"-",Test_WE!$C$54)</f>
        <v>45514</v>
      </c>
      <c r="AQ82" s="78">
        <f>IF(Test_WE!$E$54=0,"-",Test_WE!$E$54)</f>
        <v>45515</v>
      </c>
      <c r="AR82" s="42" t="str">
        <f>IF(Test_WE!$C$55=0,"-",Test_WE!$C$55)</f>
        <v>-</v>
      </c>
      <c r="AS82" s="42" t="str">
        <f>IF(Test_WE!$E$55=0,"-",Test_WE!$E$55)</f>
        <v>-</v>
      </c>
      <c r="AT82" s="119" t="str">
        <f>IF(Test_WE!$E$56=0,"-",Test_WE!$E$56)</f>
        <v>-</v>
      </c>
      <c r="AU82" s="17" t="s">
        <v>102</v>
      </c>
      <c r="AV82" s="39" t="str">
        <f>IF(Test_WE!$C$58=0,"-",Test_WE!$C$58)</f>
        <v>-</v>
      </c>
      <c r="AW82" s="78">
        <f>IF(Test_WE!$C$59=0,"-",Test_WE!$C$59)</f>
        <v>45521</v>
      </c>
      <c r="AX82" s="78">
        <f>IF(Test_WE!$E$59=0,"-",Test_WE!$E$59)</f>
        <v>45522</v>
      </c>
      <c r="AY82" s="42" t="str">
        <f>IF(Test_WE!$C$60=0,"-",Test_WE!$C$60)</f>
        <v>-</v>
      </c>
      <c r="AZ82" s="42" t="str">
        <f>IF(Test_WE!$E$60=0,"-",Test_WE!$E$60)</f>
        <v>-</v>
      </c>
      <c r="BA82" s="119" t="str">
        <f>IF(Test_WE!$E$61=0,"-",Test_WE!$E$61)</f>
        <v>-</v>
      </c>
      <c r="BB82" s="17" t="s">
        <v>103</v>
      </c>
      <c r="BC82" s="39" t="str">
        <f>IF(Test_WE!$C$63=0,"-",Test_WE!$C$63)</f>
        <v>-</v>
      </c>
      <c r="BD82" s="78">
        <f>IF(Test_WE!$C$64=0,"-",Test_WE!$C$64)</f>
        <v>45528</v>
      </c>
      <c r="BE82" s="78">
        <f>IF(Test_WE!$E$64=0,"-",Test_WE!$E$64)</f>
        <v>45529</v>
      </c>
      <c r="BF82" s="42" t="str">
        <f>IF(Test_WE!$C$65=0,"-",Test_WE!$C$65)</f>
        <v>-</v>
      </c>
      <c r="BG82" s="42" t="str">
        <f>IF(Test_WE!$E$65=0,"-",Test_WE!$E$65)</f>
        <v>-</v>
      </c>
      <c r="BH82" s="119" t="str">
        <f>IF(Test_WE!$E$66=0,"-",Test_WE!$E$66)</f>
        <v>-</v>
      </c>
      <c r="BI82" s="17" t="s">
        <v>104</v>
      </c>
      <c r="BJ82" s="39" t="str">
        <f>IF(Test_WE!$C$68=0,"-",Test_WE!$C$68)</f>
        <v>-</v>
      </c>
      <c r="BK82" s="78">
        <f>IF(Test_WE!$C$69=0,"-",Test_WE!$C$69)</f>
        <v>45535</v>
      </c>
      <c r="BL82" s="78">
        <f>IF(Test_WE!$E$69=0,"-",Test_WE!$E$69)</f>
        <v>45536</v>
      </c>
      <c r="BM82" s="42" t="str">
        <f>IF(Test_WE!$C$70=0,"-",Test_WE!$C$70)</f>
        <v>-</v>
      </c>
      <c r="BN82" s="42" t="str">
        <f>IF(Test_WE!$E$70=0,"-",Test_WE!$E$70)</f>
        <v>-</v>
      </c>
      <c r="BO82" s="119" t="str">
        <f>IF(Test_WE!$E$71=0,"-",Test_WE!$E$71)</f>
        <v>-</v>
      </c>
      <c r="BP82" s="17" t="s">
        <v>105</v>
      </c>
      <c r="BQ82" s="39" t="str">
        <f>IF(Test_WE!$C$73=0,"-",Test_WE!$C$73)</f>
        <v>-</v>
      </c>
      <c r="BR82" s="78">
        <f>IF(Test_WE!$C$74="-",0,Test_WE!$C$74)</f>
        <v>45542</v>
      </c>
      <c r="BS82" s="78">
        <f>IF(Test_WE!$E$74=0,"-",Test_WE!$E$74)</f>
        <v>45543</v>
      </c>
      <c r="BT82" s="42" t="str">
        <f>IF(Test_WE!$C$75=0,"-",Test_WE!$C$75)</f>
        <v>-</v>
      </c>
      <c r="BU82" s="42" t="str">
        <f>IF(Test_WE!$E$75=0,"-",Test_WE!$E$75)</f>
        <v>-</v>
      </c>
      <c r="BV82" s="119" t="str">
        <f>IF(Test_WE!$E$76=0,"-",Test_WE!$E$76)</f>
        <v>-</v>
      </c>
      <c r="BW82" s="17" t="s">
        <v>106</v>
      </c>
      <c r="BX82" s="39" t="str">
        <f>IF(Test_WE!$C$78=0,"-",Test_WE!$C$78)</f>
        <v>-</v>
      </c>
      <c r="BY82" s="78">
        <f>IF(Test_WE!$C$79=0,"-",Test_WE!$C$79)</f>
        <v>45549</v>
      </c>
      <c r="BZ82" s="78">
        <f>IF(Test_WE!$E$79=0,"-",Test_WE!$E$79)</f>
        <v>45550</v>
      </c>
      <c r="CA82" s="42" t="str">
        <f>IF(Test_WE!$C$80=0,"-",Test_WE!$C$80)</f>
        <v>-</v>
      </c>
      <c r="CB82" s="42" t="str">
        <f>IF(Test_WE!$E$80=0,"-",Test_WE!$E$80)</f>
        <v>-</v>
      </c>
      <c r="CC82" s="119" t="str">
        <f>IF(Test_WE!$E$81=0,"-",Test_WE!$E$81)</f>
        <v>-</v>
      </c>
      <c r="CD82" s="17" t="s">
        <v>107</v>
      </c>
      <c r="CE82" s="39" t="str">
        <f>IF(Test_WE!$C$83=0,"-",Test_WE!$C$83)</f>
        <v>-</v>
      </c>
      <c r="CF82" s="78">
        <f>IF(Test_WE!$C$84=0,"-",Test_WE!$C$84)</f>
        <v>45556</v>
      </c>
      <c r="CG82" s="78">
        <f>IF(Test_WE!$E$84=0,"-",Test_WE!$E$84)</f>
        <v>45557</v>
      </c>
      <c r="CH82" s="42" t="str">
        <f>IF(Test_WE!$C$85=0,"-",Test_WE!$C$85)</f>
        <v>-</v>
      </c>
      <c r="CI82" s="42" t="str">
        <f>IF(Test_WE!$E$85=0,"-",Test_WE!$E$85)</f>
        <v>-</v>
      </c>
      <c r="CJ82" s="119" t="str">
        <f>IF(Test_WE!$E$86=0,"-",Test_WE!$E$86)</f>
        <v>-</v>
      </c>
      <c r="CK82" s="17" t="s">
        <v>108</v>
      </c>
      <c r="CL82" s="39" t="str">
        <f>IF(Test_WE!$C$88=0,"-",Test_WE!$C$88)</f>
        <v>-</v>
      </c>
      <c r="CM82" s="78">
        <f>IF(Test_WE!$C$89=0,"-",Test_WE!$C$89)</f>
        <v>45563</v>
      </c>
      <c r="CN82" s="78">
        <f>IF(Test_WE!$E$89=0,"-",Test_WE!$E$89)</f>
        <v>45564</v>
      </c>
      <c r="CO82" s="42" t="str">
        <f>IF(Test_WE!$C$90=0,"-",Test_WE!$C$90)</f>
        <v>-</v>
      </c>
      <c r="CP82" s="42" t="str">
        <f>IF(Test_WE!$E$90=0,"-",Test_WE!$E$90)</f>
        <v>-</v>
      </c>
      <c r="CQ82" s="119" t="str">
        <f>IF(Test_WE!$E$91=0,"-",Test_WE!$E$91)</f>
        <v>-</v>
      </c>
      <c r="CR82" s="17" t="s">
        <v>109</v>
      </c>
      <c r="CS82" s="39" t="str">
        <f>IF(Test_WE!$C$93=0,"-",Test_WE!$C$93)</f>
        <v>-</v>
      </c>
      <c r="CT82" s="78">
        <f>IF(Test_WE!$C$94=0,"-",Test_WE!$C$94)</f>
        <v>45570</v>
      </c>
      <c r="CU82" s="78">
        <f>IF(Test_WE!$E$94=0,"-",Test_WE!$E$94)</f>
        <v>45571</v>
      </c>
      <c r="CV82" s="42" t="str">
        <f>IF(Test_WE!$C$95=0,"-",Test_WE!$C$95)</f>
        <v>-</v>
      </c>
      <c r="CW82" s="42" t="str">
        <f>IF(Test_WE!$E$95=0,"-",Test_WE!$E$95)</f>
        <v>-</v>
      </c>
      <c r="CX82" s="119" t="str">
        <f>IF(Test_WE!$E$96=0,"-",Test_WE!$E$96)</f>
        <v>-</v>
      </c>
      <c r="CY82" s="17" t="s">
        <v>110</v>
      </c>
      <c r="CZ82" s="39" t="str">
        <f>IF(Test_WE!$C$98=0,"-",Test_WE!$C$98)</f>
        <v>-</v>
      </c>
      <c r="DA82" s="78">
        <f>IF(Test_WE!$C$99=0,"-",Test_WE!$C$99)</f>
        <v>45577</v>
      </c>
      <c r="DB82" s="78">
        <f>IF(Test_WE!$E$99=0,"-",Test_WE!$E$99)</f>
        <v>45578</v>
      </c>
      <c r="DC82" s="42" t="str">
        <f>IF(Test_WE!$C$100=0,"-",Test_WE!$C$100)</f>
        <v>-</v>
      </c>
      <c r="DD82" s="42" t="str">
        <f>IF(Test_WE!$E$100=0,"-",Test_WE!$E$100)</f>
        <v>-</v>
      </c>
      <c r="DE82" s="119" t="str">
        <f>IF(Test_WE!$E$101=0,"-",Test_WE!$E$101)</f>
        <v>-</v>
      </c>
      <c r="DF82" s="17" t="s">
        <v>111</v>
      </c>
      <c r="DG82" s="39" t="str">
        <f>IF(Test_WE!$C$103=0,"-",Test_WE!$C$103)</f>
        <v>-</v>
      </c>
      <c r="DH82" s="78">
        <f>IF(Test_WE!$C$104=0,"-",Test_WE!$C$104)</f>
        <v>45584</v>
      </c>
      <c r="DI82" s="78">
        <f>IF(Test_WE!$E$104=0,"-",Test_WE!$E$104)</f>
        <v>45585</v>
      </c>
      <c r="DJ82" s="42" t="str">
        <f>IF(Test_WE!$C$105=0,"-",Test_WE!$C$105)</f>
        <v>-</v>
      </c>
      <c r="DK82" s="42" t="str">
        <f>IF(Test_WE!$E$105=0,"-",Test_WE!$E$105)</f>
        <v>-</v>
      </c>
      <c r="DL82" s="119" t="str">
        <f>IF(Test_WE!$E$106=0,"-",Test_WE!$E$106)</f>
        <v>-</v>
      </c>
      <c r="DM82" s="17" t="s">
        <v>112</v>
      </c>
      <c r="DN82" s="39" t="str">
        <f>IF(Test_WE!$C$108=0,"-",Test_WE!$C$108)</f>
        <v>-</v>
      </c>
      <c r="DO82" s="78">
        <f>IF(Test_WE!$C$109=0,"-",Test_WE!$C$109)</f>
        <v>45591</v>
      </c>
      <c r="DP82" s="78">
        <f>IF(Test_WE!$E$109=0,"-",Test_WE!$E$109)</f>
        <v>45592</v>
      </c>
      <c r="DQ82" s="42" t="str">
        <f>IF(Test_WE!$C$110=0,"-",Test_WE!$C$110)</f>
        <v>-</v>
      </c>
      <c r="DR82" s="42" t="str">
        <f>IF(Test_WE!$E$110=0,"-",Test_WE!$E$110)</f>
        <v>-</v>
      </c>
      <c r="DS82" s="119" t="str">
        <f>IF(Test_WE!$E$111=0,"-",Test_WE!$E$111)</f>
        <v>-</v>
      </c>
      <c r="DT82" s="17" t="s">
        <v>113</v>
      </c>
      <c r="DU82" s="39" t="str">
        <f>IF(Test_WE!$C$113=0,"-",Test_WE!$C$113)</f>
        <v>-</v>
      </c>
      <c r="DV82" s="78">
        <f>IF(Test_WE!$C$114=0,"-",Test_WE!$C$114)</f>
        <v>45598</v>
      </c>
      <c r="DW82" s="78">
        <f>IF(Test_WE!$E$114=0,"-",Test_WE!$E$114)</f>
        <v>45599</v>
      </c>
      <c r="DX82" s="42" t="str">
        <f>IF(Test_WE!$C$115=0,"-",Test_WE!$C$115)</f>
        <v>-</v>
      </c>
      <c r="DY82" s="42" t="str">
        <f>IF(Test_WE!$E$115=0,"-",Test_WE!$E$115)</f>
        <v>-</v>
      </c>
      <c r="DZ82" s="119" t="str">
        <f>IF(Test_WE!$E$116=0,"-",Test_WE!$E$116)</f>
        <v>-</v>
      </c>
      <c r="EA82" s="17" t="s">
        <v>114</v>
      </c>
      <c r="EB82" s="39" t="str">
        <f>IF(Test_WE!$C$118=0,"-",Test_WE!$C$118)</f>
        <v>-</v>
      </c>
      <c r="EC82" s="78">
        <f>IF(Test_WE!$C$119=0,"-",Test_WE!$C$119)</f>
        <v>45605</v>
      </c>
      <c r="ED82" s="78">
        <f>IF(Test_WE!$E$119=0,"-",Test_WE!$E$119)</f>
        <v>45606</v>
      </c>
      <c r="EE82" s="42" t="str">
        <f>IF(Test_WE!$C$120=0,"-",Test_WE!$C$120)</f>
        <v>-</v>
      </c>
      <c r="EF82" s="42" t="str">
        <f>IF(Test_WE!$E$120=0,"-",Test_WE!$E$120)</f>
        <v>-</v>
      </c>
      <c r="EG82" s="119" t="str">
        <f>IF(Test_WE!$E$121=0,"-",Test_WE!$E$121)</f>
        <v>-</v>
      </c>
      <c r="EH82" s="17" t="s">
        <v>115</v>
      </c>
      <c r="EI82" s="39" t="str">
        <f>IF(Test_WE!$C$123=0,"-",Test_WE!$C$123)</f>
        <v>-</v>
      </c>
      <c r="EJ82" s="78">
        <f>IF(Test_WE!$C$124=0,"-",Test_WE!$C$124)</f>
        <v>45612</v>
      </c>
      <c r="EK82" s="78">
        <f>IF(Test_WE!$E$124=0,"-",Test_WE!$E$124)</f>
        <v>45613</v>
      </c>
      <c r="EL82" s="42" t="str">
        <f>IF(Test_WE!$C$125=0,"-",Test_WE!$C$125)</f>
        <v>-</v>
      </c>
      <c r="EM82" s="42" t="str">
        <f>IF(Test_WE!$E$125=0,"-",Test_WE!$E$125)</f>
        <v>-</v>
      </c>
      <c r="EN82" s="119" t="str">
        <f>IF(Test_WE!$E$126=0,"-",Test_WE!$E$126)</f>
        <v>-</v>
      </c>
      <c r="ES82" s="69" t="str">
        <f ca="1">C82</f>
        <v>Test_WE</v>
      </c>
      <c r="ET82" s="155" t="s">
        <v>83</v>
      </c>
      <c r="EU82" s="60" t="str">
        <f>IF(Test_WE!$C$8=0,"",Test_WE!$C$8)</f>
        <v/>
      </c>
      <c r="EV82" s="77">
        <f>IF(OR(Test_WE!$C$9=0,Test_WE!$C$9=""),"-",Test_WE!$C$9)</f>
        <v>45474</v>
      </c>
      <c r="EW82" s="78">
        <f>EV82</f>
        <v>45474</v>
      </c>
      <c r="EX82" s="179"/>
      <c r="EY82" s="179"/>
      <c r="EZ82" s="121" t="str">
        <f>IF(OR(Test_WE!$E$10=0,Test_WE!$E$10=""),"-",Test_WE!$E$10)</f>
        <v>-</v>
      </c>
      <c r="FA82" s="155" t="s">
        <v>90</v>
      </c>
      <c r="FB82" s="39" t="str">
        <f>IF(Test_WE!$C$16=0,"",Test_WE!$C$16)</f>
        <v/>
      </c>
      <c r="FC82" s="77">
        <f>IF(OR(Test_WE!$C$17=0,Test_WE!$C$17=""),"-",Test_WE!$C$17)</f>
        <v>45901</v>
      </c>
      <c r="FD82" s="176">
        <f>FC82</f>
        <v>45901</v>
      </c>
      <c r="FE82" s="179"/>
      <c r="FF82" s="179"/>
      <c r="FG82" s="121" t="str">
        <f>IF(OR(Test_WE!$E$18=0,Test_WE!$E$18=""),"-",Test_WE!$E$18)</f>
        <v>-</v>
      </c>
      <c r="FH82" s="155" t="s">
        <v>89</v>
      </c>
      <c r="FI82" s="60" t="str">
        <f>IF(OR(Test_WE!$C$12=0,Test_WE!$C$12=""),"-",Test_WE!$C$12)</f>
        <v>-</v>
      </c>
      <c r="FJ82" s="77" t="str">
        <f>IF(OR(Test_WE!$C$13=0,Test_WE!$C$13=""),"-",Test_WE!$C$13)</f>
        <v>-</v>
      </c>
      <c r="FK82" s="176"/>
      <c r="FL82" s="179"/>
      <c r="FM82" s="179"/>
      <c r="FN82" s="121" t="str">
        <f>IF(OR(Test_WE!$E$14=0,Test_WE!$E$14=""),"-",Test_WE!$E$14)</f>
        <v>-</v>
      </c>
      <c r="FO82" s="155" t="s">
        <v>92</v>
      </c>
      <c r="FP82" s="60" t="str">
        <f>IF(OR(Test_WE!$C$20=0,Test_WE!$C$20=""),"-",Test_WE!$C$20)</f>
        <v>-</v>
      </c>
      <c r="FQ82" s="77" t="str">
        <f>IF(OR(Test_WE!$C$21=0,Test_WE!$C$21=""),"-",Test_WE!$C$21)</f>
        <v>-</v>
      </c>
      <c r="FR82" s="176"/>
      <c r="FS82" s="179"/>
      <c r="FT82" s="179"/>
      <c r="FU82" s="231" t="str">
        <f>IF(OR(Test_WE!$E$22=0,Test_WE!$E$22=""),"-",Test_WE!$E$22)</f>
        <v>-</v>
      </c>
    </row>
    <row r="83" spans="1:177" ht="33.75" customHeight="1" x14ac:dyDescent="0.2">
      <c r="A83" s="115" t="str">
        <f>Test_WE!$H$5</f>
        <v>SECONDARY</v>
      </c>
      <c r="B83" s="69" t="str">
        <f>B82</f>
        <v>Country_code</v>
      </c>
      <c r="C83" s="214" t="str" cm="1">
        <f t="array" aca="1" ref="C83" ca="1">MID(CELL("filename",Test_WE!A80),FIND("]",CELL("filename",Test_WE!A80))+1,255)</f>
        <v>Test_WE</v>
      </c>
      <c r="D83" s="215" t="str">
        <f>Test_WE!$H$6</f>
        <v>Please specify</v>
      </c>
      <c r="E83" s="216" t="str">
        <f>Test_WE!$A$27</f>
        <v xml:space="preserve"> Period 1</v>
      </c>
      <c r="F83" s="217" t="str">
        <f>IF(Test_WE!$I$28=0,"-",Test_WE!$I$28)</f>
        <v>-</v>
      </c>
      <c r="G83" s="218">
        <f>IF(Test_WE!$I$29=0,"-",Test_WE!$I$29)</f>
        <v>45619</v>
      </c>
      <c r="H83" s="218">
        <f>IF(Test_WE!$K$29=0,"-",Test_WE!$K$29)</f>
        <v>45620</v>
      </c>
      <c r="I83" s="219" t="str">
        <f>IF(Test_WE!$I$30=0,"-",Test_WE!$I$30)</f>
        <v>-</v>
      </c>
      <c r="J83" s="219" t="str">
        <f>IF(Test_WE!$K$30=0,"-",Test_WE!$K$30)</f>
        <v>-</v>
      </c>
      <c r="K83" s="220" t="str">
        <f>IF(Test_WE!$K$31=0,"-",Test_WE!$K$31)</f>
        <v>-</v>
      </c>
      <c r="L83" s="221" t="s">
        <v>97</v>
      </c>
      <c r="M83" s="217" t="str">
        <f>IF(Test_WE!$I$33=0,"-",Test_WE!$I$33)</f>
        <v>-</v>
      </c>
      <c r="N83" s="218">
        <f>IF(Test_WE!$I$34=0,"-",Test_WE!$I$34)</f>
        <v>45626</v>
      </c>
      <c r="O83" s="218">
        <f>IF(Test_WE!$K$34=0,"-",Test_WE!$K$34)</f>
        <v>45627</v>
      </c>
      <c r="P83" s="219" t="str">
        <f>IF(Test_WE!$I$35=0,"-",Test_WE!$I$35)</f>
        <v>-</v>
      </c>
      <c r="Q83" s="219" t="str">
        <f>IF(Test_WE!$K$35=0,"-",Test_WE!$K$35)</f>
        <v>-</v>
      </c>
      <c r="R83" s="220" t="str">
        <f>IF(Test_WE!$K$36=0,"-",Test_WE!$K$36)</f>
        <v>-</v>
      </c>
      <c r="S83" s="221" t="s">
        <v>98</v>
      </c>
      <c r="T83" s="217" t="str">
        <f>IF(Test_WE!$I$38=0,"-",Test_WE!$I$38)</f>
        <v>-</v>
      </c>
      <c r="U83" s="218">
        <f>IF(Test_WE!$I$39=0,"-",Test_WE!$I$39)</f>
        <v>45633</v>
      </c>
      <c r="V83" s="218">
        <f>IF(Test_WE!$K$39=0,"-",Test_WE!$K$39)</f>
        <v>45634</v>
      </c>
      <c r="W83" s="219" t="str">
        <f>IF(Test_WE!$I$40=0,"-",Test_WE!$I$40)</f>
        <v>-</v>
      </c>
      <c r="X83" s="219" t="str">
        <f>IF(Test_WE!$K$40=0,"-",Test_WE!$K$40)</f>
        <v>-</v>
      </c>
      <c r="Y83" s="220" t="str">
        <f>IF(Test_WE!$K$41=0,"-",Test_WE!$K$41)</f>
        <v>-</v>
      </c>
      <c r="Z83" s="221" t="s">
        <v>99</v>
      </c>
      <c r="AA83" s="222" t="str">
        <f>IF(Test_WE!$I$43=0,"-",Test_WE!$I$43)</f>
        <v>-</v>
      </c>
      <c r="AB83" s="218">
        <f>IF(Test_WE!$I$44=0,"-",Test_WE!$I$44)</f>
        <v>45640</v>
      </c>
      <c r="AC83" s="218">
        <f>IF(Test_WE!$K$44=0,"-",Test_WE!$K$44)</f>
        <v>45641</v>
      </c>
      <c r="AD83" s="219" t="str">
        <f>IF(Test_WE!$I$45=0,"-",Test_WE!$I$45)</f>
        <v>-</v>
      </c>
      <c r="AE83" s="219" t="str">
        <f>IF(Test_WE!$K$45=0,"-",Test_WE!$K$45)</f>
        <v>-</v>
      </c>
      <c r="AF83" s="220" t="str">
        <f>IF(Test_WE!$K$46=0,"-",Test_WE!$K$46)</f>
        <v>-</v>
      </c>
      <c r="AG83" s="221" t="s">
        <v>100</v>
      </c>
      <c r="AH83" s="217" t="str">
        <f>IF(Test_WE!$I$48=0,"-",Test_WE!$I$48)</f>
        <v>-</v>
      </c>
      <c r="AI83" s="218">
        <f>IF(Test_WE!$I$49=0,"-",Test_WE!$I$49)</f>
        <v>45647</v>
      </c>
      <c r="AJ83" s="218">
        <f>IF(Test_WE!$K$49=0,"-",Test_WE!$K$49)</f>
        <v>45648</v>
      </c>
      <c r="AK83" s="219" t="str">
        <f>IF(Test_WE!$I$50=0,"-",Test_WE!$I$50)</f>
        <v>-</v>
      </c>
      <c r="AL83" s="219" t="str">
        <f>IF(Test_WE!$K$50=0,"-",Test_WE!$K$50)</f>
        <v>-</v>
      </c>
      <c r="AM83" s="220" t="str">
        <f>IF(Test_WE!$K$51=0,"-",Test_WE!$K$51)</f>
        <v>-</v>
      </c>
      <c r="AN83" s="221" t="s">
        <v>101</v>
      </c>
      <c r="AO83" s="217" t="str">
        <f>IF(Test_WE!$I$53=0,"-",Test_WE!$I$53)</f>
        <v>-</v>
      </c>
      <c r="AP83" s="218">
        <f>IF(Test_WE!$I$54=0,"-",Test_WE!$I$54)</f>
        <v>45654</v>
      </c>
      <c r="AQ83" s="218">
        <f>IF(Test_WE!$K$54=0,"-",Test_WE!$K$54)</f>
        <v>45655</v>
      </c>
      <c r="AR83" s="219" t="str">
        <f>IF(Test_WE!$I$55=0,"-",Test_WE!$I$55)</f>
        <v>-</v>
      </c>
      <c r="AS83" s="219" t="str">
        <f>IF(Test_WE!$K$55=0,"-",Test_WE!$K$55)</f>
        <v>-</v>
      </c>
      <c r="AT83" s="220" t="str">
        <f>IF(Test_WE!$K$56=0,"-",Test_WE!$K$56)</f>
        <v>-</v>
      </c>
      <c r="AU83" s="221" t="s">
        <v>102</v>
      </c>
      <c r="AV83" s="217" t="str">
        <f>IF(Test_WE!$I$58=0,"-",Test_WE!$I$58)</f>
        <v>-</v>
      </c>
      <c r="AW83" s="218">
        <f>IF(Test_WE!$I$59=0,"-",Test_WE!$I$59)</f>
        <v>45661</v>
      </c>
      <c r="AX83" s="218">
        <f>IF(Test_WE!$K$59=0,"-",Test_WE!$K$59)</f>
        <v>45662</v>
      </c>
      <c r="AY83" s="219" t="str">
        <f>IF(Test_WE!$I$60=0,"-",Test_WE!$I$60)</f>
        <v>-</v>
      </c>
      <c r="AZ83" s="219" t="str">
        <f>IF(Test_WE!$K$60=0,"-",Test_WE!$K$60)</f>
        <v>-</v>
      </c>
      <c r="BA83" s="220" t="str">
        <f>IF(Test_WE!$K$61=0,"-",Test_WE!$K$61)</f>
        <v>-</v>
      </c>
      <c r="BB83" s="221" t="s">
        <v>103</v>
      </c>
      <c r="BC83" s="217" t="str">
        <f>IF(Test_WE!$I$63=0,"-",Test_WE!$I$63)</f>
        <v>-</v>
      </c>
      <c r="BD83" s="218">
        <f>IF(Test_WE!$I$64=0,"-",Test_WE!$I$64)</f>
        <v>45668</v>
      </c>
      <c r="BE83" s="218">
        <f>IF(Test_WE!$K$64=0,"-",Test_WE!$K$64)</f>
        <v>45669</v>
      </c>
      <c r="BF83" s="219" t="str">
        <f>IF(Test_WE!$I$65=0,"-",Test_WE!$I$65)</f>
        <v>-</v>
      </c>
      <c r="BG83" s="219" t="str">
        <f>IF(Test_WE!$K$65=0,"-",Test_WE!$K$65)</f>
        <v>-</v>
      </c>
      <c r="BH83" s="220" t="str">
        <f>IF(Test_WE!$K$66=0,"-",Test_WE!$K$66)</f>
        <v>-</v>
      </c>
      <c r="BI83" s="221" t="s">
        <v>104</v>
      </c>
      <c r="BJ83" s="217" t="str">
        <f>IF(Test_WE!$I$68=0,"-",Test_WE!$I$68)</f>
        <v>-</v>
      </c>
      <c r="BK83" s="218">
        <f>IF(Test_WE!$I$69=0,"-",Test_WE!$I$69)</f>
        <v>45675</v>
      </c>
      <c r="BL83" s="218">
        <f>IF(Test_WE!$K$69=0,"-",Test_WE!$K$69)</f>
        <v>45676</v>
      </c>
      <c r="BM83" s="219" t="str">
        <f>IF(Test_WE!$I$70=0,"-",Test_WE!$I$70)</f>
        <v>-</v>
      </c>
      <c r="BN83" s="219" t="str">
        <f>IF(Test_WE!$K$70=0,"-",Test_WE!$K$70)</f>
        <v>-</v>
      </c>
      <c r="BO83" s="220" t="str">
        <f>IF(Test_WE!$K$71=0,"-",Test_WE!$K$71)</f>
        <v>-</v>
      </c>
      <c r="BP83" s="221" t="s">
        <v>105</v>
      </c>
      <c r="BQ83" s="217" t="str">
        <f>IF(Test_WE!$I$73=0,"-",Test_WE!$I$73)</f>
        <v>-</v>
      </c>
      <c r="BR83" s="218">
        <f>IF(Test_WE!$I$74="-",0,Test_WE!$I$74)</f>
        <v>45682</v>
      </c>
      <c r="BS83" s="218">
        <f>IF(Test_WE!$K$74=0,"-",Test_WE!$K$74)</f>
        <v>45683</v>
      </c>
      <c r="BT83" s="219" t="str">
        <f>IF(Test_WE!$I$75=0,"-",Test_WE!$I$75)</f>
        <v>-</v>
      </c>
      <c r="BU83" s="219" t="str">
        <f>IF(Test_WE!$K$75=0,"-",Test_WE!$K$75)</f>
        <v>-</v>
      </c>
      <c r="BV83" s="220" t="str">
        <f>IF(Test_WE!$K$76=0,"-",Test_WE!$K$76)</f>
        <v>-</v>
      </c>
      <c r="BW83" s="221" t="s">
        <v>106</v>
      </c>
      <c r="BX83" s="217" t="str">
        <f>IF(Test_WE!$I$78=0,"-",Test_WE!$I$78)</f>
        <v>-</v>
      </c>
      <c r="BY83" s="218">
        <f>IF(Test_WE!$I$79=0,"-",Test_WE!$I$79)</f>
        <v>45689</v>
      </c>
      <c r="BZ83" s="218">
        <f>IF(Test_WE!$K$79=0,"-",Test_WE!$K$79)</f>
        <v>45690</v>
      </c>
      <c r="CA83" s="219" t="str">
        <f>IF(Test_WE!$I$80=0,"-",Test_WE!$I$80)</f>
        <v>-</v>
      </c>
      <c r="CB83" s="219" t="str">
        <f>IF(Test_WE!$K$80=0,"-",Test_WE!$K$80)</f>
        <v>-</v>
      </c>
      <c r="CC83" s="220" t="str">
        <f>IF(Test_WE!$K$81=0,"-",Test_WE!$K$81)</f>
        <v>-</v>
      </c>
      <c r="CD83" s="221" t="s">
        <v>107</v>
      </c>
      <c r="CE83" s="217" t="str">
        <f>IF(Test_WE!$I$83=0,"-",Test_WE!$I$83)</f>
        <v>-</v>
      </c>
      <c r="CF83" s="218">
        <f>IF(Test_WE!$I$84=0,"-",Test_WE!$I$84)</f>
        <v>45696</v>
      </c>
      <c r="CG83" s="218">
        <f>IF(Test_WE!$K$84=0,"-",Test_WE!$K$84)</f>
        <v>45697</v>
      </c>
      <c r="CH83" s="219" t="str">
        <f>IF(Test_WE!$I$85=0,"-",Test_WE!$I$85)</f>
        <v>-</v>
      </c>
      <c r="CI83" s="219" t="str">
        <f>IF(Test_WE!$K$85=0,"-",Test_WE!$K$85)</f>
        <v>-</v>
      </c>
      <c r="CJ83" s="220" t="str">
        <f>IF(Test_WE!$K$86=0,"-",Test_WE!$K$86)</f>
        <v>-</v>
      </c>
      <c r="CK83" s="221" t="s">
        <v>108</v>
      </c>
      <c r="CL83" s="217" t="str">
        <f>IF(Test_WE!$I$88=0,"-",Test_WE!$I$88)</f>
        <v>-</v>
      </c>
      <c r="CM83" s="218">
        <f>IF(Test_WE!$I$89=0,"-",Test_WE!$I$89)</f>
        <v>45703</v>
      </c>
      <c r="CN83" s="218">
        <f>IF(Test_WE!$K$89=0,"-",Test_WE!$K$89)</f>
        <v>45704</v>
      </c>
      <c r="CO83" s="219" t="str">
        <f>IF(Test_WE!$I$90=0,"-",Test_WE!$I$90)</f>
        <v>-</v>
      </c>
      <c r="CP83" s="219" t="str">
        <f>IF(Test_WE!$K$90=0,"-",Test_WE!$K$90)</f>
        <v>-</v>
      </c>
      <c r="CQ83" s="220" t="str">
        <f>IF(Test_WE!$K$91=0,"-",Test_WE!$K$91)</f>
        <v>-</v>
      </c>
      <c r="CR83" s="221" t="s">
        <v>109</v>
      </c>
      <c r="CS83" s="217" t="str">
        <f>IF(Test_WE!$I$93=0,"-",Test_WE!$I$93)</f>
        <v>-</v>
      </c>
      <c r="CT83" s="218">
        <f>IF(Test_WE!$I$94=0,"-",Test_WE!$I$94)</f>
        <v>45710</v>
      </c>
      <c r="CU83" s="218">
        <f>IF(Test_WE!$K$94=0,"-",Test_WE!$K$94)</f>
        <v>45711</v>
      </c>
      <c r="CV83" s="219" t="str">
        <f>IF(Test_WE!$I$95=0,"-",Test_WE!$I$95)</f>
        <v>-</v>
      </c>
      <c r="CW83" s="219" t="str">
        <f>IF(Test_WE!$K$95=0,"-",Test_WE!$K$95)</f>
        <v>-</v>
      </c>
      <c r="CX83" s="220" t="str">
        <f>IF(Test_WE!$K$96=0,"-",Test_WE!$K$96)</f>
        <v>-</v>
      </c>
      <c r="CY83" s="221" t="s">
        <v>110</v>
      </c>
      <c r="CZ83" s="217" t="str">
        <f>IF(Test_WE!$I$98=0,"-",Test_WE!$I$98)</f>
        <v>-</v>
      </c>
      <c r="DA83" s="218">
        <f>IF(Test_WE!$I$99=0,"-",Test_WE!$I$99)</f>
        <v>45717</v>
      </c>
      <c r="DB83" s="218">
        <f>IF(Test_WE!$K$99=0,"-",Test_WE!$K$99)</f>
        <v>45718</v>
      </c>
      <c r="DC83" s="219" t="str">
        <f>IF(Test_WE!$I$100=0,"-",Test_WE!$I$100)</f>
        <v>-</v>
      </c>
      <c r="DD83" s="219" t="str">
        <f>IF(Test_WE!$K$100=0,"-",Test_WE!$K$100)</f>
        <v>-</v>
      </c>
      <c r="DE83" s="220" t="str">
        <f>IF(Test_WE!$K$101=0,"-",Test_WE!$K$101)</f>
        <v>-</v>
      </c>
      <c r="DF83" s="221" t="s">
        <v>111</v>
      </c>
      <c r="DG83" s="217" t="str">
        <f>IF(Test_WE!$I$103=0,"-",Test_WE!$I$103)</f>
        <v>-</v>
      </c>
      <c r="DH83" s="218">
        <f>IF(Test_WE!$I$104=0,"-",Test_WE!$I$104)</f>
        <v>45724</v>
      </c>
      <c r="DI83" s="218">
        <f>IF(Test_WE!$K$104=0,"-",Test_WE!$K$104)</f>
        <v>45725</v>
      </c>
      <c r="DJ83" s="219" t="str">
        <f>IF(Test_WE!$I$105=0,"-",Test_WE!$I$105)</f>
        <v>-</v>
      </c>
      <c r="DK83" s="219" t="str">
        <f>IF(Test_WE!$K$105=0,"-",Test_WE!$K$105)</f>
        <v>-</v>
      </c>
      <c r="DL83" s="220" t="str">
        <f>IF(Test_WE!$K$106=0,"-",Test_WE!$K$106)</f>
        <v>-</v>
      </c>
      <c r="DM83" s="221" t="s">
        <v>112</v>
      </c>
      <c r="DN83" s="217" t="str">
        <f>IF(Test_WE!$I$108=0,"-",Test_WE!$I$108)</f>
        <v>-</v>
      </c>
      <c r="DO83" s="218">
        <f>IF(Test_WE!$I$109=0,"-",Test_WE!$I$109)</f>
        <v>45731</v>
      </c>
      <c r="DP83" s="218">
        <f>IF(Test_WE!$K$109=0,"-",Test_WE!$K$109)</f>
        <v>45732</v>
      </c>
      <c r="DQ83" s="219" t="str">
        <f>IF(Test_WE!$I$110=0,"-",Test_WE!$I$110)</f>
        <v>-</v>
      </c>
      <c r="DR83" s="219" t="str">
        <f>IF(Test_WE!$K$110=0,"-",Test_WE!$K$110)</f>
        <v>-</v>
      </c>
      <c r="DS83" s="220" t="str">
        <f>IF(Test_WE!$K$111=0,"-",Test_WE!$K$111)</f>
        <v>-</v>
      </c>
      <c r="DT83" s="221" t="s">
        <v>113</v>
      </c>
      <c r="DU83" s="217" t="str">
        <f>IF(Test_WE!$I$113=0,"-",Test_WE!$I$113)</f>
        <v>-</v>
      </c>
      <c r="DV83" s="218">
        <f>IF(Test_WE!$I$114=0,"-",Test_WE!$I$114)</f>
        <v>45738</v>
      </c>
      <c r="DW83" s="218">
        <f>IF(Test_WE!$K$114=0,"-",Test_WE!$K$114)</f>
        <v>45739</v>
      </c>
      <c r="DX83" s="219" t="str">
        <f>IF(Test_WE!$I$115=0,"-",Test_WE!$I$115)</f>
        <v>-</v>
      </c>
      <c r="DY83" s="219" t="str">
        <f>IF(Test_WE!$K$115=0,"-",Test_WE!$K$115)</f>
        <v>-</v>
      </c>
      <c r="DZ83" s="220" t="str">
        <f>IF(Test_WE!$K$116=0,"-",Test_WE!$K$116)</f>
        <v>-</v>
      </c>
      <c r="EA83" s="221" t="s">
        <v>114</v>
      </c>
      <c r="EB83" s="217" t="str">
        <f>IF(Test_WE!$I$118=0,"-",Test_WE!$I$118)</f>
        <v>-</v>
      </c>
      <c r="EC83" s="218">
        <f>IF(Test_WE!$I$119=0,"-",Test_WE!$I$119)</f>
        <v>45745</v>
      </c>
      <c r="ED83" s="218">
        <f>IF(Test_WE!$K$119=0,"-",Test_WE!$K$119)</f>
        <v>45746</v>
      </c>
      <c r="EE83" s="219" t="str">
        <f>IF(Test_WE!$I$120=0,"-",Test_WE!$I$120)</f>
        <v>-</v>
      </c>
      <c r="EF83" s="219" t="str">
        <f>IF(Test_WE!$K$120=0,"-",Test_WE!$K$120)</f>
        <v>-</v>
      </c>
      <c r="EG83" s="220" t="str">
        <f>IF(Test_WE!$K$121=0,"-",Test_WE!$K$121)</f>
        <v>-</v>
      </c>
      <c r="EH83" s="221" t="s">
        <v>115</v>
      </c>
      <c r="EI83" s="217" t="str">
        <f>IF(Test_WE!$I$123=0,"-",Test_WE!$I$123)</f>
        <v>-</v>
      </c>
      <c r="EJ83" s="218">
        <f>IF(Test_WE!$I$124=0,"-",Test_WE!$I$124)</f>
        <v>45752</v>
      </c>
      <c r="EK83" s="218">
        <f>IF(Test_WE!$K$124=0,"-",Test_WE!$K$124)</f>
        <v>45753</v>
      </c>
      <c r="EL83" s="219" t="str">
        <f>IF(Test_WE!$I$125=0,"-",Test_WE!$I$125)</f>
        <v>-</v>
      </c>
      <c r="EM83" s="219" t="str">
        <f>IF(Test_WE!$K$125=0,"-",Test_WE!$K$125)</f>
        <v>-</v>
      </c>
      <c r="EN83" s="220" t="str">
        <f>IF(Test_WE!$K$126=0,"-",Test_WE!$K$126)</f>
        <v>-</v>
      </c>
      <c r="ES83" s="69" t="str">
        <f ca="1">C83</f>
        <v>Test_WE</v>
      </c>
      <c r="ET83" s="223" t="s">
        <v>83</v>
      </c>
      <c r="EU83" s="39" t="str">
        <f>IF(Test_WE!$I$8=0,"",Test_WE!$I$8)</f>
        <v/>
      </c>
      <c r="EV83" s="225">
        <f>IF(OR(Test_WE!$I$9=0,Test_WE!$I$9=""),"-",Test_WE!$I$9)</f>
        <v>45474</v>
      </c>
      <c r="EW83" s="78">
        <f>EV83</f>
        <v>45474</v>
      </c>
      <c r="EX83" s="227"/>
      <c r="EY83" s="227"/>
      <c r="EZ83" s="228" t="str">
        <f>IF(OR(Test_WE!$K$10=0,Test_WE!$K$10=""),"-",Test_WE!$K$10)</f>
        <v>-</v>
      </c>
      <c r="FA83" s="223" t="s">
        <v>90</v>
      </c>
      <c r="FB83" s="39" t="str">
        <f>IF(Test_WE!$I$16=0,"",Test_WE!$I$16)</f>
        <v/>
      </c>
      <c r="FC83" s="225">
        <f>IF(OR(Test_WE!$I$17=0,Test_WE!$I$17=""),"-",Test_WE!$I$17)</f>
        <v>45901</v>
      </c>
      <c r="FD83" s="226">
        <f>FC83</f>
        <v>45901</v>
      </c>
      <c r="FE83" s="227"/>
      <c r="FF83" s="227"/>
      <c r="FG83" s="228" t="str">
        <f>IF(OR(Test_WE!$K$18=0,Test_WE!$K$18=""),"-",Test_WE!$K$18)</f>
        <v>-</v>
      </c>
      <c r="FH83" s="223" t="s">
        <v>89</v>
      </c>
      <c r="FI83" s="224" t="str">
        <f>IF(OR(Test_WE!$I$12=0,Test_WE!$I$12=""),"-",Test_WE!$I$12)</f>
        <v>-</v>
      </c>
      <c r="FJ83" s="225" t="str">
        <f>IF(OR(Test_WE!$I$13=0,Test_WE!$I$13=""),"-",Test_WE!$I$13)</f>
        <v>-</v>
      </c>
      <c r="FK83" s="226"/>
      <c r="FL83" s="227"/>
      <c r="FM83" s="227"/>
      <c r="FN83" s="228" t="str">
        <f>IF(OR(Test_WE!$K$14=0,Test_WE!$K$14=""),"-",Test_WE!$K$14)</f>
        <v>-</v>
      </c>
      <c r="FO83" s="223" t="s">
        <v>92</v>
      </c>
      <c r="FP83" s="224" t="str">
        <f>IF(OR(Test_WE!$I$20=0,Test_WE!$I$20=""),"-",Test_WE!$I$20)</f>
        <v>-</v>
      </c>
      <c r="FQ83" s="225" t="str">
        <f>IF(OR(Test_WE!$I$21=0,Test_WE!$I$21=""),"-",Test_WE!$I$21)</f>
        <v>-</v>
      </c>
      <c r="FR83" s="226"/>
      <c r="FS83" s="227"/>
      <c r="FT83" s="227"/>
      <c r="FU83" s="233" t="str">
        <f>IF(OR(Test_WE!$K$22=0,Test_WE!$K$22=""),"-",Test_WE!$K$22)</f>
        <v>-</v>
      </c>
    </row>
    <row r="84" spans="1:177" ht="33.75" customHeight="1" x14ac:dyDescent="0.2">
      <c r="Z84" s="229"/>
      <c r="AG84" s="229"/>
      <c r="AN84" s="229"/>
      <c r="AU84" s="229"/>
      <c r="BB84" s="229"/>
      <c r="BI84" s="229"/>
      <c r="BP84" s="229"/>
      <c r="BW84" s="229"/>
      <c r="CD84" s="229"/>
      <c r="CK84" s="229"/>
      <c r="CR84" s="229"/>
      <c r="CY84" s="229"/>
      <c r="DF84" s="229"/>
      <c r="DM84" s="229"/>
      <c r="DT84" s="229"/>
      <c r="EA84" s="229"/>
      <c r="EH84" s="229"/>
    </row>
    <row r="85" spans="1:177" ht="33.75" customHeight="1" x14ac:dyDescent="0.2">
      <c r="Z85" s="229"/>
      <c r="AG85" s="229"/>
      <c r="AN85" s="229"/>
      <c r="AU85" s="229"/>
      <c r="BB85" s="229"/>
      <c r="BI85" s="229"/>
      <c r="BP85" s="229"/>
      <c r="BW85" s="229"/>
      <c r="CD85" s="229"/>
      <c r="CK85" s="229"/>
      <c r="CR85" s="229"/>
      <c r="CY85" s="229"/>
      <c r="DF85" s="229"/>
      <c r="DM85" s="229"/>
      <c r="DT85" s="229"/>
      <c r="EA85" s="229"/>
      <c r="EH85" s="229"/>
    </row>
  </sheetData>
  <dataConsolidate link="1"/>
  <customSheetViews>
    <customSheetView guid="{DDEB736A-B1E5-4264-A8F3-A2685B0B4EEB}" scale="200" zeroValues="0" topLeftCell="E1">
      <selection activeCell="G4" sqref="G4"/>
      <pageMargins left="0" right="0" top="0" bottom="0" header="0" footer="0"/>
    </customSheetView>
    <customSheetView guid="{9A8FD2B6-2858-4C09-9320-6AA22D95851B}" zeroValues="0">
      <selection activeCell="M10" sqref="M10"/>
      <pageMargins left="0" right="0" top="0" bottom="0" header="0" footer="0"/>
    </customSheetView>
  </customSheetViews>
  <phoneticPr fontId="4"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dimension ref="A1:EW104"/>
  <sheetViews>
    <sheetView topLeftCell="CP1" workbookViewId="0">
      <selection activeCell="I13" sqref="I13"/>
    </sheetView>
  </sheetViews>
  <sheetFormatPr defaultColWidth="9.140625" defaultRowHeight="12.75" x14ac:dyDescent="0.2"/>
  <cols>
    <col min="1" max="1" width="27.42578125" style="2" customWidth="1"/>
    <col min="2" max="2" width="11.7109375" style="2" customWidth="1"/>
    <col min="3" max="3" width="8.42578125" style="12" customWidth="1"/>
    <col min="4" max="4" width="14.42578125" style="36" customWidth="1"/>
    <col min="5" max="8" width="6.7109375" style="36" customWidth="1"/>
    <col min="9" max="9" width="10" style="36" customWidth="1"/>
    <col min="10" max="13" width="6.7109375" style="36" customWidth="1"/>
    <col min="14" max="14" width="12.5703125" style="36" customWidth="1"/>
    <col min="15" max="18" width="6.7109375" style="36" customWidth="1"/>
    <col min="19" max="19" width="10" style="36" customWidth="1"/>
    <col min="20" max="23" width="6.7109375" style="36" customWidth="1"/>
    <col min="24" max="24" width="9.140625" style="36" customWidth="1"/>
    <col min="25" max="28" width="6.7109375" style="36" customWidth="1"/>
    <col min="29" max="29" width="9.7109375" style="36" customWidth="1"/>
    <col min="30" max="31" width="6.7109375" style="36" customWidth="1"/>
    <col min="32" max="32" width="18" style="37" customWidth="1"/>
    <col min="33" max="43" width="6.7109375" style="36" customWidth="1"/>
    <col min="44" max="44" width="8" style="36" bestFit="1" customWidth="1"/>
    <col min="45" max="48" width="6.7109375" style="36" customWidth="1"/>
    <col min="49" max="49" width="8" style="36" bestFit="1" customWidth="1"/>
    <col min="50" max="53" width="6.7109375" style="36" customWidth="1"/>
    <col min="54" max="54" width="8.85546875" style="36" customWidth="1"/>
    <col min="55" max="58" width="6.7109375" style="36" customWidth="1"/>
    <col min="59" max="59" width="8" style="36" bestFit="1" customWidth="1"/>
    <col min="60" max="63" width="6.7109375" style="36" customWidth="1"/>
    <col min="64" max="64" width="8.85546875" style="36" customWidth="1"/>
    <col min="65" max="68" width="6.7109375" style="36" customWidth="1"/>
    <col min="69" max="69" width="8" style="36" bestFit="1" customWidth="1"/>
    <col min="70" max="73" width="6.7109375" style="36" customWidth="1"/>
    <col min="74" max="74" width="8.85546875" style="36" customWidth="1"/>
    <col min="75" max="78" width="6.7109375" style="36" customWidth="1"/>
    <col min="79" max="79" width="8" style="36" bestFit="1" customWidth="1"/>
    <col min="80" max="83" width="6.7109375" style="36" customWidth="1"/>
    <col min="84" max="84" width="8.85546875" style="36" customWidth="1"/>
    <col min="85" max="88" width="6.7109375" style="36" customWidth="1"/>
    <col min="89" max="89" width="8" style="36" bestFit="1" customWidth="1"/>
    <col min="90" max="93" width="6.7109375" style="36" customWidth="1"/>
    <col min="94" max="94" width="8.85546875" style="36" customWidth="1"/>
    <col min="95" max="98" width="6.7109375" style="36" customWidth="1"/>
    <col min="99" max="99" width="8" style="36" bestFit="1" customWidth="1"/>
    <col min="100" max="103" width="6.7109375" style="36" customWidth="1"/>
    <col min="104" max="107" width="9.140625" style="2"/>
    <col min="108" max="108" width="14.85546875" style="2" customWidth="1"/>
    <col min="109" max="110" width="10.140625" style="2" bestFit="1" customWidth="1"/>
    <col min="111" max="111" width="6.7109375" style="35" customWidth="1"/>
    <col min="112" max="112" width="10.140625" style="35" customWidth="1"/>
    <col min="113" max="114" width="6.7109375" style="12" customWidth="1"/>
    <col min="115" max="116" width="2.7109375" style="12" customWidth="1"/>
    <col min="117" max="117" width="6.7109375" style="12" customWidth="1"/>
    <col min="118" max="119" width="6.7109375" style="35" customWidth="1"/>
    <col min="120" max="121" width="6.7109375" style="12" customWidth="1"/>
    <col min="122" max="123" width="4.5703125" style="12" customWidth="1"/>
    <col min="124" max="124" width="6.7109375" style="12" customWidth="1"/>
    <col min="125" max="126" width="6.7109375" style="35" customWidth="1"/>
    <col min="127" max="128" width="6.7109375" style="12" customWidth="1"/>
    <col min="129" max="130" width="3.5703125" style="12" customWidth="1"/>
    <col min="131" max="131" width="6.7109375" style="12" customWidth="1"/>
    <col min="132" max="132" width="6.7109375" style="35" customWidth="1"/>
    <col min="133" max="133" width="13.140625" style="35" customWidth="1"/>
    <col min="134" max="135" width="10.7109375" style="12" customWidth="1"/>
    <col min="136" max="137" width="5.28515625" style="106" customWidth="1"/>
    <col min="138" max="138" width="11.7109375" style="161" customWidth="1"/>
    <col min="139" max="139" width="8.85546875" style="36" customWidth="1"/>
    <col min="140" max="143" width="6.7109375" style="36" customWidth="1"/>
    <col min="144" max="145" width="9.140625" style="2"/>
    <col min="146" max="147" width="9.140625" style="48"/>
    <col min="148" max="150" width="9.140625" style="2"/>
    <col min="151" max="151" width="9.140625" style="48"/>
    <col min="152" max="152" width="9.28515625" style="48" customWidth="1"/>
    <col min="153" max="16384" width="9.140625" style="2"/>
  </cols>
  <sheetData>
    <row r="1" spans="1:153" s="19" customFormat="1" ht="26.25" customHeight="1" x14ac:dyDescent="0.2">
      <c r="B1" s="38">
        <v>45474</v>
      </c>
      <c r="C1" s="21"/>
      <c r="D1" s="24" t="s">
        <v>198</v>
      </c>
      <c r="E1" s="25"/>
      <c r="F1" s="25"/>
      <c r="G1" s="25"/>
      <c r="H1" s="25"/>
      <c r="I1" s="22" t="s">
        <v>199</v>
      </c>
      <c r="J1" s="22"/>
      <c r="K1" s="23"/>
      <c r="L1" s="23"/>
      <c r="M1" s="23"/>
      <c r="N1" s="24" t="s">
        <v>200</v>
      </c>
      <c r="O1" s="25"/>
      <c r="P1" s="25"/>
      <c r="Q1" s="25"/>
      <c r="R1" s="25"/>
      <c r="S1" s="22" t="s">
        <v>201</v>
      </c>
      <c r="T1" s="22"/>
      <c r="U1" s="23"/>
      <c r="V1" s="23"/>
      <c r="W1" s="23"/>
      <c r="X1" s="24" t="s">
        <v>202</v>
      </c>
      <c r="Y1" s="25"/>
      <c r="Z1" s="25"/>
      <c r="AA1" s="25"/>
      <c r="AB1" s="25"/>
      <c r="AC1" s="22" t="s">
        <v>203</v>
      </c>
      <c r="AD1" s="22"/>
      <c r="AE1" s="23"/>
      <c r="AF1" s="23"/>
      <c r="AG1" s="23"/>
      <c r="AH1" s="24" t="s">
        <v>204</v>
      </c>
      <c r="AI1" s="25"/>
      <c r="AJ1" s="25"/>
      <c r="AK1" s="25"/>
      <c r="AL1" s="25"/>
      <c r="AM1" s="22" t="s">
        <v>205</v>
      </c>
      <c r="AN1" s="22"/>
      <c r="AO1" s="23"/>
      <c r="AP1" s="23"/>
      <c r="AQ1" s="23"/>
      <c r="AR1" s="24" t="s">
        <v>206</v>
      </c>
      <c r="AS1" s="25"/>
      <c r="AT1" s="25"/>
      <c r="AU1" s="25"/>
      <c r="AV1" s="25"/>
      <c r="AW1" s="22" t="s">
        <v>207</v>
      </c>
      <c r="AX1" s="22"/>
      <c r="AY1" s="23"/>
      <c r="AZ1" s="23"/>
      <c r="BA1" s="23"/>
      <c r="BB1" s="24" t="s">
        <v>208</v>
      </c>
      <c r="BC1" s="25"/>
      <c r="BD1" s="25"/>
      <c r="BE1" s="25"/>
      <c r="BF1" s="25"/>
      <c r="BG1" s="22" t="s">
        <v>209</v>
      </c>
      <c r="BH1" s="22"/>
      <c r="BI1" s="23"/>
      <c r="BJ1" s="23"/>
      <c r="BK1" s="23"/>
      <c r="BL1" s="24" t="s">
        <v>210</v>
      </c>
      <c r="BM1" s="25"/>
      <c r="BN1" s="25"/>
      <c r="BO1" s="25"/>
      <c r="BP1" s="25"/>
      <c r="BQ1" s="22" t="s">
        <v>211</v>
      </c>
      <c r="BR1" s="22"/>
      <c r="BS1" s="23"/>
      <c r="BT1" s="23"/>
      <c r="BU1" s="23"/>
      <c r="BV1" s="24" t="s">
        <v>212</v>
      </c>
      <c r="BW1" s="25"/>
      <c r="BX1" s="25"/>
      <c r="BY1" s="25"/>
      <c r="BZ1" s="25"/>
      <c r="CA1" s="22" t="s">
        <v>213</v>
      </c>
      <c r="CB1" s="22"/>
      <c r="CC1" s="23"/>
      <c r="CD1" s="23"/>
      <c r="CE1" s="23"/>
      <c r="CF1" s="24" t="s">
        <v>214</v>
      </c>
      <c r="CG1" s="25"/>
      <c r="CH1" s="25"/>
      <c r="CI1" s="25"/>
      <c r="CJ1" s="25"/>
      <c r="CK1" s="22" t="s">
        <v>215</v>
      </c>
      <c r="CL1" s="22"/>
      <c r="CM1" s="23"/>
      <c r="CN1" s="23"/>
      <c r="CO1" s="23"/>
      <c r="CP1" s="24" t="s">
        <v>216</v>
      </c>
      <c r="CQ1" s="25"/>
      <c r="CR1" s="25"/>
      <c r="CS1" s="25"/>
      <c r="CT1" s="25"/>
      <c r="CU1" s="22" t="s">
        <v>217</v>
      </c>
      <c r="CV1" s="22"/>
      <c r="CW1" s="23"/>
      <c r="CX1" s="23"/>
      <c r="CY1" s="23"/>
      <c r="DE1" s="175" t="s">
        <v>218</v>
      </c>
      <c r="DF1" s="166">
        <v>1</v>
      </c>
      <c r="DG1" s="167" t="s">
        <v>219</v>
      </c>
      <c r="DH1" s="168"/>
      <c r="DI1" s="168"/>
      <c r="DJ1" s="168"/>
      <c r="DK1" s="168"/>
      <c r="DL1" s="168"/>
      <c r="DM1" s="168">
        <v>30</v>
      </c>
      <c r="DN1" s="169" t="s">
        <v>220</v>
      </c>
      <c r="DO1" s="169"/>
      <c r="DP1" s="170"/>
      <c r="DQ1" s="170"/>
      <c r="DR1" s="170"/>
      <c r="DS1" s="170"/>
      <c r="DT1" s="170"/>
      <c r="DU1" s="167" t="s">
        <v>221</v>
      </c>
      <c r="DV1" s="168"/>
      <c r="DW1" s="168"/>
      <c r="DX1" s="168"/>
      <c r="DY1" s="168"/>
      <c r="DZ1" s="168"/>
      <c r="EA1" s="168">
        <v>30</v>
      </c>
      <c r="EB1" s="169" t="s">
        <v>222</v>
      </c>
      <c r="EC1" s="171"/>
      <c r="ED1" s="172"/>
      <c r="EE1" s="172"/>
      <c r="EF1" s="173"/>
      <c r="EG1" s="173"/>
      <c r="EH1" s="174">
        <v>31</v>
      </c>
      <c r="EI1" s="167" t="s">
        <v>223</v>
      </c>
      <c r="EJ1" s="168"/>
      <c r="EK1" s="168"/>
      <c r="EL1" s="168"/>
      <c r="EM1" s="168"/>
      <c r="EP1" s="45"/>
      <c r="EQ1" s="45"/>
      <c r="EU1" s="45"/>
      <c r="EV1" s="45"/>
    </row>
    <row r="2" spans="1:153" s="18" customFormat="1" ht="14.25" customHeight="1" x14ac:dyDescent="0.2">
      <c r="A2" s="18">
        <v>2</v>
      </c>
      <c r="B2" s="38">
        <f>B1</f>
        <v>45474</v>
      </c>
      <c r="C2" s="26"/>
      <c r="D2" s="51">
        <v>45474</v>
      </c>
      <c r="E2" s="25"/>
      <c r="F2" s="25"/>
      <c r="G2" s="25"/>
      <c r="H2" s="25">
        <f>I2-D2</f>
        <v>31</v>
      </c>
      <c r="I2" s="50">
        <v>45505</v>
      </c>
      <c r="J2" s="22"/>
      <c r="K2" s="23"/>
      <c r="L2" s="23"/>
      <c r="M2" s="25">
        <f>N2-I2</f>
        <v>31</v>
      </c>
      <c r="N2" s="51">
        <v>45536</v>
      </c>
      <c r="O2" s="25"/>
      <c r="P2" s="25"/>
      <c r="Q2" s="25"/>
      <c r="R2" s="25">
        <f>S2-N2</f>
        <v>30</v>
      </c>
      <c r="S2" s="50">
        <v>45566</v>
      </c>
      <c r="T2" s="22"/>
      <c r="U2" s="23"/>
      <c r="V2" s="23"/>
      <c r="W2" s="23"/>
      <c r="X2" s="51">
        <v>45597</v>
      </c>
      <c r="Y2" s="25"/>
      <c r="Z2" s="25"/>
      <c r="AA2" s="25"/>
      <c r="AB2" s="25"/>
      <c r="AC2" s="50">
        <v>45627</v>
      </c>
      <c r="AD2" s="22"/>
      <c r="AE2" s="23"/>
      <c r="AF2" s="23"/>
      <c r="AG2" s="23"/>
      <c r="AH2" s="24"/>
      <c r="AI2" s="25"/>
      <c r="AJ2" s="25"/>
      <c r="AK2" s="25"/>
      <c r="AL2" s="25"/>
      <c r="AM2" s="22"/>
      <c r="AN2" s="22"/>
      <c r="AO2" s="23"/>
      <c r="AP2" s="23"/>
      <c r="AQ2" s="23"/>
      <c r="AR2" s="24"/>
      <c r="AS2" s="25"/>
      <c r="AT2" s="25"/>
      <c r="AU2" s="25"/>
      <c r="AV2" s="25"/>
      <c r="AW2" s="22"/>
      <c r="AX2" s="22"/>
      <c r="AY2" s="23"/>
      <c r="AZ2" s="23"/>
      <c r="BA2" s="23"/>
      <c r="BB2" s="24"/>
      <c r="BC2" s="25"/>
      <c r="BD2" s="25"/>
      <c r="BE2" s="25"/>
      <c r="BF2" s="25"/>
      <c r="BG2" s="22"/>
      <c r="BH2" s="22"/>
      <c r="BI2" s="23"/>
      <c r="BJ2" s="23"/>
      <c r="BK2" s="23"/>
      <c r="BL2" s="24"/>
      <c r="BM2" s="25"/>
      <c r="BN2" s="25"/>
      <c r="BO2" s="25"/>
      <c r="BP2" s="25"/>
      <c r="BQ2" s="22"/>
      <c r="BR2" s="22"/>
      <c r="BS2" s="23"/>
      <c r="BT2" s="23"/>
      <c r="BU2" s="23"/>
      <c r="BV2" s="24"/>
      <c r="BW2" s="25"/>
      <c r="BX2" s="25"/>
      <c r="BY2" s="25"/>
      <c r="BZ2" s="25"/>
      <c r="CA2" s="22"/>
      <c r="CB2" s="22"/>
      <c r="CC2" s="23"/>
      <c r="CD2" s="23"/>
      <c r="CE2" s="23"/>
      <c r="CF2" s="24"/>
      <c r="CG2" s="25"/>
      <c r="CH2" s="25"/>
      <c r="CI2" s="25"/>
      <c r="CJ2" s="25"/>
      <c r="CK2" s="22"/>
      <c r="CL2" s="22"/>
      <c r="CM2" s="23"/>
      <c r="CN2" s="23"/>
      <c r="CO2" s="23"/>
      <c r="CP2" s="24"/>
      <c r="CQ2" s="25"/>
      <c r="CR2" s="25"/>
      <c r="CS2" s="25"/>
      <c r="CT2" s="25"/>
      <c r="CU2" s="22"/>
      <c r="CV2" s="22"/>
      <c r="CW2" s="23"/>
      <c r="CX2" s="23"/>
      <c r="CY2" s="23"/>
      <c r="DG2" s="24"/>
      <c r="DH2" s="25"/>
      <c r="DI2" s="25"/>
      <c r="DJ2" s="25"/>
      <c r="DK2" s="25"/>
      <c r="DL2" s="25"/>
      <c r="DM2" s="25"/>
      <c r="DN2" s="22"/>
      <c r="DO2" s="22"/>
      <c r="DP2" s="23"/>
      <c r="DQ2" s="23"/>
      <c r="DR2" s="23"/>
      <c r="DS2" s="23"/>
      <c r="DT2" s="23"/>
      <c r="DU2" s="24"/>
      <c r="DV2" s="25"/>
      <c r="DW2" s="25"/>
      <c r="DX2" s="25"/>
      <c r="DY2" s="25"/>
      <c r="DZ2" s="25"/>
      <c r="EA2" s="25"/>
      <c r="EB2" s="22"/>
      <c r="EC2" s="158"/>
      <c r="ED2" s="159"/>
      <c r="EE2" s="159"/>
      <c r="EF2" s="105"/>
      <c r="EG2" s="105"/>
      <c r="EH2" s="160"/>
      <c r="EI2" s="24"/>
      <c r="EJ2" s="25"/>
      <c r="EK2" s="25"/>
      <c r="EL2" s="25"/>
      <c r="EM2" s="25"/>
      <c r="EP2" s="46"/>
      <c r="EQ2" s="46"/>
      <c r="EU2" s="46"/>
      <c r="EV2" s="46"/>
    </row>
    <row r="3" spans="1:153" s="20" customFormat="1" ht="84.75" customHeight="1" x14ac:dyDescent="0.2">
      <c r="A3" s="38">
        <f>B1</f>
        <v>45474</v>
      </c>
      <c r="B3" s="38">
        <v>45931</v>
      </c>
      <c r="C3" s="1" t="s">
        <v>224</v>
      </c>
      <c r="D3" s="9" t="str">
        <f>D1 &amp; " " &amp; "Amorce"</f>
        <v>Per1 Amorce</v>
      </c>
      <c r="E3" s="7" t="str">
        <f>D1 &amp; " " &amp; "var_deb"</f>
        <v>Per1 var_deb</v>
      </c>
      <c r="F3" s="6" t="str">
        <f>D1 &amp; " " &amp; "fixed/min number"</f>
        <v>Per1 fixed/min number</v>
      </c>
      <c r="G3" s="4" t="str">
        <f>D1 &amp; " " &amp; "max_number"</f>
        <v>Per1 max_number</v>
      </c>
      <c r="H3" s="8" t="str">
        <f>D1 &amp; " " &amp; "var_fin"</f>
        <v>Per1 var_fin</v>
      </c>
      <c r="I3" s="9" t="str">
        <f>I1 &amp; " " &amp; "Amorce"</f>
        <v>per2 Amorce</v>
      </c>
      <c r="J3" s="7" t="str">
        <f>I1 &amp; " " &amp; "var_deb"</f>
        <v>per2 var_deb</v>
      </c>
      <c r="K3" s="6" t="str">
        <f>I1 &amp; " " &amp; "fixed/min number"</f>
        <v>per2 fixed/min number</v>
      </c>
      <c r="L3" s="4" t="str">
        <f>I1 &amp; " " &amp; "max_number"</f>
        <v>per2 max_number</v>
      </c>
      <c r="M3" s="8" t="str">
        <f>I1 &amp; " " &amp; "var_fin"</f>
        <v>per2 var_fin</v>
      </c>
      <c r="N3" s="9" t="str">
        <f>N1 &amp; " " &amp; "Amorce"</f>
        <v>per3 Amorce</v>
      </c>
      <c r="O3" s="7" t="str">
        <f>N1 &amp; " " &amp; "var_deb"</f>
        <v>per3 var_deb</v>
      </c>
      <c r="P3" s="6" t="str">
        <f>N1 &amp; " " &amp; "fixed/min number"</f>
        <v>per3 fixed/min number</v>
      </c>
      <c r="Q3" s="4" t="str">
        <f>N1 &amp; " " &amp; "max_number"</f>
        <v>per3 max_number</v>
      </c>
      <c r="R3" s="8" t="str">
        <f>N1 &amp; " " &amp; "var_fin"</f>
        <v>per3 var_fin</v>
      </c>
      <c r="S3" s="9" t="str">
        <f>S1 &amp; " " &amp; "Amorce"</f>
        <v>per4 Amorce</v>
      </c>
      <c r="T3" s="7" t="str">
        <f>S1 &amp; " " &amp; "var_deb"</f>
        <v>per4 var_deb</v>
      </c>
      <c r="U3" s="6" t="str">
        <f>S1 &amp; " " &amp; "fixed/min number"</f>
        <v>per4 fixed/min number</v>
      </c>
      <c r="V3" s="4" t="str">
        <f>S1 &amp; " " &amp; "max_number"</f>
        <v>per4 max_number</v>
      </c>
      <c r="W3" s="8" t="str">
        <f>S1 &amp; " " &amp; "var_fin"</f>
        <v>per4 var_fin</v>
      </c>
      <c r="X3" s="9" t="str">
        <f>X1 &amp; " " &amp; "Amorce"</f>
        <v>per5 Amorce</v>
      </c>
      <c r="Y3" s="7" t="str">
        <f>X1 &amp; " " &amp; "var_deb"</f>
        <v>per5 var_deb</v>
      </c>
      <c r="Z3" s="6" t="str">
        <f>X1 &amp; " " &amp; "fixed/min number"</f>
        <v>per5 fixed/min number</v>
      </c>
      <c r="AA3" s="4" t="str">
        <f>X1 &amp; " " &amp; "max_number"</f>
        <v>per5 max_number</v>
      </c>
      <c r="AB3" s="8" t="str">
        <f>X1 &amp; " " &amp; "var_fin"</f>
        <v>per5 var_fin</v>
      </c>
      <c r="AC3" s="9" t="str">
        <f>AC1 &amp; " " &amp; "Amorce"</f>
        <v>per6 Amorce</v>
      </c>
      <c r="AD3" s="7" t="str">
        <f>AC1 &amp; " " &amp; "var_deb"</f>
        <v>per6 var_deb</v>
      </c>
      <c r="AE3" s="6" t="str">
        <f>AC1 &amp; " " &amp; "fixed/min number"</f>
        <v>per6 fixed/min number</v>
      </c>
      <c r="AF3" s="4" t="str">
        <f>AC1 &amp; " " &amp; "max_number"</f>
        <v>per6 max_number</v>
      </c>
      <c r="AG3" s="8" t="str">
        <f>AC1 &amp; " " &amp; "var_fin"</f>
        <v>per6 var_fin</v>
      </c>
      <c r="AH3" s="9" t="str">
        <f>AH1 &amp; " " &amp; "Amorce"</f>
        <v>per7 Amorce</v>
      </c>
      <c r="AI3" s="7" t="str">
        <f>AH1 &amp; " " &amp; "var_deb"</f>
        <v>per7 var_deb</v>
      </c>
      <c r="AJ3" s="6" t="str">
        <f>AH1 &amp; " " &amp; "fixed/min number"</f>
        <v>per7 fixed/min number</v>
      </c>
      <c r="AK3" s="4" t="str">
        <f>AH1 &amp; " " &amp; "max_number"</f>
        <v>per7 max_number</v>
      </c>
      <c r="AL3" s="8" t="str">
        <f>AH1 &amp; " " &amp; "var_fin"</f>
        <v>per7 var_fin</v>
      </c>
      <c r="AM3" s="9" t="str">
        <f>AM1 &amp; " " &amp; "Amorce"</f>
        <v>per8 Amorce</v>
      </c>
      <c r="AN3" s="7" t="str">
        <f>AM1 &amp; " " &amp; "var_deb"</f>
        <v>per8 var_deb</v>
      </c>
      <c r="AO3" s="6" t="str">
        <f>AM1 &amp; " " &amp; "fixed/min number"</f>
        <v>per8 fixed/min number</v>
      </c>
      <c r="AP3" s="4" t="str">
        <f>AM1 &amp; " " &amp; "max_number"</f>
        <v>per8 max_number</v>
      </c>
      <c r="AQ3" s="8" t="str">
        <f>AM1 &amp; " " &amp; "var_fin"</f>
        <v>per8 var_fin</v>
      </c>
      <c r="AR3" s="9" t="str">
        <f>AR1 &amp; " " &amp; "Amorce"</f>
        <v>per9 Amorce</v>
      </c>
      <c r="AS3" s="7" t="str">
        <f>AR1 &amp; " " &amp; "var_deb"</f>
        <v>per9 var_deb</v>
      </c>
      <c r="AT3" s="6" t="str">
        <f>AR1 &amp; " " &amp; "fixed/min number"</f>
        <v>per9 fixed/min number</v>
      </c>
      <c r="AU3" s="4" t="str">
        <f>AR1 &amp; " " &amp; "max_number"</f>
        <v>per9 max_number</v>
      </c>
      <c r="AV3" s="8" t="str">
        <f>AR1 &amp; " " &amp; "var_fin"</f>
        <v>per9 var_fin</v>
      </c>
      <c r="AW3" s="9" t="str">
        <f>AW1 &amp; " " &amp; "Amorce"</f>
        <v>per10 Amorce</v>
      </c>
      <c r="AX3" s="7" t="str">
        <f>AW1 &amp; " " &amp; "var_deb"</f>
        <v>per10 var_deb</v>
      </c>
      <c r="AY3" s="6" t="str">
        <f>AW1 &amp; " " &amp; "fixed/min number"</f>
        <v>per10 fixed/min number</v>
      </c>
      <c r="AZ3" s="4" t="str">
        <f>AW1 &amp; " " &amp; "max_number"</f>
        <v>per10 max_number</v>
      </c>
      <c r="BA3" s="8" t="str">
        <f>AW1 &amp; " " &amp; "var_fin"</f>
        <v>per10 var_fin</v>
      </c>
      <c r="BB3" s="9" t="str">
        <f>BB1 &amp; " " &amp; "Amorce"</f>
        <v>per11 Amorce</v>
      </c>
      <c r="BC3" s="7" t="str">
        <f>BB1 &amp; " " &amp; "var_deb"</f>
        <v>per11 var_deb</v>
      </c>
      <c r="BD3" s="6" t="str">
        <f>BB1 &amp; " " &amp; "fixed/min number"</f>
        <v>per11 fixed/min number</v>
      </c>
      <c r="BE3" s="4" t="str">
        <f>BB1 &amp; " " &amp; "max_number"</f>
        <v>per11 max_number</v>
      </c>
      <c r="BF3" s="8" t="str">
        <f>BB1 &amp; " " &amp; "var_fin"</f>
        <v>per11 var_fin</v>
      </c>
      <c r="BG3" s="9" t="str">
        <f>BG1 &amp; " " &amp; "Amorce"</f>
        <v>per12 Amorce</v>
      </c>
      <c r="BH3" s="7" t="str">
        <f>BG1 &amp; " " &amp; "var_deb"</f>
        <v>per12 var_deb</v>
      </c>
      <c r="BI3" s="6" t="str">
        <f>BG1 &amp; " " &amp; "fixed/min number"</f>
        <v>per12 fixed/min number</v>
      </c>
      <c r="BJ3" s="4" t="str">
        <f>BG1 &amp; " " &amp; "max_number"</f>
        <v>per12 max_number</v>
      </c>
      <c r="BK3" s="8" t="str">
        <f>BG1 &amp; " " &amp; "var_fin"</f>
        <v>per12 var_fin</v>
      </c>
      <c r="BL3" s="9" t="str">
        <f>BL1 &amp; " " &amp; "Amorce"</f>
        <v>per13 Amorce</v>
      </c>
      <c r="BM3" s="7" t="str">
        <f>BL1 &amp; " " &amp; "var_deb"</f>
        <v>per13 var_deb</v>
      </c>
      <c r="BN3" s="6" t="str">
        <f>BL1 &amp; " " &amp; "fixed/min number"</f>
        <v>per13 fixed/min number</v>
      </c>
      <c r="BO3" s="4" t="str">
        <f>BL1 &amp; " " &amp; "max_number"</f>
        <v>per13 max_number</v>
      </c>
      <c r="BP3" s="8" t="str">
        <f>BL1 &amp; " " &amp; "var_fin"</f>
        <v>per13 var_fin</v>
      </c>
      <c r="BQ3" s="9" t="str">
        <f>BQ1 &amp; " " &amp; "Amorce"</f>
        <v>per14 Amorce</v>
      </c>
      <c r="BR3" s="7" t="str">
        <f>BQ1 &amp; " " &amp; "var_deb"</f>
        <v>per14 var_deb</v>
      </c>
      <c r="BS3" s="6" t="str">
        <f>BQ1 &amp; " " &amp; "fixed/min number"</f>
        <v>per14 fixed/min number</v>
      </c>
      <c r="BT3" s="4" t="str">
        <f>BQ1 &amp; " " &amp; "max_number"</f>
        <v>per14 max_number</v>
      </c>
      <c r="BU3" s="8" t="str">
        <f>BQ1 &amp; " " &amp; "var_fin"</f>
        <v>per14 var_fin</v>
      </c>
      <c r="BV3" s="9" t="str">
        <f>BV1 &amp; " " &amp; "Amorce"</f>
        <v>per15 Amorce</v>
      </c>
      <c r="BW3" s="7" t="str">
        <f>BV1 &amp; " " &amp; "var_deb"</f>
        <v>per15 var_deb</v>
      </c>
      <c r="BX3" s="6" t="str">
        <f>BV1 &amp; " " &amp; "fixed/min number"</f>
        <v>per15 fixed/min number</v>
      </c>
      <c r="BY3" s="4" t="str">
        <f>BV1 &amp; " " &amp; "max_number"</f>
        <v>per15 max_number</v>
      </c>
      <c r="BZ3" s="8" t="str">
        <f>BV1 &amp; " " &amp; "var_fin"</f>
        <v>per15 var_fin</v>
      </c>
      <c r="CA3" s="9" t="str">
        <f>CA1 &amp; " " &amp; "Amorce"</f>
        <v>per16 Amorce</v>
      </c>
      <c r="CB3" s="7" t="str">
        <f>CA1 &amp; " " &amp; "var_deb"</f>
        <v>per16 var_deb</v>
      </c>
      <c r="CC3" s="6" t="str">
        <f>CA1 &amp; " " &amp; "fixed/min number"</f>
        <v>per16 fixed/min number</v>
      </c>
      <c r="CD3" s="4" t="str">
        <f>CA1 &amp; " " &amp; "max_number"</f>
        <v>per16 max_number</v>
      </c>
      <c r="CE3" s="8" t="str">
        <f>CA1 &amp; " " &amp; "var_fin"</f>
        <v>per16 var_fin</v>
      </c>
      <c r="CF3" s="9" t="str">
        <f>CF1 &amp; " " &amp; "Amorce"</f>
        <v>per17 Amorce</v>
      </c>
      <c r="CG3" s="7" t="str">
        <f>CF1 &amp; " " &amp; "var_deb"</f>
        <v>per17 var_deb</v>
      </c>
      <c r="CH3" s="6" t="str">
        <f>CF1 &amp; " " &amp; "fixed/min number"</f>
        <v>per17 fixed/min number</v>
      </c>
      <c r="CI3" s="4" t="str">
        <f>CF1 &amp; " " &amp; "max_number"</f>
        <v>per17 max_number</v>
      </c>
      <c r="CJ3" s="8" t="str">
        <f>CF1 &amp; " " &amp; "var_fin"</f>
        <v>per17 var_fin</v>
      </c>
      <c r="CK3" s="9" t="str">
        <f>CK1 &amp; " " &amp; "Amorce"</f>
        <v>per18 Amorce</v>
      </c>
      <c r="CL3" s="7" t="str">
        <f>CK1 &amp; " " &amp; "var_deb"</f>
        <v>per18 var_deb</v>
      </c>
      <c r="CM3" s="6" t="str">
        <f>CK1 &amp; " " &amp; "fixed/min number"</f>
        <v>per18 fixed/min number</v>
      </c>
      <c r="CN3" s="4" t="str">
        <f>CK1 &amp; " " &amp; "max_number"</f>
        <v>per18 max_number</v>
      </c>
      <c r="CO3" s="8" t="str">
        <f>CK1 &amp; " " &amp; "var_fin"</f>
        <v>per18 var_fin</v>
      </c>
      <c r="CP3" s="9" t="str">
        <f>CP1 &amp; " " &amp; "Amorce"</f>
        <v>per19 Amorce</v>
      </c>
      <c r="CQ3" s="7" t="str">
        <f>CP1 &amp; " " &amp; "var_deb"</f>
        <v>per19 var_deb</v>
      </c>
      <c r="CR3" s="6" t="str">
        <f>CP1 &amp; " " &amp; "fixed/min number"</f>
        <v>per19 fixed/min number</v>
      </c>
      <c r="CS3" s="4" t="str">
        <f>CP1 &amp; " " &amp; "max_number"</f>
        <v>per19 max_number</v>
      </c>
      <c r="CT3" s="8" t="str">
        <f>CP1 &amp; " " &amp; "var_fin"</f>
        <v>per19 var_fin</v>
      </c>
      <c r="CU3" s="9" t="str">
        <f>CU1 &amp; " " &amp; "Amorce"</f>
        <v>per20 Amorce</v>
      </c>
      <c r="CV3" s="7" t="str">
        <f>CU1 &amp; " " &amp; "var_deb"</f>
        <v>per20 var_deb</v>
      </c>
      <c r="CW3" s="6" t="str">
        <f>CU1 &amp; " " &amp; "fixed/min number"</f>
        <v>per20 fixed/min number</v>
      </c>
      <c r="CX3" s="4" t="str">
        <f>CU1 &amp; " " &amp; "max_number"</f>
        <v>per20 max_number</v>
      </c>
      <c r="CY3" s="8" t="str">
        <f>CU1 &amp; " " &amp; "var_fin"</f>
        <v>per20 var_fin</v>
      </c>
      <c r="DA3" s="20" t="e">
        <f>DaB!#REF!</f>
        <v>#REF!</v>
      </c>
      <c r="DF3" s="20" t="str">
        <f t="shared" ref="DF3:DF33" si="0">C3</f>
        <v>Amorce generale</v>
      </c>
      <c r="DG3" s="9" t="str">
        <f>DG1 &amp; " " &amp; "Amorce"</f>
        <v>begS  Amorce</v>
      </c>
      <c r="DH3" s="7" t="str">
        <f>DG1 &amp; " " &amp; "var_deb"</f>
        <v>begS  var_deb</v>
      </c>
      <c r="DI3" s="3" t="str">
        <f>DG1 &amp; " " &amp; "fixed/min number"</f>
        <v>begS  fixed/min number</v>
      </c>
      <c r="DJ3" s="3" t="str">
        <f>DH1 &amp; " " &amp; "fixed/min number"</f>
        <v xml:space="preserve"> fixed/min number</v>
      </c>
      <c r="DK3" s="5"/>
      <c r="DL3" s="5"/>
      <c r="DM3" s="8" t="str">
        <f>DG1 &amp; " " &amp; "var_fin"</f>
        <v>begS  var_fin</v>
      </c>
      <c r="DN3" s="9" t="str">
        <f>DN1 &amp; " " &amp; "Amorce"</f>
        <v>End students Amorce</v>
      </c>
      <c r="DO3" s="7" t="str">
        <f>DN1 &amp; " " &amp; "var_deb"</f>
        <v>End students var_deb</v>
      </c>
      <c r="DP3" s="3" t="str">
        <f>DN1 &amp; " " &amp; "fixed/min number"</f>
        <v>End students fixed/min number</v>
      </c>
      <c r="DQ3" s="3" t="str">
        <f>DO1 &amp; " " &amp; "fixed/min number"</f>
        <v xml:space="preserve"> fixed/min number</v>
      </c>
      <c r="DR3" s="5" t="str">
        <f>DN1 &amp; " " &amp; "max_number"</f>
        <v>End students max_number</v>
      </c>
      <c r="DS3" s="5" t="str">
        <f>DO1 &amp; " " &amp; "max_number"</f>
        <v xml:space="preserve"> max_number</v>
      </c>
      <c r="DT3" s="8" t="str">
        <f>DN1 &amp; " " &amp; "var_fin"</f>
        <v>End students var_fin</v>
      </c>
      <c r="DU3" s="9" t="str">
        <f>DU1 &amp; " " &amp; "Amorce"</f>
        <v>begS S &gt;T Amorce</v>
      </c>
      <c r="DV3" s="7" t="str">
        <f>DU1 &amp; " " &amp; "var_deb"</f>
        <v>begS S &gt;T var_deb</v>
      </c>
      <c r="DW3" s="3" t="str">
        <f>DU1 &amp; " " &amp; "fixed/min number"</f>
        <v>begS S &gt;T fixed/min number</v>
      </c>
      <c r="DX3" s="3" t="str">
        <f>DV1 &amp; " " &amp; "fixed/min number"</f>
        <v xml:space="preserve"> fixed/min number</v>
      </c>
      <c r="DY3" s="5"/>
      <c r="DZ3" s="5"/>
      <c r="EA3" s="8" t="str">
        <f>DU1 &amp; " " &amp; "var_fin"</f>
        <v>begS S &gt;T var_fin</v>
      </c>
      <c r="EB3" s="9" t="str">
        <f>EB1 &amp; " " &amp; "Amorce"</f>
        <v>beg S = T Amorce</v>
      </c>
      <c r="EC3" s="7" t="str">
        <f>EB1 &amp; " " &amp; "var_deb"</f>
        <v>beg S = T var_deb</v>
      </c>
      <c r="ED3" s="3" t="str">
        <f>EB1 &amp; " " &amp; "fixed/min number"</f>
        <v>beg S = T fixed/min number</v>
      </c>
      <c r="EE3" s="3" t="str">
        <f>EC1 &amp; " " &amp; "fixed/min number"</f>
        <v xml:space="preserve"> fixed/min number</v>
      </c>
      <c r="EF3" s="5" t="str">
        <f>EB1 &amp; " " &amp; "max_number"</f>
        <v>beg S = T max_number</v>
      </c>
      <c r="EG3" s="5" t="str">
        <f>EC1 &amp; " " &amp; "max_number"</f>
        <v xml:space="preserve"> max_number</v>
      </c>
      <c r="EH3" s="8" t="str">
        <f>EB1 &amp; " " &amp; "var_fin"</f>
        <v>beg S = T var_fin</v>
      </c>
      <c r="EI3" s="9" t="str">
        <f>EI1 &amp; " " &amp; "Amorce"</f>
        <v>End Amorce</v>
      </c>
      <c r="EJ3" s="7" t="str">
        <f>EI1 &amp; " " &amp; "var_deb"</f>
        <v>End var_deb</v>
      </c>
      <c r="EK3" s="3" t="str">
        <f>EI1 &amp; " " &amp; "fixed/min number"</f>
        <v>End fixed/min number</v>
      </c>
      <c r="EL3" s="3" t="str">
        <f>EI1 &amp; " " &amp; "max_number"</f>
        <v>End max_number</v>
      </c>
      <c r="EM3" s="8" t="str">
        <f>EI1 &amp; " " &amp; "var_fin"</f>
        <v>End var_fin</v>
      </c>
      <c r="EN3" s="9" t="s">
        <v>225</v>
      </c>
      <c r="EO3" s="7" t="s">
        <v>226</v>
      </c>
      <c r="EP3" s="3" t="s">
        <v>227</v>
      </c>
      <c r="EQ3" s="3" t="s">
        <v>228</v>
      </c>
      <c r="ER3" s="8" t="s">
        <v>229</v>
      </c>
      <c r="ES3" s="9"/>
      <c r="ET3" s="7" t="s">
        <v>226</v>
      </c>
      <c r="EU3" s="3" t="s">
        <v>227</v>
      </c>
      <c r="EV3" s="3" t="s">
        <v>228</v>
      </c>
      <c r="EW3" s="8" t="s">
        <v>229</v>
      </c>
    </row>
    <row r="4" spans="1:153" x14ac:dyDescent="0.2">
      <c r="A4" s="2" t="e">
        <f>DaB!A4</f>
        <v>#REF!</v>
      </c>
      <c r="B4" s="2" t="s">
        <v>230</v>
      </c>
      <c r="C4" s="27">
        <f>$B$1</f>
        <v>45474</v>
      </c>
      <c r="D4" s="34">
        <f>IFERROR(MIN(DaB!F4:K4)-C4,0)</f>
        <v>0</v>
      </c>
      <c r="E4" s="29">
        <f>IFERROR(IF(F4=0,0,IF(DaB!F4&gt;0,DaB!G4-DaB!F4,0)),0)</f>
        <v>0</v>
      </c>
      <c r="F4" s="33">
        <f>IFERROR(IF(DaB!G4&gt;0,DaB!H4-DaB!G4+1,0),0)</f>
        <v>0</v>
      </c>
      <c r="G4" s="32">
        <f>IFERROR(IF(F4=0,0,IF(DaB!J4&gt;0,DaB!J4-DaB!I4+1,0)),0)</f>
        <v>0</v>
      </c>
      <c r="H4" s="30">
        <f>IFERROR(IF(F4=0,0,IF(DaB!K4&gt;0,DaB!K4-MAX(DaB!H4:J4),0)),0)</f>
        <v>0</v>
      </c>
      <c r="I4" s="34">
        <f>IFERROR(IF(K4=0,0,MIN(DaB!$M4:$N4)-SUM($C4:H4)),0)</f>
        <v>0</v>
      </c>
      <c r="J4" s="29">
        <f>IFERROR(IF(K4=0,0,IF(DaB!M4&gt;0,DaB!N4-DaB!M4,0)),0)</f>
        <v>0</v>
      </c>
      <c r="K4" s="33">
        <f>IFERROR(IF(DaB!O4&gt;0,DaB!O4-DaB!N4+1,0),0)</f>
        <v>0</v>
      </c>
      <c r="L4" s="32">
        <f>IFERROR(IF(K4=0,0,IF(DaB!Q4&gt;0,DaB!Q4-DaB!P4+1,0)),0)</f>
        <v>0</v>
      </c>
      <c r="M4" s="30">
        <f>IFERROR(IF(K4=0,0,IF(DaB!R4&gt;0,DaB!R4-MAX(DaB!O4:Q4),0)),0)</f>
        <v>0</v>
      </c>
      <c r="N4" s="31">
        <f>IFERROR(IF(P4=0,0,MIN(DaB!$T4:$U4)-SUM($C4:M4)),0)</f>
        <v>0</v>
      </c>
      <c r="O4" s="29">
        <f>IFERROR(IF(P4=0,0,IF(DaB!T4&gt;0,DaB!U4-DaB!T4,0)),0)</f>
        <v>0</v>
      </c>
      <c r="P4" s="33">
        <f>IFERROR(IF(DaB!V4&gt;0,DaB!V4-DaB!U4+1,0),0)</f>
        <v>0</v>
      </c>
      <c r="Q4" s="32">
        <f>IFERROR(IF(P4=0,0,IF(DaB!X4&gt;0,DaB!X4-DaB!W4+1,0)),0)</f>
        <v>0</v>
      </c>
      <c r="R4" s="30">
        <f>IFERROR(IF(P4=0,0,IF(DaB!Y4&gt;0,DaB!Y4-MAX(DaB!V4:X4),0)),0)</f>
        <v>0</v>
      </c>
      <c r="S4" s="34">
        <f>IFERROR(IF(U4=0,0,MIN(DaB!$AA4:$AB4)-SUM($C4:R4)),0)</f>
        <v>0</v>
      </c>
      <c r="T4" s="29">
        <f>IFERROR(IF(U4=0,0,IF(DaB!AA4&gt;0,DaB!AB4-DaB!AA4,0)),0)</f>
        <v>0</v>
      </c>
      <c r="U4" s="33">
        <f>IFERROR(IF(DaB!AC4&gt;0,DaB!AC4-DaB!AB4+1,0),0)</f>
        <v>0</v>
      </c>
      <c r="V4" s="32">
        <f>IFERROR(IF(U4=0,0,IF(DaB!AE4&gt;0,DaB!AE4-DaB!AD4+1,0)),0)</f>
        <v>0</v>
      </c>
      <c r="W4" s="30">
        <f>IFERROR(IF(U4=0,0,IF(DaB!AF4&gt;0,DaB!AF4-MAX(DaB!AC4:AE4),0)),0)</f>
        <v>0</v>
      </c>
      <c r="X4" s="34">
        <f>IFERROR(IF(Z4=0,0,MIN(DaB!$AH4:$AI4)-SUM($C4:W4)),0)</f>
        <v>0</v>
      </c>
      <c r="Y4" s="29">
        <f>IFERROR(IF(Z4=0,0,IF(DaB!AH4&gt;0,DaB!AI4-DaB!AH4,0)),0)</f>
        <v>0</v>
      </c>
      <c r="Z4" s="33">
        <f>IFERROR(IF(DaB!AJ4&gt;0,DaB!AJ4-DaB!AI4+1,0),0)</f>
        <v>0</v>
      </c>
      <c r="AA4" s="32">
        <f>IFERROR(IF(Z4=0,0,IF(DaB!AL4&gt;0,DaB!AL4-DaB!AK4+1,0)),0)</f>
        <v>0</v>
      </c>
      <c r="AB4" s="30">
        <f>IFERROR(IF(Z4=0,0,IF(DaB!AM4&gt;0,DaB!AM4-MAX(DaB!AJ4:AL4),0)),0)</f>
        <v>0</v>
      </c>
      <c r="AC4" s="34">
        <f>IFERROR(IF(AE4=0,0,MIN(DaB!$AO4:$AP4)-SUM($C4:AB4)),0)</f>
        <v>0</v>
      </c>
      <c r="AD4" s="29">
        <f>IFERROR(IF(AE4=0,0,IF(DaB!AO4&gt;0,DaB!AP4-DaB!AO4,0)),0)</f>
        <v>0</v>
      </c>
      <c r="AE4" s="33">
        <f>IFERROR(IF(DaB!AQ4&gt;0,DaB!AQ4-DaB!AP4+1,0),0)</f>
        <v>0</v>
      </c>
      <c r="AF4" s="32">
        <f>IFERROR(IF(AE4=0,0,IF(DaB!AS4&gt;0,DaB!AS4-DaB!AR4+1,0)),0)</f>
        <v>0</v>
      </c>
      <c r="AG4" s="30">
        <f>IFERROR(IF(AE4=0,0,IF(DaB!AT4&gt;0,DaB!AT4-MAX(DaB!AQ4:AS4),0)),0)</f>
        <v>0</v>
      </c>
      <c r="AH4" s="34">
        <f>IFERROR(IF(AJ4=0,0,MIN(DaB!$AV4:$AW4)-SUM($C4:AG4)),0)</f>
        <v>0</v>
      </c>
      <c r="AI4" s="29">
        <f>IFERROR(IF(AJ4=0,0,IF(DaB!AV4&gt;0,DaB!AW4-DaB!AV4,0)),0)</f>
        <v>0</v>
      </c>
      <c r="AJ4" s="33">
        <f>IFERROR(IF(DaB!AX4&gt;0,DaB!AX4-DaB!AW4+1,0),0)</f>
        <v>0</v>
      </c>
      <c r="AK4" s="32">
        <f>IFERROR(IF(AJ4=0,0,IF(DaB!AZ4&gt;0,DaB!AZ4-DaB!AY4+1,0)),0)</f>
        <v>0</v>
      </c>
      <c r="AL4" s="30">
        <f>IFERROR(IF(AJ4=0,0,IF(DaB!BA4&gt;0,DaB!BA4-MAX(DaB!AX4:AZ4),0)),0)</f>
        <v>0</v>
      </c>
      <c r="AM4" s="34">
        <f>IFERROR(IF(AO4=0,0,MIN(DaB!$BC4:$BD4)-SUM($C4:AL4)),0)</f>
        <v>0</v>
      </c>
      <c r="AN4" s="29">
        <f>IFERROR(IF(AO4=0,0,IF(DaB!BC4&gt;0,DaB!BD4-DaB!BC4,0)),0)</f>
        <v>0</v>
      </c>
      <c r="AO4" s="33">
        <f>IFERROR(IF(DaB!BE4&gt;0,DaB!BE4-DaB!BD4+1,0),0)</f>
        <v>0</v>
      </c>
      <c r="AP4" s="32">
        <f>IFERROR(IF(AO4=0,0,IF(DaB!BG4&gt;0,DaB!BG4-DaB!BF4+1,0)),0)</f>
        <v>0</v>
      </c>
      <c r="AQ4" s="30">
        <f>IFERROR(IF(AO4=0,0,IF(DaB!BH4&gt;0,DaB!BH4-MAX(DaB!BE4:BG4),0)),0)</f>
        <v>0</v>
      </c>
      <c r="AR4" s="34">
        <f>IFERROR(IF(AT4=0,0,MIN(DaB!$BJ4:$BK4)-SUM($C4:AQ4)),0)</f>
        <v>0</v>
      </c>
      <c r="AS4" s="29">
        <f>IFERROR(IF(AT4=0,0,IF(DaB!BJ4&gt;0,DaB!BK4-DaB!BJ4,0)),0)</f>
        <v>0</v>
      </c>
      <c r="AT4" s="33">
        <f>IFERROR(IF(DaB!BL4&gt;0,DaB!BL4-DaB!BK4+1,0),0)</f>
        <v>0</v>
      </c>
      <c r="AU4" s="32">
        <f>IFERROR(IF(AT4=0,0,IF(DaB!BN4&gt;0,DaB!BN4-DaB!BM4+1,0)),0)</f>
        <v>0</v>
      </c>
      <c r="AV4" s="30">
        <f>IFERROR(IF(AT4=0,0,IF(DaB!BO4&gt;0,DaB!BO4-MAX(DaB!BL4:BN4),0)),0)</f>
        <v>0</v>
      </c>
      <c r="AW4" s="34">
        <f>IFERROR(IF(AY4=0,0,MIN(DaB!$BQ4:$BR4)-SUM($C4:AV4)),0)</f>
        <v>0</v>
      </c>
      <c r="AX4" s="29">
        <f>IFERROR(IF(AY4=0,0,IF(DaB!BQ4&gt;0,DaB!BR4-DaB!BQ4,0)),0)</f>
        <v>0</v>
      </c>
      <c r="AY4" s="33">
        <f>IFERROR(IF(DaB!BS4&gt;0,DaB!BS4-DaB!BR4+1,0),0)</f>
        <v>0</v>
      </c>
      <c r="AZ4" s="32">
        <f>IFERROR(IF(AY4=0,0,IF(DaB!BU4&gt;0,DaB!BU4-DaB!BT4+1,0)),0)</f>
        <v>0</v>
      </c>
      <c r="BA4" s="30">
        <f>IFERROR(IF(AY4=0,0,IF(DaB!BV4&gt;0,DaB!BV4-MAX(DaB!BS4:BU4),0)),0)</f>
        <v>0</v>
      </c>
      <c r="BB4" s="34">
        <f>IFERROR(IF(BD4=0,0,MIN(DaB!$BX4:$BY4)-SUM($C4:BA4)),0)</f>
        <v>0</v>
      </c>
      <c r="BC4" s="29">
        <f>IFERROR(IF(BD4=0,0,IF(DaB!BX4&gt;0,DaB!BY4-DaB!BX4,0)),0)</f>
        <v>0</v>
      </c>
      <c r="BD4" s="33">
        <f>IFERROR(IF(DaB!BZ4&gt;0,DaB!BZ4-DaB!BY4+1,0),0)</f>
        <v>0</v>
      </c>
      <c r="BE4" s="32">
        <f>IFERROR(IF(BD4=0,0,IF(DaB!CB4&gt;0,DaB!CB4-DaB!CA4+1,0)),0)</f>
        <v>0</v>
      </c>
      <c r="BF4" s="30">
        <f>IFERROR(IF(BD4=0,0,IF(DaB!CC4&gt;0,DaB!CC4-MAX(DaB!BZ4:CB4),0)),0)</f>
        <v>0</v>
      </c>
      <c r="BG4" s="34">
        <f>IFERROR(IF(BI4=0,0,MIN(DaB!$CE4:$CF4)-SUM($C4:BF4)),0)</f>
        <v>0</v>
      </c>
      <c r="BH4" s="29">
        <f>IFERROR(IF(BI4=0,0,IF(DaB!CE4&gt;0,DaB!CF4-DaB!CE4,0)),0)</f>
        <v>0</v>
      </c>
      <c r="BI4" s="33">
        <f>IFERROR(IF(DaB!CG4&gt;0,DaB!CG4-DaB!CF4+1,0),0)</f>
        <v>0</v>
      </c>
      <c r="BJ4" s="32">
        <f>IFERROR(IF(BI4=0,0,IF(DaB!CI4&gt;0,DaB!CI4-DaB!CH4+1,0)),0)</f>
        <v>0</v>
      </c>
      <c r="BK4" s="30">
        <f>IFERROR(IF(BI4=0,0,IF(DaB!CJ4&gt;0,DaB!CJ4-MAX(DaB!CG4:CI4),0)),0)</f>
        <v>0</v>
      </c>
      <c r="BL4" s="34">
        <f>IFERROR(IF(BN4=0,0,MIN(DaB!$CL4:$CM4)-SUM($C4:BK4)),0)</f>
        <v>0</v>
      </c>
      <c r="BM4" s="29">
        <f>IFERROR(IF(BN4=0,0,IF(DaB!CL4&gt;0,DaB!CM4-DaB!CL4,0)),0)</f>
        <v>0</v>
      </c>
      <c r="BN4" s="33">
        <f>IFERROR(IF(DaB!CN4&gt;0,DaB!CN4-DaB!CM4+1,0),0)</f>
        <v>0</v>
      </c>
      <c r="BO4" s="32">
        <f>IFERROR(IF(BN4=0,0,IF(DaB!CP4&gt;0,DaB!CP4-DaB!CO4+1,0)),0)</f>
        <v>0</v>
      </c>
      <c r="BP4" s="30">
        <f>IFERROR(IF(BN4=0,0,IF(DaB!CQ4&gt;0,DaB!CQ4-MAX(DaB!CN4:CP4),0)),0)</f>
        <v>0</v>
      </c>
      <c r="BQ4" s="34">
        <f>IFERROR(IF(BS4=0,0,MIN(DaB!$CS4:$CT4)-SUM($C4:BP4)),0)</f>
        <v>0</v>
      </c>
      <c r="BR4" s="29">
        <f>IFERROR(IF(BS4=0,0,IF(DaB!CS4&gt;0,DaB!CT4-DaB!CS4,0)),0)</f>
        <v>0</v>
      </c>
      <c r="BS4" s="33">
        <f>IFERROR(IF(DaB!CU4&gt;0,DaB!CU4-DaB!CT4+1,0),0)</f>
        <v>0</v>
      </c>
      <c r="BT4" s="32">
        <f>IFERROR(IF(BS4=0,0,IF(DaB!CW4&gt;0,DaB!CW4-DaB!CV4+1,0)),0)</f>
        <v>0</v>
      </c>
      <c r="BU4" s="30">
        <f>IFERROR(IF(BS4=0,0,IF(DaB!CX4&gt;0,DaB!CX4-MAX(DaB!CU4:CW4),0)),0)</f>
        <v>0</v>
      </c>
      <c r="BV4" s="34">
        <f>IFERROR(IF(BX4=0,0,MIN(DaB!$CZ4:$DA4)-SUM($C4:BU4)),0)</f>
        <v>0</v>
      </c>
      <c r="BW4" s="29">
        <f>IFERROR(IF(BX4=0,0,IF(DaB!CZ4&gt;0,DaB!DA4-DaB!CZ4,0)),0)</f>
        <v>0</v>
      </c>
      <c r="BX4" s="33">
        <f>IFERROR(IF(DaB!DB4&gt;0,DaB!DB4-DaB!DA4+1,0),0)</f>
        <v>0</v>
      </c>
      <c r="BY4" s="32">
        <f>IFERROR(IF(BX4=0,0,IF(DaB!DD4&gt;0,DaB!DD4-DaB!DC4+1,0)),0)</f>
        <v>0</v>
      </c>
      <c r="BZ4" s="30">
        <f>IFERROR(IF(BX4=0,0,IF(DaB!DE4&gt;0,DaB!DE4-MAX(DaB!DB4:DD4),0)),0)</f>
        <v>0</v>
      </c>
      <c r="CA4" s="34">
        <f>IFERROR(IF(CC4=0,0,MIN(DaB!$DG4:$DH4)-SUM($C4:BZ4)),0)</f>
        <v>0</v>
      </c>
      <c r="CB4" s="29">
        <f>IFERROR(IF(CC4=0,0,IF(DaB!DG4&gt;0,DaB!DH4-DaB!DG4,0)),0)</f>
        <v>0</v>
      </c>
      <c r="CC4" s="33">
        <f>IFERROR(IF(DaB!DI4&gt;0,DaB!DI4-DaB!DH4+1,0),0)</f>
        <v>0</v>
      </c>
      <c r="CD4" s="32">
        <f>IFERROR(IF(CC4=0,0,IF(DaB!DK4&gt;0,DaB!DK4-DaB!DJ4+1,0)),0)</f>
        <v>0</v>
      </c>
      <c r="CE4" s="30">
        <f>IFERROR(IF(CC4=0,0,IF(DaB!DL4&gt;0,DaB!DL4-MAX(DaB!DI4:DK4),0)),0)</f>
        <v>0</v>
      </c>
      <c r="CF4" s="34">
        <f>IFERROR(IF(CH4=0,0,MIN(DaB!$DN4:$DO4)-SUM($C4:CE4)),0)</f>
        <v>0</v>
      </c>
      <c r="CG4" s="29">
        <f>IFERROR(IF(CH4=0,0,IF(DaB!DN4&gt;0,DaB!DO4-DaB!DN4,0)),0)</f>
        <v>0</v>
      </c>
      <c r="CH4" s="33">
        <f>IFERROR(IF(DaB!DP4&gt;0,DaB!DP4-DaB!DO4+1,0),0)</f>
        <v>0</v>
      </c>
      <c r="CI4" s="32">
        <f>IFERROR(IF(CH4=0,0,IF(DaB!DR4&gt;0,DaB!DR4-DaB!DQ4+1,0)),0)</f>
        <v>0</v>
      </c>
      <c r="CJ4" s="30">
        <f>IFERROR(IF(CH4=0,0,IF(DaB!DS4&gt;0,DaB!DS4-MAX(DaB!DP4:DR4),0)),0)</f>
        <v>0</v>
      </c>
      <c r="CK4" s="34">
        <f>IFERROR(IF(CM4=0,0,MIN(DaB!$DU4:$DV4)-SUM($C4:CJ4)),0)</f>
        <v>0</v>
      </c>
      <c r="CL4" s="29">
        <f>IFERROR(IF(CM4=0,0,IF(DaB!DU4&gt;0,DaB!DV4-DaB!DU4,0)),0)</f>
        <v>0</v>
      </c>
      <c r="CM4" s="33">
        <f>IFERROR(IF(DaB!DW4&gt;0,DaB!DW4-DaB!DV4+1,0),0)</f>
        <v>0</v>
      </c>
      <c r="CN4" s="32">
        <f>IFERROR(IF(CM4=0,0,IF(DaB!DY4&gt;0,DaB!DY4-DaB!DX4+1,0)),0)</f>
        <v>0</v>
      </c>
      <c r="CO4" s="30">
        <f>IFERROR(IF(CM4=0,0,IF(DaB!DZ4&gt;0,DaB!DZ4-MAX(DaB!DW4:DY4),0)),0)</f>
        <v>0</v>
      </c>
      <c r="CP4" s="34">
        <f>IFERROR(IF(CR4=0,0,MIN(DaB!$EB4:$EC4)-SUM($C4:CO4)),0)</f>
        <v>0</v>
      </c>
      <c r="CQ4" s="29">
        <f>IFERROR(IF(CR4=0,0,IF(DaB!EB4&gt;0,DaB!EC4-DaB!EB4,0)),0)</f>
        <v>0</v>
      </c>
      <c r="CR4" s="33">
        <f>IFERROR(IF(DaB!ED4&gt;0,DaB!ED4-DaB!EC4+1,0),0)</f>
        <v>0</v>
      </c>
      <c r="CS4" s="32">
        <f>IFERROR(IF(CR4=0,0,IF(DaB!EF4&gt;0,DaB!EF4-DaB!EE4+1,0)),0)</f>
        <v>0</v>
      </c>
      <c r="CT4" s="30">
        <f>IFERROR(IF(CR4=0,0,IF(DaB!EG4&gt;0,DaB!EG4-MAX(DaB!ED4:EF4),0)),0)</f>
        <v>0</v>
      </c>
      <c r="CU4" s="34">
        <f>IFERROR(IF(CW4=0,0,MIN(DaB!$EI4:$EJ4)-SUM($C4:CT4)),0)</f>
        <v>0</v>
      </c>
      <c r="CV4" s="29">
        <f>IFERROR(IF(CW4=0,0,IF(DaB!EI4&gt;0,DaB!EJ4-DaB!EI4,0)),0)</f>
        <v>0</v>
      </c>
      <c r="CW4" s="33">
        <f>IFERROR(IF(DaB!EK4&gt;0,DaB!EK4-DaB!EJ4+1,0),0)</f>
        <v>0</v>
      </c>
      <c r="CX4" s="32">
        <f>IFERROR(IF(CW4=0,0,IF(DaB!EM4&gt;0,DaB!EM4-DaB!EL4+1,0)),0)</f>
        <v>0</v>
      </c>
      <c r="CY4" s="30">
        <f>IFERROR(IF(CW4=0,0,IF(DaB!EN4&gt;0,DaB!EN4-MAX(DaB!EK4:EM4),0)),0)</f>
        <v>0</v>
      </c>
      <c r="DA4" s="49">
        <f>EK4</f>
        <v>0</v>
      </c>
      <c r="DF4" s="2">
        <f t="shared" si="0"/>
        <v>45474</v>
      </c>
      <c r="DG4" s="28" t="e">
        <f>IF(MIN(DaB!EU4:EV4)=DF4,0,
IF(MIN(DaB!EU4:EV4)&gt;DF4,MIN(DaB!EU4:EV4)-DF4,0))</f>
        <v>#REF!</v>
      </c>
      <c r="DH4" s="29" t="str">
        <f>IF(ISNUMBER(DaB!EV4),DaB!EV4-SUM(DF4:DG4),"")</f>
        <v/>
      </c>
      <c r="DI4" s="10" t="e">
        <f>IF(OR(DaB!EV4=0,DaB!EV4=""),"",$DF$1)</f>
        <v>#REF!</v>
      </c>
      <c r="DJ4" s="10"/>
      <c r="DK4" s="11">
        <v>0</v>
      </c>
      <c r="DL4" s="11">
        <v>0</v>
      </c>
      <c r="DM4" s="30" t="e">
        <f>IF(OR(DaB!EZ4=0,DaB!EZ4=""),"",IFERROR(DaB!EZ4-DaB!EV4,0))</f>
        <v>#REF!</v>
      </c>
      <c r="DN4" s="28" t="e">
        <f>(DaB!FC4)-(MAX(DaB!EU4:EW4))</f>
        <v>#REF!</v>
      </c>
      <c r="DO4" s="29" t="e">
        <f>IF(OR(DaB!FB4=0,DaB!FB4=""),"",DaB!FC4-SUM(DF4:DN4))</f>
        <v>#REF!</v>
      </c>
      <c r="DP4" s="10" t="e">
        <f>IF(OR(DaB!FC4=0,DaB!FC4=""),"",$DF$1)</f>
        <v>#REF!</v>
      </c>
      <c r="DQ4" s="10">
        <v>0</v>
      </c>
      <c r="DR4" s="11">
        <v>0</v>
      </c>
      <c r="DS4" s="11">
        <v>0</v>
      </c>
      <c r="DT4" s="30">
        <f>IFERROR(DaB!FG4-SUM(DF4:DS4),0)</f>
        <v>0</v>
      </c>
      <c r="DU4" s="28"/>
      <c r="DV4" s="29"/>
      <c r="DW4" s="10"/>
      <c r="DX4" s="10"/>
      <c r="DY4" s="11"/>
      <c r="DZ4" s="11"/>
      <c r="EA4" s="30"/>
      <c r="EB4" s="28"/>
      <c r="EC4" s="29"/>
      <c r="ED4" s="10"/>
      <c r="EE4" s="10"/>
      <c r="EF4" s="11"/>
      <c r="EG4" s="11"/>
      <c r="EH4" s="30"/>
      <c r="EI4" s="34"/>
      <c r="EJ4" s="29"/>
      <c r="EK4" s="10"/>
      <c r="EL4" s="10"/>
      <c r="EM4" s="30"/>
      <c r="EN4" s="34"/>
      <c r="EO4" s="29"/>
      <c r="EP4" s="47"/>
      <c r="EQ4" s="47"/>
      <c r="ER4" s="30"/>
      <c r="ES4" s="34"/>
      <c r="ET4" s="29"/>
      <c r="EU4" s="47"/>
      <c r="EV4" s="47"/>
      <c r="EW4" s="30"/>
    </row>
    <row r="5" spans="1:153" x14ac:dyDescent="0.2">
      <c r="A5" s="2" t="e">
        <f>DaB!A5</f>
        <v>#REF!</v>
      </c>
      <c r="B5" s="2" t="str">
        <f>B4</f>
        <v>.</v>
      </c>
      <c r="C5" s="27">
        <f t="shared" ref="C5:C72" si="1">$B$1</f>
        <v>45474</v>
      </c>
      <c r="D5" s="34">
        <f>IFERROR(MIN(DaB!F5:K5)-C5,0)</f>
        <v>0</v>
      </c>
      <c r="E5" s="29">
        <f>IFERROR(IF(F5=0,0,IF(DaB!F5&gt;0,DaB!G5-DaB!F5,0)),0)</f>
        <v>0</v>
      </c>
      <c r="F5" s="33">
        <f>IFERROR(IF(DaB!G5&gt;0,DaB!H5-DaB!G5+1,0),0)</f>
        <v>0</v>
      </c>
      <c r="G5" s="32">
        <f>IFERROR(IF(F5=0,0,IF(DaB!J5&gt;0,DaB!J5-DaB!I5+1,0)),0)</f>
        <v>0</v>
      </c>
      <c r="H5" s="30">
        <f>IFERROR(IF(F5=0,0,IF(DaB!K5&gt;0,DaB!K5-MAX(DaB!H5:J5),0)),0)</f>
        <v>0</v>
      </c>
      <c r="I5" s="34">
        <f>IFERROR(IF(K5=0,0,MIN(DaB!$M5:$N5)-SUM($C5:H5)),0)</f>
        <v>0</v>
      </c>
      <c r="J5" s="29">
        <f>IFERROR(IF(K5=0,0,IF(DaB!M5&gt;0,DaB!N5-DaB!M5,0)),0)</f>
        <v>0</v>
      </c>
      <c r="K5" s="33">
        <f>IFERROR(IF(DaB!O5&gt;0,DaB!O5-DaB!N5+1,0),0)</f>
        <v>0</v>
      </c>
      <c r="L5" s="32">
        <f>IFERROR(IF(K5=0,0,IF(DaB!Q5&gt;0,DaB!Q5-DaB!P5+1,0)),0)</f>
        <v>0</v>
      </c>
      <c r="M5" s="30">
        <f>IFERROR(IF(K5=0,0,IF(DaB!R5&gt;0,DaB!R5-MAX(DaB!O5:Q5),0)),0)</f>
        <v>0</v>
      </c>
      <c r="N5" s="31">
        <f>IFERROR(IF(P5=0,0,MIN(DaB!$T5:$U5)-SUM($C5:M5)),0)</f>
        <v>0</v>
      </c>
      <c r="O5" s="29">
        <f>IFERROR(IF(P5=0,0,IF(DaB!T5&gt;0,DaB!U5-DaB!T5,0)),0)</f>
        <v>0</v>
      </c>
      <c r="P5" s="33">
        <f>IFERROR(IF(DaB!V5&gt;0,DaB!V5-DaB!U5+1,0),0)</f>
        <v>0</v>
      </c>
      <c r="Q5" s="32">
        <f>IFERROR(IF(P5=0,0,IF(DaB!X5&gt;0,DaB!X5-DaB!W5+1,0)),0)</f>
        <v>0</v>
      </c>
      <c r="R5" s="30">
        <f>IFERROR(IF(P5=0,0,IF(DaB!Y5&gt;0,DaB!Y5-MAX(DaB!V5:X5),0)),0)</f>
        <v>0</v>
      </c>
      <c r="S5" s="34">
        <f>IFERROR(IF(U5=0,0,MIN(DaB!$AA5:$AB5)-SUM($C5:R5)),0)</f>
        <v>0</v>
      </c>
      <c r="T5" s="29">
        <f>IFERROR(IF(U5=0,0,IF(DaB!AA5&gt;0,DaB!AB5-DaB!AA5,0)),0)</f>
        <v>0</v>
      </c>
      <c r="U5" s="33">
        <f>IFERROR(IF(DaB!AC5&gt;0,DaB!AC5-DaB!AB5+1,0),0)</f>
        <v>0</v>
      </c>
      <c r="V5" s="32">
        <f>IFERROR(IF(U5=0,0,IF(DaB!AE5&gt;0,DaB!AE5-DaB!AD5+1,0)),0)</f>
        <v>0</v>
      </c>
      <c r="W5" s="30">
        <f>IFERROR(IF(U5=0,0,IF(DaB!AF5&gt;0,DaB!AF5-MAX(DaB!AC5:AE5),0)),0)</f>
        <v>0</v>
      </c>
      <c r="X5" s="34">
        <f>IFERROR(IF(Z5=0,0,MIN(DaB!$AH5:$AI5)-SUM($C5:W5)),0)</f>
        <v>0</v>
      </c>
      <c r="Y5" s="29">
        <f>IFERROR(IF(Z5=0,0,IF(DaB!AH5&gt;0,DaB!AI5-DaB!AH5,0)),0)</f>
        <v>0</v>
      </c>
      <c r="Z5" s="33">
        <f>IFERROR(IF(DaB!AJ5&gt;0,DaB!AJ5-DaB!AI5+1,0),0)</f>
        <v>0</v>
      </c>
      <c r="AA5" s="32">
        <f>IFERROR(IF(Z5=0,0,IF(DaB!AL5&gt;0,DaB!AL5-DaB!AK5+1,0)),0)</f>
        <v>0</v>
      </c>
      <c r="AB5" s="30">
        <f>IFERROR(IF(Z5=0,0,IF(DaB!AM5&gt;0,DaB!AM5-MAX(DaB!AJ5:AL5),0)),0)</f>
        <v>0</v>
      </c>
      <c r="AC5" s="34">
        <f>IFERROR(IF(AE5=0,0,MIN(DaB!$AO5:$AP5)-SUM($C5:AB5)),0)</f>
        <v>0</v>
      </c>
      <c r="AD5" s="29">
        <f>IFERROR(IF(AE5=0,0,IF(DaB!AO5&gt;0,DaB!AP5-DaB!AO5,0)),0)</f>
        <v>0</v>
      </c>
      <c r="AE5" s="33">
        <f>IFERROR(IF(DaB!AQ5&gt;0,DaB!AQ5-DaB!AP5+1,0),0)</f>
        <v>0</v>
      </c>
      <c r="AF5" s="32">
        <f>IFERROR(IF(AE5=0,0,IF(DaB!AS5&gt;0,DaB!AS5-DaB!AR5+1,0)),0)</f>
        <v>0</v>
      </c>
      <c r="AG5" s="30">
        <f>IFERROR(IF(AE5=0,0,IF(DaB!AT5&gt;0,DaB!AT5-MAX(DaB!AQ5:AS5),0)),0)</f>
        <v>0</v>
      </c>
      <c r="AH5" s="34">
        <f>IFERROR(IF(AJ5=0,0,MIN(DaB!$AV5:$AW5)-SUM($C5:AG5)),0)</f>
        <v>0</v>
      </c>
      <c r="AI5" s="29">
        <f>IFERROR(IF(AJ5=0,0,IF(DaB!AV5&gt;0,DaB!AW5-DaB!AV5,0)),0)</f>
        <v>0</v>
      </c>
      <c r="AJ5" s="33">
        <f>IFERROR(IF(DaB!AX5&gt;0,DaB!AX5-DaB!AW5+1,0),0)</f>
        <v>0</v>
      </c>
      <c r="AK5" s="32">
        <f>IFERROR(IF(AJ5=0,0,IF(DaB!AZ5&gt;0,DaB!AZ5-DaB!AY5+1,0)),0)</f>
        <v>0</v>
      </c>
      <c r="AL5" s="30">
        <f>IFERROR(IF(AJ5=0,0,IF(DaB!BA5&gt;0,DaB!BA5-MAX(DaB!AX5:AZ5),0)),0)</f>
        <v>0</v>
      </c>
      <c r="AM5" s="34">
        <f>IFERROR(IF(AO5=0,0,MIN(DaB!$BC5:$BD5)-SUM($C5:AL5)),0)</f>
        <v>0</v>
      </c>
      <c r="AN5" s="29">
        <f>IFERROR(IF(AO5=0,0,IF(DaB!BC5&gt;0,DaB!BD5-DaB!BC5,0)),0)</f>
        <v>0</v>
      </c>
      <c r="AO5" s="33">
        <f>IFERROR(IF(DaB!BE5&gt;0,DaB!BE5-DaB!BD5+1,0),0)</f>
        <v>0</v>
      </c>
      <c r="AP5" s="32">
        <f>IFERROR(IF(AO5=0,0,IF(DaB!BG5&gt;0,DaB!BG5-DaB!BF5+1,0)),0)</f>
        <v>0</v>
      </c>
      <c r="AQ5" s="30">
        <f>IFERROR(IF(AO5=0,0,IF(DaB!BH5&gt;0,DaB!BH5-MAX(DaB!BE5:BG5),0)),0)</f>
        <v>0</v>
      </c>
      <c r="AR5" s="34">
        <f>IFERROR(IF(AT5=0,0,MIN(DaB!$BJ5:$BK5)-SUM($C5:AQ5)),0)</f>
        <v>0</v>
      </c>
      <c r="AS5" s="29">
        <f>IFERROR(IF(AT5=0,0,IF(DaB!BJ5&gt;0,DaB!BK5-DaB!BJ5,0)),0)</f>
        <v>0</v>
      </c>
      <c r="AT5" s="33">
        <f>IFERROR(IF(DaB!BL5&gt;0,DaB!BL5-DaB!BK5+1,0),0)</f>
        <v>0</v>
      </c>
      <c r="AU5" s="32">
        <f>IFERROR(IF(AT5=0,0,IF(DaB!BN5&gt;0,DaB!BN5-DaB!BM5+1,0)),0)</f>
        <v>0</v>
      </c>
      <c r="AV5" s="30">
        <f>IFERROR(IF(AT5=0,0,IF(DaB!BO5&gt;0,DaB!BO5-MAX(DaB!BL5:BN5),0)),0)</f>
        <v>0</v>
      </c>
      <c r="AW5" s="34">
        <f>IFERROR(IF(AY5=0,0,MIN(DaB!$BQ5:$BR5)-SUM($C5:AV5)),0)</f>
        <v>0</v>
      </c>
      <c r="AX5" s="29">
        <f>IFERROR(IF(AY5=0,0,IF(DaB!BQ5&gt;0,DaB!BR5-DaB!BQ5,0)),0)</f>
        <v>0</v>
      </c>
      <c r="AY5" s="33">
        <f>IFERROR(IF(DaB!BS5&gt;0,DaB!BS5-DaB!BR5+1,0),0)</f>
        <v>0</v>
      </c>
      <c r="AZ5" s="32">
        <f>IFERROR(IF(AY5=0,0,IF(DaB!BU5&gt;0,DaB!BU5-DaB!BT5+1,0)),0)</f>
        <v>0</v>
      </c>
      <c r="BA5" s="30">
        <f>IFERROR(IF(AY5=0,0,IF(DaB!BV5&gt;0,DaB!BV5-MAX(DaB!BS5:BU5),0)),0)</f>
        <v>0</v>
      </c>
      <c r="BB5" s="34">
        <f>IFERROR(IF(BD5=0,0,MIN(DaB!$BX5:$BY5)-SUM($C5:BA5)),0)</f>
        <v>0</v>
      </c>
      <c r="BC5" s="29">
        <f>IFERROR(IF(BD5=0,0,IF(DaB!BX5&gt;0,DaB!BY5-DaB!BX5,0)),0)</f>
        <v>0</v>
      </c>
      <c r="BD5" s="33">
        <f>IFERROR(IF(DaB!BZ5&gt;0,DaB!BZ5-DaB!BY5+1,0),0)</f>
        <v>0</v>
      </c>
      <c r="BE5" s="32">
        <f>IFERROR(IF(BD5=0,0,IF(DaB!CB5&gt;0,DaB!CB5-DaB!CA5+1,0)),0)</f>
        <v>0</v>
      </c>
      <c r="BF5" s="30">
        <f>IFERROR(IF(BD5=0,0,IF(DaB!CC5&gt;0,DaB!CC5-MAX(DaB!BZ5:CB5),0)),0)</f>
        <v>0</v>
      </c>
      <c r="BG5" s="34">
        <f>IFERROR(IF(BI5=0,0,MIN(DaB!$CE5:$CF5)-SUM($C5:BF5)),0)</f>
        <v>0</v>
      </c>
      <c r="BH5" s="29">
        <f>IFERROR(IF(BI5=0,0,IF(DaB!CE5&gt;0,DaB!CF5-DaB!CE5,0)),0)</f>
        <v>0</v>
      </c>
      <c r="BI5" s="33">
        <f>IFERROR(IF(DaB!CG5&gt;0,DaB!CG5-DaB!CF5+1,0),0)</f>
        <v>0</v>
      </c>
      <c r="BJ5" s="32">
        <f>IFERROR(IF(BI5=0,0,IF(DaB!CI5&gt;0,DaB!CI5-DaB!CH5+1,0)),0)</f>
        <v>0</v>
      </c>
      <c r="BK5" s="30">
        <f>IFERROR(IF(BI5=0,0,IF(DaB!CJ5&gt;0,DaB!CJ5-MAX(DaB!CG5:CI5),0)),0)</f>
        <v>0</v>
      </c>
      <c r="BL5" s="34">
        <f>IFERROR(IF(BN5=0,0,MIN(DaB!$CL5:$CM5)-SUM($C5:BK5)),0)</f>
        <v>0</v>
      </c>
      <c r="BM5" s="29">
        <f>IFERROR(IF(BN5=0,0,IF(DaB!CL5&gt;0,DaB!CM5-DaB!CL5,0)),0)</f>
        <v>0</v>
      </c>
      <c r="BN5" s="33">
        <f>IFERROR(IF(DaB!CN5&gt;0,DaB!CN5-DaB!CM5+1,0),0)</f>
        <v>0</v>
      </c>
      <c r="BO5" s="32">
        <f>IFERROR(IF(BN5=0,0,IF(DaB!CP5&gt;0,DaB!CP5-DaB!CO5+1,0)),0)</f>
        <v>0</v>
      </c>
      <c r="BP5" s="30">
        <f>IFERROR(IF(BN5=0,0,IF(DaB!CQ5&gt;0,DaB!CQ5-MAX(DaB!CN5:CP5),0)),0)</f>
        <v>0</v>
      </c>
      <c r="BQ5" s="34">
        <f>IFERROR(IF(BS5=0,0,MIN(DaB!$CS5:$CT5)-SUM($C5:BP5)),0)</f>
        <v>0</v>
      </c>
      <c r="BR5" s="29">
        <f>IFERROR(IF(BS5=0,0,IF(DaB!CS5&gt;0,DaB!CT5-DaB!CS5,0)),0)</f>
        <v>0</v>
      </c>
      <c r="BS5" s="33">
        <f>IFERROR(IF(DaB!CU5&gt;0,DaB!CU5-DaB!CT5+1,0),0)</f>
        <v>0</v>
      </c>
      <c r="BT5" s="32">
        <f>IFERROR(IF(BS5=0,0,IF(DaB!CW5&gt;0,DaB!CW5-DaB!CV5+1,0)),0)</f>
        <v>0</v>
      </c>
      <c r="BU5" s="30">
        <f>IFERROR(IF(BS5=0,0,IF(DaB!CX5&gt;0,DaB!CX5-MAX(DaB!CU5:CW5),0)),0)</f>
        <v>0</v>
      </c>
      <c r="BV5" s="34">
        <f>IFERROR(IF(BX5=0,0,MIN(DaB!$CZ5:$DA5)-SUM($C5:BU5)),0)</f>
        <v>0</v>
      </c>
      <c r="BW5" s="29">
        <f>IFERROR(IF(BX5=0,0,IF(DaB!CZ5&gt;0,DaB!DA5-DaB!CZ5,0)),0)</f>
        <v>0</v>
      </c>
      <c r="BX5" s="33">
        <f>IFERROR(IF(DaB!DB5&gt;0,DaB!DB5-DaB!DA5+1,0),0)</f>
        <v>0</v>
      </c>
      <c r="BY5" s="32">
        <f>IFERROR(IF(BX5=0,0,IF(DaB!DD5&gt;0,DaB!DD5-DaB!DC5+1,0)),0)</f>
        <v>0</v>
      </c>
      <c r="BZ5" s="30">
        <f>IFERROR(IF(BX5=0,0,IF(DaB!DE5&gt;0,DaB!DE5-MAX(DaB!DB5:DD5),0)),0)</f>
        <v>0</v>
      </c>
      <c r="CA5" s="34">
        <f>IFERROR(IF(CC5=0,0,MIN(DaB!$DG5:$DH5)-SUM($C5:BZ5)),0)</f>
        <v>0</v>
      </c>
      <c r="CB5" s="29">
        <f>IFERROR(IF(CC5=0,0,IF(DaB!DG5&gt;0,DaB!DH5-DaB!DG5,0)),0)</f>
        <v>0</v>
      </c>
      <c r="CC5" s="33">
        <f>IFERROR(IF(DaB!DI5&gt;0,DaB!DI5-DaB!DH5+1,0),0)</f>
        <v>0</v>
      </c>
      <c r="CD5" s="32">
        <f>IFERROR(IF(CC5=0,0,IF(DaB!DK5&gt;0,DaB!DK5-DaB!DJ5+1,0)),0)</f>
        <v>0</v>
      </c>
      <c r="CE5" s="30">
        <f>IFERROR(IF(CC5=0,0,IF(DaB!DL5&gt;0,DaB!DL5-MAX(DaB!DI5:DK5),0)),0)</f>
        <v>0</v>
      </c>
      <c r="CF5" s="34">
        <f>IFERROR(IF(CH5=0,0,MIN(DaB!$DN5:$DO5)-SUM($C5:CE5)),0)</f>
        <v>0</v>
      </c>
      <c r="CG5" s="29">
        <f>IFERROR(IF(CH5=0,0,IF(DaB!DN5&gt;0,DaB!DO5-DaB!DN5,0)),0)</f>
        <v>0</v>
      </c>
      <c r="CH5" s="33">
        <f>IFERROR(IF(DaB!DP5&gt;0,DaB!DP5-DaB!DO5+1,0),0)</f>
        <v>0</v>
      </c>
      <c r="CI5" s="32">
        <f>IFERROR(IF(CH5=0,0,IF(DaB!DR5&gt;0,DaB!DR5-DaB!DQ5+1,0)),0)</f>
        <v>0</v>
      </c>
      <c r="CJ5" s="30">
        <f>IFERROR(IF(CH5=0,0,IF(DaB!DS5&gt;0,DaB!DS5-MAX(DaB!DP5:DR5),0)),0)</f>
        <v>0</v>
      </c>
      <c r="CK5" s="34">
        <f>IFERROR(IF(CM5=0,0,MIN(DaB!$DU5:$DV5)-SUM($C5:CJ5)),0)</f>
        <v>0</v>
      </c>
      <c r="CL5" s="29">
        <f>IFERROR(IF(CM5=0,0,IF(DaB!DU5&gt;0,DaB!DV5-DaB!DU5,0)),0)</f>
        <v>0</v>
      </c>
      <c r="CM5" s="33">
        <f>IFERROR(IF(DaB!DW5&gt;0,DaB!DW5-DaB!DV5+1,0),0)</f>
        <v>0</v>
      </c>
      <c r="CN5" s="32">
        <f>IFERROR(IF(CM5=0,0,IF(DaB!DY5&gt;0,DaB!DY5-DaB!DX5+1,0)),0)</f>
        <v>0</v>
      </c>
      <c r="CO5" s="30">
        <f>IFERROR(IF(CM5=0,0,IF(DaB!DZ5&gt;0,DaB!DZ5-MAX(DaB!DW5:DY5),0)),0)</f>
        <v>0</v>
      </c>
      <c r="CP5" s="34">
        <f>IFERROR(IF(CR5=0,0,MIN(DaB!$EB5:$EC5)-SUM($C5:CO5)),0)</f>
        <v>0</v>
      </c>
      <c r="CQ5" s="29">
        <f>IFERROR(IF(CR5=0,0,IF(DaB!EB5&gt;0,DaB!EC5-DaB!EB5,0)),0)</f>
        <v>0</v>
      </c>
      <c r="CR5" s="33">
        <f>IFERROR(IF(DaB!ED5&gt;0,DaB!ED5-DaB!EC5+1,0),0)</f>
        <v>0</v>
      </c>
      <c r="CS5" s="32">
        <f>IFERROR(IF(CR5=0,0,IF(DaB!EF5&gt;0,DaB!EF5-DaB!EE5+1,0)),0)</f>
        <v>0</v>
      </c>
      <c r="CT5" s="30">
        <f>IFERROR(IF(CR5=0,0,IF(DaB!EG5&gt;0,DaB!EG5-MAX(DaB!ED5:EF5),0)),0)</f>
        <v>0</v>
      </c>
      <c r="CU5" s="34">
        <f>IFERROR(IF(CW5=0,0,MIN(DaB!$EI5:$EJ5)-SUM($C5:CT5)),0)</f>
        <v>0</v>
      </c>
      <c r="CV5" s="29">
        <f>IFERROR(IF(CW5=0,0,IF(DaB!EI5&gt;0,DaB!EJ5-DaB!EI5,0)),0)</f>
        <v>0</v>
      </c>
      <c r="CW5" s="33">
        <f>IFERROR(IF(DaB!EK5&gt;0,DaB!EK5-DaB!EJ5+1,0),0)</f>
        <v>0</v>
      </c>
      <c r="CX5" s="32">
        <f>IFERROR(IF(CW5=0,0,IF(DaB!EM5&gt;0,DaB!EM5-DaB!EL5+1,0)),0)</f>
        <v>0</v>
      </c>
      <c r="CY5" s="30">
        <f>IFERROR(IF(CW5=0,0,IF(DaB!EN5&gt;0,DaB!EN5-MAX(DaB!EK5:EM5),0)),0)</f>
        <v>0</v>
      </c>
      <c r="DF5" s="2">
        <f t="shared" si="0"/>
        <v>45474</v>
      </c>
      <c r="DG5" s="28" t="e">
        <f>IF(MIN(DaB!EU5:EV5)=DF5,0,
IF(MIN(DaB!EU5:EV5)&gt;DF5,MIN(DaB!EU5:EV5)-DF5,0))</f>
        <v>#REF!</v>
      </c>
      <c r="DH5" s="29" t="str">
        <f>IF(ISNUMBER(DaB!EV5),DaB!EV5-SUM(DF5:DG5),"")</f>
        <v/>
      </c>
      <c r="DI5" s="10" t="e">
        <f>IF(OR(DaB!EV5=0,DaB!EV5=""),"",$DF$1)</f>
        <v>#REF!</v>
      </c>
      <c r="DJ5" s="10"/>
      <c r="DK5" s="11">
        <v>0</v>
      </c>
      <c r="DL5" s="11">
        <v>0</v>
      </c>
      <c r="DM5" s="30" t="e">
        <f>IF(OR(DaB!EZ5=0,DaB!EZ5=""),"",IFERROR(DaB!EZ5-DaB!EV5,0))</f>
        <v>#REF!</v>
      </c>
      <c r="DN5" s="28" t="e">
        <f>(DaB!FC5)-(MAX(DaB!EU5:EW5))</f>
        <v>#REF!</v>
      </c>
      <c r="DO5" s="29" t="e">
        <f>IF(OR(DaB!FB5=0,DaB!FB5=""),"",DaB!FC5-SUM(DF5:DN5))</f>
        <v>#REF!</v>
      </c>
      <c r="DP5" s="10" t="e">
        <f>IF(OR(DaB!FC5=0,DaB!FC5=""),"",$DF$1)</f>
        <v>#REF!</v>
      </c>
      <c r="DQ5" s="10">
        <v>0</v>
      </c>
      <c r="DR5" s="11">
        <v>0</v>
      </c>
      <c r="DS5" s="11">
        <v>0</v>
      </c>
      <c r="DT5" s="30">
        <f>IFERROR(DaB!FG5-SUM(DF5:DS5),0)</f>
        <v>0</v>
      </c>
      <c r="DU5" s="28"/>
      <c r="DV5" s="29"/>
      <c r="DW5" s="10"/>
      <c r="DX5" s="10"/>
      <c r="DY5" s="11"/>
      <c r="DZ5" s="11"/>
      <c r="EA5" s="30"/>
      <c r="EB5" s="28"/>
      <c r="EC5" s="29"/>
      <c r="ED5" s="10"/>
      <c r="EE5" s="10"/>
      <c r="EF5" s="11"/>
      <c r="EG5" s="11"/>
      <c r="EH5" s="30"/>
      <c r="EI5" s="34"/>
      <c r="EJ5" s="29"/>
      <c r="EK5" s="10"/>
      <c r="EL5" s="10"/>
      <c r="EM5" s="30"/>
      <c r="EN5" s="34"/>
      <c r="EO5" s="29"/>
      <c r="EP5" s="47"/>
      <c r="EQ5" s="47"/>
      <c r="ER5" s="30"/>
      <c r="ES5" s="34"/>
      <c r="ET5" s="29"/>
      <c r="EU5" s="47"/>
      <c r="EV5" s="47"/>
      <c r="EW5" s="30"/>
    </row>
    <row r="6" spans="1:153" x14ac:dyDescent="0.2">
      <c r="A6" s="2" t="e">
        <f>DaB!A6</f>
        <v>#REF!</v>
      </c>
      <c r="B6" s="2" t="s">
        <v>230</v>
      </c>
      <c r="C6" s="27">
        <f>$B$1</f>
        <v>45474</v>
      </c>
      <c r="D6" s="34">
        <f>IFERROR(MIN(DaB!F6:K6)-C6,0)</f>
        <v>0</v>
      </c>
      <c r="E6" s="29">
        <f>IFERROR(IF(F6=0,0,IF(DaB!F6&gt;0,DaB!G6-DaB!F6,0)),0)</f>
        <v>0</v>
      </c>
      <c r="F6" s="33">
        <f>IFERROR(IF(DaB!G6&gt;0,DaB!H6-DaB!G6+1,0),0)</f>
        <v>0</v>
      </c>
      <c r="G6" s="32">
        <f>IFERROR(IF(F6=0,0,IF(DaB!J6&gt;0,DaB!J6-DaB!I6+1,0)),0)</f>
        <v>0</v>
      </c>
      <c r="H6" s="30">
        <f>IFERROR(IF(F6=0,0,IF(DaB!K6&gt;0,DaB!K6-MAX(DaB!H6:J6),0)),0)</f>
        <v>0</v>
      </c>
      <c r="I6" s="34">
        <f>IFERROR(IF(K6=0,0,MIN(DaB!$M6:$N6)-SUM($C6:H6)),0)</f>
        <v>0</v>
      </c>
      <c r="J6" s="29">
        <f>IFERROR(IF(K6=0,0,IF(DaB!M6&gt;0,DaB!N6-DaB!M6,0)),0)</f>
        <v>0</v>
      </c>
      <c r="K6" s="33">
        <f>IFERROR(IF(DaB!O6&gt;0,DaB!O6-DaB!N6+1,0),0)</f>
        <v>0</v>
      </c>
      <c r="L6" s="32">
        <f>IFERROR(IF(K6=0,0,IF(DaB!Q6&gt;0,DaB!Q6-DaB!P6+1,0)),0)</f>
        <v>0</v>
      </c>
      <c r="M6" s="30">
        <f>IFERROR(IF(K6=0,0,IF(DaB!R6&gt;0,DaB!R6-MAX(DaB!O6:Q6),0)),0)</f>
        <v>0</v>
      </c>
      <c r="N6" s="31">
        <f>IFERROR(IF(P6=0,0,MIN(DaB!$T6:$U6)-SUM($C6:M6)),0)</f>
        <v>0</v>
      </c>
      <c r="O6" s="29">
        <f>IFERROR(IF(P6=0,0,IF(DaB!T6&gt;0,DaB!U6-DaB!T6,0)),0)</f>
        <v>0</v>
      </c>
      <c r="P6" s="33">
        <f>IFERROR(IF(DaB!V6&gt;0,DaB!V6-DaB!U6+1,0),0)</f>
        <v>0</v>
      </c>
      <c r="Q6" s="32">
        <f>IFERROR(IF(P6=0,0,IF(DaB!X6&gt;0,DaB!X6-DaB!W6+1,0)),0)</f>
        <v>0</v>
      </c>
      <c r="R6" s="30">
        <f>IFERROR(IF(P6=0,0,IF(DaB!Y6&gt;0,DaB!Y6-MAX(DaB!V6:X6),0)),0)</f>
        <v>0</v>
      </c>
      <c r="S6" s="34">
        <f>IFERROR(IF(U6=0,0,MIN(DaB!$AA6:$AB6)-SUM($C6:R6)),0)</f>
        <v>0</v>
      </c>
      <c r="T6" s="29">
        <f>IFERROR(IF(U6=0,0,IF(DaB!AA6&gt;0,DaB!AB6-DaB!AA6,0)),0)</f>
        <v>0</v>
      </c>
      <c r="U6" s="33">
        <f>IFERROR(IF(DaB!AC6&gt;0,DaB!AC6-DaB!AB6+1,0),0)</f>
        <v>0</v>
      </c>
      <c r="V6" s="32">
        <f>IFERROR(IF(U6=0,0,IF(DaB!AE6&gt;0,DaB!AE6-DaB!AD6+1,0)),0)</f>
        <v>0</v>
      </c>
      <c r="W6" s="30">
        <f>IFERROR(IF(U6=0,0,IF(DaB!AF6&gt;0,DaB!AF6-MAX(DaB!AC6:AE6),0)),0)</f>
        <v>0</v>
      </c>
      <c r="X6" s="34">
        <f>IFERROR(IF(Z6=0,0,MIN(DaB!$AH6:$AI6)-SUM($C6:W6)),0)</f>
        <v>0</v>
      </c>
      <c r="Y6" s="29">
        <f>IFERROR(IF(Z6=0,0,IF(DaB!AH6&gt;0,DaB!AI6-DaB!AH6,0)),0)</f>
        <v>0</v>
      </c>
      <c r="Z6" s="33">
        <f>IFERROR(IF(DaB!AJ6&gt;0,DaB!AJ6-DaB!AI6+1,0),0)</f>
        <v>0</v>
      </c>
      <c r="AA6" s="32">
        <f>IFERROR(IF(Z6=0,0,IF(DaB!AL6&gt;0,DaB!AL6-DaB!AK6+1,0)),0)</f>
        <v>0</v>
      </c>
      <c r="AB6" s="30">
        <f>IFERROR(IF(Z6=0,0,IF(DaB!AM6&gt;0,DaB!AM6-MAX(DaB!AJ6:AL6),0)),0)</f>
        <v>0</v>
      </c>
      <c r="AC6" s="34">
        <f>IFERROR(IF(AE6=0,0,MIN(DaB!$AO6:$AP6)-SUM($C6:AB6)),0)</f>
        <v>0</v>
      </c>
      <c r="AD6" s="29">
        <f>IFERROR(IF(AE6=0,0,IF(DaB!AO6&gt;0,DaB!AP6-DaB!AO6,0)),0)</f>
        <v>0</v>
      </c>
      <c r="AE6" s="33">
        <f>IFERROR(IF(DaB!AQ6&gt;0,DaB!AQ6-DaB!AP6+1,0),0)</f>
        <v>0</v>
      </c>
      <c r="AF6" s="32">
        <f>IFERROR(IF(AE6=0,0,IF(DaB!AS6&gt;0,DaB!AS6-DaB!AR6+1,0)),0)</f>
        <v>0</v>
      </c>
      <c r="AG6" s="30">
        <f>IFERROR(IF(AE6=0,0,IF(DaB!AT6&gt;0,DaB!AT6-MAX(DaB!AQ6:AS6),0)),0)</f>
        <v>0</v>
      </c>
      <c r="AH6" s="34">
        <f>IFERROR(IF(AJ6=0,0,MIN(DaB!$AV6:$AW6)-SUM($C6:AG6)),0)</f>
        <v>0</v>
      </c>
      <c r="AI6" s="29">
        <f>IFERROR(IF(AJ6=0,0,IF(DaB!AV6&gt;0,DaB!AW6-DaB!AV6,0)),0)</f>
        <v>0</v>
      </c>
      <c r="AJ6" s="33">
        <f>IFERROR(IF(DaB!AX6&gt;0,DaB!AX6-DaB!AW6+1,0),0)</f>
        <v>0</v>
      </c>
      <c r="AK6" s="32">
        <f>IFERROR(IF(AJ6=0,0,IF(DaB!AZ6&gt;0,DaB!AZ6-DaB!AY6+1,0)),0)</f>
        <v>0</v>
      </c>
      <c r="AL6" s="30">
        <f>IFERROR(IF(AJ6=0,0,IF(DaB!BA6&gt;0,DaB!BA6-MAX(DaB!AX6:AZ6),0)),0)</f>
        <v>0</v>
      </c>
      <c r="AM6" s="34">
        <f>IFERROR(IF(AO6=0,0,MIN(DaB!$BC6:$BD6)-SUM($C6:AL6)),0)</f>
        <v>0</v>
      </c>
      <c r="AN6" s="29">
        <f>IFERROR(IF(AO6=0,0,IF(DaB!BC6&gt;0,DaB!BD6-DaB!BC6,0)),0)</f>
        <v>0</v>
      </c>
      <c r="AO6" s="33">
        <f>IFERROR(IF(DaB!BE6&gt;0,DaB!BE6-DaB!BD6+1,0),0)</f>
        <v>0</v>
      </c>
      <c r="AP6" s="32">
        <f>IFERROR(IF(AO6=0,0,IF(DaB!BG6&gt;0,DaB!BG6-DaB!BF6+1,0)),0)</f>
        <v>0</v>
      </c>
      <c r="AQ6" s="30">
        <f>IFERROR(IF(AO6=0,0,IF(DaB!BH6&gt;0,DaB!BH6-MAX(DaB!BE6:BG6),0)),0)</f>
        <v>0</v>
      </c>
      <c r="AR6" s="34">
        <f>IFERROR(IF(AT6=0,0,MIN(DaB!$BJ6:$BK6)-SUM($C6:AQ6)),0)</f>
        <v>0</v>
      </c>
      <c r="AS6" s="29">
        <f>IFERROR(IF(AT6=0,0,IF(DaB!BJ6&gt;0,DaB!BK6-DaB!BJ6,0)),0)</f>
        <v>0</v>
      </c>
      <c r="AT6" s="33">
        <f>IFERROR(IF(DaB!BL6&gt;0,DaB!BL6-DaB!BK6+1,0),0)</f>
        <v>0</v>
      </c>
      <c r="AU6" s="32">
        <f>IFERROR(IF(AT6=0,0,IF(DaB!BN6&gt;0,DaB!BN6-DaB!BM6+1,0)),0)</f>
        <v>0</v>
      </c>
      <c r="AV6" s="30">
        <f>IFERROR(IF(AT6=0,0,IF(DaB!BO6&gt;0,DaB!BO6-MAX(DaB!BL6:BN6),0)),0)</f>
        <v>0</v>
      </c>
      <c r="AW6" s="34">
        <f>IFERROR(IF(AY6=0,0,MIN(DaB!$BQ6:$BR6)-SUM($C6:AV6)),0)</f>
        <v>0</v>
      </c>
      <c r="AX6" s="29">
        <f>IFERROR(IF(AY6=0,0,IF(DaB!BQ6&gt;0,DaB!BR6-DaB!BQ6,0)),0)</f>
        <v>0</v>
      </c>
      <c r="AY6" s="33">
        <f>IFERROR(IF(DaB!BS6&gt;0,DaB!BS6-DaB!BR6+1,0),0)</f>
        <v>0</v>
      </c>
      <c r="AZ6" s="32">
        <f>IFERROR(IF(AY6=0,0,IF(DaB!BU6&gt;0,DaB!BU6-DaB!BT6+1,0)),0)</f>
        <v>0</v>
      </c>
      <c r="BA6" s="30">
        <f>IFERROR(IF(AY6=0,0,IF(DaB!BV6&gt;0,DaB!BV6-MAX(DaB!BS6:BU6),0)),0)</f>
        <v>0</v>
      </c>
      <c r="BB6" s="34">
        <f>IFERROR(IF(BD6=0,0,MIN(DaB!$BX6:$BY6)-SUM($C6:BA6)),0)</f>
        <v>0</v>
      </c>
      <c r="BC6" s="29">
        <f>IFERROR(IF(BD6=0,0,IF(DaB!BX6&gt;0,DaB!BY6-DaB!BX6,0)),0)</f>
        <v>0</v>
      </c>
      <c r="BD6" s="33">
        <f>IFERROR(IF(DaB!BZ6&gt;0,DaB!BZ6-DaB!BY6+1,0),0)</f>
        <v>0</v>
      </c>
      <c r="BE6" s="32">
        <f>IFERROR(IF(BD6=0,0,IF(DaB!CB6&gt;0,DaB!CB6-DaB!CA6+1,0)),0)</f>
        <v>0</v>
      </c>
      <c r="BF6" s="30">
        <f>IFERROR(IF(BD6=0,0,IF(DaB!CC6&gt;0,DaB!CC6-MAX(DaB!BZ6:CB6),0)),0)</f>
        <v>0</v>
      </c>
      <c r="BG6" s="34">
        <f>IFERROR(IF(BI6=0,0,MIN(DaB!$CE6:$CF6)-SUM($C6:BF6)),0)</f>
        <v>0</v>
      </c>
      <c r="BH6" s="29">
        <f>IFERROR(IF(BI6=0,0,IF(DaB!CE6&gt;0,DaB!CF6-DaB!CE6,0)),0)</f>
        <v>0</v>
      </c>
      <c r="BI6" s="33">
        <f>IFERROR(IF(DaB!CG6&gt;0,DaB!CG6-DaB!CF6+1,0),0)</f>
        <v>0</v>
      </c>
      <c r="BJ6" s="32">
        <f>IFERROR(IF(BI6=0,0,IF(DaB!CI6&gt;0,DaB!CI6-DaB!CH6+1,0)),0)</f>
        <v>0</v>
      </c>
      <c r="BK6" s="30">
        <f>IFERROR(IF(BI6=0,0,IF(DaB!CJ6&gt;0,DaB!CJ6-MAX(DaB!CG6:CI6),0)),0)</f>
        <v>0</v>
      </c>
      <c r="BL6" s="34">
        <f>IFERROR(IF(BN6=0,0,MIN(DaB!$CL6:$CM6)-SUM($C6:BK6)),0)</f>
        <v>0</v>
      </c>
      <c r="BM6" s="29">
        <f>IFERROR(IF(BN6=0,0,IF(DaB!CL6&gt;0,DaB!CM6-DaB!CL6,0)),0)</f>
        <v>0</v>
      </c>
      <c r="BN6" s="33">
        <f>IFERROR(IF(DaB!CN6&gt;0,DaB!CN6-DaB!CM6+1,0),0)</f>
        <v>0</v>
      </c>
      <c r="BO6" s="32">
        <f>IFERROR(IF(BN6=0,0,IF(DaB!CP6&gt;0,DaB!CP6-DaB!CO6+1,0)),0)</f>
        <v>0</v>
      </c>
      <c r="BP6" s="30">
        <f>IFERROR(IF(BN6=0,0,IF(DaB!CQ6&gt;0,DaB!CQ6-MAX(DaB!CN6:CP6),0)),0)</f>
        <v>0</v>
      </c>
      <c r="BQ6" s="34">
        <f>IFERROR(IF(BS6=0,0,MIN(DaB!$CS6:$CT6)-SUM($C6:BP6)),0)</f>
        <v>0</v>
      </c>
      <c r="BR6" s="29">
        <f>IFERROR(IF(BS6=0,0,IF(DaB!CS6&gt;0,DaB!CT6-DaB!CS6,0)),0)</f>
        <v>0</v>
      </c>
      <c r="BS6" s="33">
        <f>IFERROR(IF(DaB!CU6&gt;0,DaB!CU6-DaB!CT6+1,0),0)</f>
        <v>0</v>
      </c>
      <c r="BT6" s="32">
        <f>IFERROR(IF(BS6=0,0,IF(DaB!CW6&gt;0,DaB!CW6-DaB!CV6+1,0)),0)</f>
        <v>0</v>
      </c>
      <c r="BU6" s="30">
        <f>IFERROR(IF(BS6=0,0,IF(DaB!CX6&gt;0,DaB!CX6-MAX(DaB!CU6:CW6),0)),0)</f>
        <v>0</v>
      </c>
      <c r="BV6" s="34">
        <f>IFERROR(IF(BX6=0,0,MIN(DaB!$CZ6:$DA6)-SUM($C6:BU6)),0)</f>
        <v>0</v>
      </c>
      <c r="BW6" s="29">
        <f>IFERROR(IF(BX6=0,0,IF(DaB!CZ6&gt;0,DaB!DA6-DaB!CZ6,0)),0)</f>
        <v>0</v>
      </c>
      <c r="BX6" s="33">
        <f>IFERROR(IF(DaB!DB6&gt;0,DaB!DB6-DaB!DA6+1,0),0)</f>
        <v>0</v>
      </c>
      <c r="BY6" s="32">
        <f>IFERROR(IF(BX6=0,0,IF(DaB!DD6&gt;0,DaB!DD6-DaB!DC6+1,0)),0)</f>
        <v>0</v>
      </c>
      <c r="BZ6" s="30">
        <f>IFERROR(IF(BX6=0,0,IF(DaB!DE6&gt;0,DaB!DE6-MAX(DaB!DB6:DD6),0)),0)</f>
        <v>0</v>
      </c>
      <c r="CA6" s="34">
        <f>IFERROR(IF(CC6=0,0,MIN(DaB!$DG6:$DH6)-SUM($C6:BZ6)),0)</f>
        <v>0</v>
      </c>
      <c r="CB6" s="29">
        <f>IFERROR(IF(CC6=0,0,IF(DaB!DG6&gt;0,DaB!DH6-DaB!DG6,0)),0)</f>
        <v>0</v>
      </c>
      <c r="CC6" s="33">
        <f>IFERROR(IF(DaB!DI6&gt;0,DaB!DI6-DaB!DH6+1,0),0)</f>
        <v>0</v>
      </c>
      <c r="CD6" s="32">
        <f>IFERROR(IF(CC6=0,0,IF(DaB!DK6&gt;0,DaB!DK6-DaB!DJ6+1,0)),0)</f>
        <v>0</v>
      </c>
      <c r="CE6" s="30">
        <f>IFERROR(IF(CC6=0,0,IF(DaB!DL6&gt;0,DaB!DL6-MAX(DaB!DI6:DK6),0)),0)</f>
        <v>0</v>
      </c>
      <c r="CF6" s="34">
        <f>IFERROR(IF(CH6=0,0,MIN(DaB!$DN6:$DO6)-SUM($C6:CE6)),0)</f>
        <v>0</v>
      </c>
      <c r="CG6" s="29">
        <f>IFERROR(IF(CH6=0,0,IF(DaB!DN6&gt;0,DaB!DO6-DaB!DN6,0)),0)</f>
        <v>0</v>
      </c>
      <c r="CH6" s="33">
        <f>IFERROR(IF(DaB!DP6&gt;0,DaB!DP6-DaB!DO6+1,0),0)</f>
        <v>0</v>
      </c>
      <c r="CI6" s="32">
        <f>IFERROR(IF(CH6=0,0,IF(DaB!DR6&gt;0,DaB!DR6-DaB!DQ6+1,0)),0)</f>
        <v>0</v>
      </c>
      <c r="CJ6" s="30">
        <f>IFERROR(IF(CH6=0,0,IF(DaB!DS6&gt;0,DaB!DS6-MAX(DaB!DP6:DR6),0)),0)</f>
        <v>0</v>
      </c>
      <c r="CK6" s="34">
        <f>IFERROR(IF(CM6=0,0,MIN(DaB!$DU6:$DV6)-SUM($C6:CJ6)),0)</f>
        <v>0</v>
      </c>
      <c r="CL6" s="29">
        <f>IFERROR(IF(CM6=0,0,IF(DaB!DU6&gt;0,DaB!DV6-DaB!DU6,0)),0)</f>
        <v>0</v>
      </c>
      <c r="CM6" s="33">
        <f>IFERROR(IF(DaB!DW6&gt;0,DaB!DW6-DaB!DV6+1,0),0)</f>
        <v>0</v>
      </c>
      <c r="CN6" s="32">
        <f>IFERROR(IF(CM6=0,0,IF(DaB!DY6&gt;0,DaB!DY6-DaB!DX6+1,0)),0)</f>
        <v>0</v>
      </c>
      <c r="CO6" s="30">
        <f>IFERROR(IF(CM6=0,0,IF(DaB!DZ6&gt;0,DaB!DZ6-MAX(DaB!DW6:DY6),0)),0)</f>
        <v>0</v>
      </c>
      <c r="CP6" s="34">
        <f>IFERROR(IF(CR6=0,0,MIN(DaB!$EB6:$EC6)-SUM($C6:CO6)),0)</f>
        <v>0</v>
      </c>
      <c r="CQ6" s="29">
        <f>IFERROR(IF(CR6=0,0,IF(DaB!EB6&gt;0,DaB!EC6-DaB!EB6,0)),0)</f>
        <v>0</v>
      </c>
      <c r="CR6" s="33">
        <f>IFERROR(IF(DaB!ED6&gt;0,DaB!ED6-DaB!EC6+1,0),0)</f>
        <v>0</v>
      </c>
      <c r="CS6" s="32">
        <f>IFERROR(IF(CR6=0,0,IF(DaB!EF6&gt;0,DaB!EF6-DaB!EE6+1,0)),0)</f>
        <v>0</v>
      </c>
      <c r="CT6" s="30">
        <f>IFERROR(IF(CR6=0,0,IF(DaB!EG6&gt;0,DaB!EG6-MAX(DaB!ED6:EF6),0)),0)</f>
        <v>0</v>
      </c>
      <c r="CU6" s="34">
        <f>IFERROR(IF(CW6=0,0,MIN(DaB!$EI6:$EJ6)-SUM($C6:CT6)),0)</f>
        <v>0</v>
      </c>
      <c r="CV6" s="29">
        <f>IFERROR(IF(CW6=0,0,IF(DaB!EI6&gt;0,DaB!EJ6-DaB!EI6,0)),0)</f>
        <v>0</v>
      </c>
      <c r="CW6" s="33">
        <f>IFERROR(IF(DaB!EK6&gt;0,DaB!EK6-DaB!EJ6+1,0),0)</f>
        <v>0</v>
      </c>
      <c r="CX6" s="32">
        <f>IFERROR(IF(CW6=0,0,IF(DaB!EM6&gt;0,DaB!EM6-DaB!EL6+1,0)),0)</f>
        <v>0</v>
      </c>
      <c r="CY6" s="30">
        <f>IFERROR(IF(CW6=0,0,IF(DaB!EN6&gt;0,DaB!EN6-MAX(DaB!EK6:EM6),0)),0)</f>
        <v>0</v>
      </c>
      <c r="DA6" s="49">
        <f>EK6</f>
        <v>0</v>
      </c>
      <c r="DF6" s="2">
        <f t="shared" ref="DF6:DF11" si="2">C6</f>
        <v>45474</v>
      </c>
      <c r="DG6" s="28" t="e">
        <f>IF(MIN(DaB!EU6:EV6)=DF6,0,
IF(MIN(DaB!EU6:EV6)&gt;DF6,MIN(DaB!EU6:EV6)-DF5,0))</f>
        <v>#REF!</v>
      </c>
      <c r="DH6" s="29" t="str">
        <f>IF(ISNUMBER(DaB!EV6),DaB!EV6-SUM(DF6:DG6),"")</f>
        <v/>
      </c>
      <c r="DI6" s="10" t="e">
        <f>IF(OR(DaB!EV6=0,DaB!EV6=""),"",$DF$1)</f>
        <v>#REF!</v>
      </c>
      <c r="DJ6" s="10"/>
      <c r="DK6" s="11">
        <v>0</v>
      </c>
      <c r="DL6" s="11">
        <v>0</v>
      </c>
      <c r="DM6" s="30" t="e">
        <f>IF(OR(DaB!EZ6=0,DaB!EZ6=""),"",IFERROR(DaB!EZ6-DaB!EV6,0))</f>
        <v>#REF!</v>
      </c>
      <c r="DN6" s="28" t="e">
        <f>(DaB!FC6)-(MAX(DaB!EU6:EW6))</f>
        <v>#REF!</v>
      </c>
      <c r="DO6" s="29" t="e">
        <f>IF(OR(DaB!FB6=0,DaB!FB6=""),"",DaB!FC6-SUM(DF6:DN6))</f>
        <v>#REF!</v>
      </c>
      <c r="DP6" s="10" t="e">
        <f>IF(OR(DaB!FC6=0,DaB!FC6=""),"",$DF$1)</f>
        <v>#REF!</v>
      </c>
      <c r="DQ6" s="10">
        <v>0</v>
      </c>
      <c r="DR6" s="11">
        <v>0</v>
      </c>
      <c r="DS6" s="11">
        <v>0</v>
      </c>
      <c r="DT6" s="30">
        <f>IFERROR(DaB!FG6-SUM(DF6:DS6),0)</f>
        <v>0</v>
      </c>
      <c r="DU6" s="28"/>
      <c r="DV6" s="29"/>
      <c r="DW6" s="10"/>
      <c r="DX6" s="10"/>
      <c r="DY6" s="11"/>
      <c r="DZ6" s="11"/>
      <c r="EA6" s="30"/>
      <c r="EB6" s="28"/>
      <c r="EC6" s="29"/>
      <c r="ED6" s="10"/>
      <c r="EE6" s="10"/>
      <c r="EF6" s="11"/>
      <c r="EG6" s="11"/>
      <c r="EH6" s="30"/>
      <c r="EI6" s="34"/>
      <c r="EJ6" s="29"/>
      <c r="EK6" s="10"/>
      <c r="EL6" s="10"/>
      <c r="EM6" s="30"/>
      <c r="EN6" s="34"/>
      <c r="EO6" s="29"/>
      <c r="EP6" s="47"/>
      <c r="EQ6" s="47"/>
      <c r="ER6" s="30"/>
      <c r="ES6" s="34"/>
      <c r="ET6" s="29"/>
      <c r="EU6" s="47"/>
      <c r="EV6" s="47"/>
      <c r="EW6" s="30"/>
    </row>
    <row r="7" spans="1:153" x14ac:dyDescent="0.2">
      <c r="A7" s="2" t="e">
        <f>DaB!A7</f>
        <v>#REF!</v>
      </c>
      <c r="B7" s="2" t="str">
        <f>B6</f>
        <v>.</v>
      </c>
      <c r="C7" s="27">
        <f t="shared" si="1"/>
        <v>45474</v>
      </c>
      <c r="D7" s="34">
        <f>IFERROR(MIN(DaB!F7:K7)-C7,0)</f>
        <v>0</v>
      </c>
      <c r="E7" s="29">
        <f>IFERROR(IF(F7=0,0,IF(DaB!F7&gt;0,DaB!G7-DaB!F7,0)),0)</f>
        <v>0</v>
      </c>
      <c r="F7" s="33">
        <f>IFERROR(IF(DaB!G7&gt;0,DaB!H7-DaB!G7+1,0),0)</f>
        <v>0</v>
      </c>
      <c r="G7" s="32">
        <f>IFERROR(IF(F7=0,0,IF(DaB!J7&gt;0,DaB!J7-DaB!I7+1,0)),0)</f>
        <v>0</v>
      </c>
      <c r="H7" s="30">
        <f>IFERROR(IF(F7=0,0,IF(DaB!K7&gt;0,DaB!K7-MAX(DaB!H7:J7),0)),0)</f>
        <v>0</v>
      </c>
      <c r="I7" s="34">
        <f>IFERROR(IF(K7=0,0,MIN(DaB!$M7:$N7)-SUM($C7:H7)),0)</f>
        <v>0</v>
      </c>
      <c r="J7" s="29">
        <f>IFERROR(IF(K7=0,0,IF(DaB!M7&gt;0,DaB!N7-DaB!M7,0)),0)</f>
        <v>0</v>
      </c>
      <c r="K7" s="33">
        <f>IFERROR(IF(DaB!O7&gt;0,DaB!O7-DaB!N7+1,0),0)</f>
        <v>0</v>
      </c>
      <c r="L7" s="32">
        <f>IFERROR(IF(K7=0,0,IF(DaB!Q7&gt;0,DaB!Q7-DaB!P7+1,0)),0)</f>
        <v>0</v>
      </c>
      <c r="M7" s="30">
        <f>IFERROR(IF(K7=0,0,IF(DaB!R7&gt;0,DaB!R7-MAX(DaB!O7:Q7),0)),0)</f>
        <v>0</v>
      </c>
      <c r="N7" s="31">
        <f>IFERROR(IF(P7=0,0,MIN(DaB!$T7:$U7)-SUM($C7:M7)),0)</f>
        <v>0</v>
      </c>
      <c r="O7" s="29">
        <f>IFERROR(IF(P7=0,0,IF(DaB!T7&gt;0,DaB!U7-DaB!T7,0)),0)</f>
        <v>0</v>
      </c>
      <c r="P7" s="33">
        <f>IFERROR(IF(DaB!V7&gt;0,DaB!V7-DaB!U7+1,0),0)</f>
        <v>0</v>
      </c>
      <c r="Q7" s="32">
        <f>IFERROR(IF(P7=0,0,IF(DaB!X7&gt;0,DaB!X7-DaB!W7+1,0)),0)</f>
        <v>0</v>
      </c>
      <c r="R7" s="30">
        <f>IFERROR(IF(P7=0,0,IF(DaB!Y7&gt;0,DaB!Y7-MAX(DaB!V7:X7),0)),0)</f>
        <v>0</v>
      </c>
      <c r="S7" s="34">
        <f>IFERROR(IF(U7=0,0,MIN(DaB!$AA7:$AB7)-SUM($C7:R7)),0)</f>
        <v>0</v>
      </c>
      <c r="T7" s="29">
        <f>IFERROR(IF(U7=0,0,IF(DaB!AA7&gt;0,DaB!AB7-DaB!AA7,0)),0)</f>
        <v>0</v>
      </c>
      <c r="U7" s="33">
        <f>IFERROR(IF(DaB!AC7&gt;0,DaB!AC7-DaB!AB7+1,0),0)</f>
        <v>0</v>
      </c>
      <c r="V7" s="32">
        <f>IFERROR(IF(U7=0,0,IF(DaB!AE7&gt;0,DaB!AE7-DaB!AD7+1,0)),0)</f>
        <v>0</v>
      </c>
      <c r="W7" s="30">
        <f>IFERROR(IF(U7=0,0,IF(DaB!AF7&gt;0,DaB!AF7-MAX(DaB!AC7:AE7),0)),0)</f>
        <v>0</v>
      </c>
      <c r="X7" s="34">
        <f>IFERROR(IF(Z7=0,0,MIN(DaB!$AH7:$AI7)-SUM($C7:W7)),0)</f>
        <v>0</v>
      </c>
      <c r="Y7" s="29">
        <f>IFERROR(IF(Z7=0,0,IF(DaB!AH7&gt;0,DaB!AI7-DaB!AH7,0)),0)</f>
        <v>0</v>
      </c>
      <c r="Z7" s="33">
        <f>IFERROR(IF(DaB!AJ7&gt;0,DaB!AJ7-DaB!AI7+1,0),0)</f>
        <v>0</v>
      </c>
      <c r="AA7" s="32">
        <f>IFERROR(IF(Z7=0,0,IF(DaB!AL7&gt;0,DaB!AL7-DaB!AK7+1,0)),0)</f>
        <v>0</v>
      </c>
      <c r="AB7" s="30">
        <f>IFERROR(IF(Z7=0,0,IF(DaB!AM7&gt;0,DaB!AM7-MAX(DaB!AJ7:AL7),0)),0)</f>
        <v>0</v>
      </c>
      <c r="AC7" s="34">
        <f>IFERROR(IF(AE7=0,0,MIN(DaB!$AO7:$AP7)-SUM($C7:AB7)),0)</f>
        <v>0</v>
      </c>
      <c r="AD7" s="29">
        <f>IFERROR(IF(AE7=0,0,IF(DaB!AO7&gt;0,DaB!AP7-DaB!AO7,0)),0)</f>
        <v>0</v>
      </c>
      <c r="AE7" s="33">
        <f>IFERROR(IF(DaB!AQ7&gt;0,DaB!AQ7-DaB!AP7+1,0),0)</f>
        <v>0</v>
      </c>
      <c r="AF7" s="32">
        <f>IFERROR(IF(AE7=0,0,IF(DaB!AS7&gt;0,DaB!AS7-DaB!AR7+1,0)),0)</f>
        <v>0</v>
      </c>
      <c r="AG7" s="30">
        <f>IFERROR(IF(AE7=0,0,IF(DaB!AT7&gt;0,DaB!AT7-MAX(DaB!AQ7:AS7),0)),0)</f>
        <v>0</v>
      </c>
      <c r="AH7" s="34">
        <f>IFERROR(IF(AJ7=0,0,MIN(DaB!$AV7:$AW7)-SUM($C7:AG7)),0)</f>
        <v>0</v>
      </c>
      <c r="AI7" s="29">
        <f>IFERROR(IF(AJ7=0,0,IF(DaB!AV7&gt;0,DaB!AW7-DaB!AV7,0)),0)</f>
        <v>0</v>
      </c>
      <c r="AJ7" s="33">
        <f>IFERROR(IF(DaB!AX7&gt;0,DaB!AX7-DaB!AW7+1,0),0)</f>
        <v>0</v>
      </c>
      <c r="AK7" s="32">
        <f>IFERROR(IF(AJ7=0,0,IF(DaB!AZ7&gt;0,DaB!AZ7-DaB!AY7+1,0)),0)</f>
        <v>0</v>
      </c>
      <c r="AL7" s="30">
        <f>IFERROR(IF(AJ7=0,0,IF(DaB!BA7&gt;0,DaB!BA7-MAX(DaB!AX7:AZ7),0)),0)</f>
        <v>0</v>
      </c>
      <c r="AM7" s="34">
        <f>IFERROR(IF(AO7=0,0,MIN(DaB!$BC7:$BD7)-SUM($C7:AL7)),0)</f>
        <v>0</v>
      </c>
      <c r="AN7" s="29">
        <f>IFERROR(IF(AO7=0,0,IF(DaB!BC7&gt;0,DaB!BD7-DaB!BC7,0)),0)</f>
        <v>0</v>
      </c>
      <c r="AO7" s="33">
        <f>IFERROR(IF(DaB!BE7&gt;0,DaB!BE7-DaB!BD7+1,0),0)</f>
        <v>0</v>
      </c>
      <c r="AP7" s="32">
        <f>IFERROR(IF(AO7=0,0,IF(DaB!BG7&gt;0,DaB!BG7-DaB!BF7+1,0)),0)</f>
        <v>0</v>
      </c>
      <c r="AQ7" s="30">
        <f>IFERROR(IF(AO7=0,0,IF(DaB!BH7&gt;0,DaB!BH7-MAX(DaB!BE7:BG7),0)),0)</f>
        <v>0</v>
      </c>
      <c r="AR7" s="34">
        <f>IFERROR(IF(AT7=0,0,MIN(DaB!$BJ7:$BK7)-SUM($C7:AQ7)),0)</f>
        <v>0</v>
      </c>
      <c r="AS7" s="29">
        <f>IFERROR(IF(AT7=0,0,IF(DaB!BJ7&gt;0,DaB!BK7-DaB!BJ7,0)),0)</f>
        <v>0</v>
      </c>
      <c r="AT7" s="33">
        <f>IFERROR(IF(DaB!BL7&gt;0,DaB!BL7-DaB!BK7+1,0),0)</f>
        <v>0</v>
      </c>
      <c r="AU7" s="32">
        <f>IFERROR(IF(AT7=0,0,IF(DaB!BN7&gt;0,DaB!BN7-DaB!BM7+1,0)),0)</f>
        <v>0</v>
      </c>
      <c r="AV7" s="30">
        <f>IFERROR(IF(AT7=0,0,IF(DaB!BO7&gt;0,DaB!BO7-MAX(DaB!BL7:BN7),0)),0)</f>
        <v>0</v>
      </c>
      <c r="AW7" s="34">
        <f>IFERROR(IF(AY7=0,0,MIN(DaB!$BQ7:$BR7)-SUM($C7:AV7)),0)</f>
        <v>0</v>
      </c>
      <c r="AX7" s="29">
        <f>IFERROR(IF(AY7=0,0,IF(DaB!BQ7&gt;0,DaB!BR7-DaB!BQ7,0)),0)</f>
        <v>0</v>
      </c>
      <c r="AY7" s="33">
        <f>IFERROR(IF(DaB!BS7&gt;0,DaB!BS7-DaB!BR7+1,0),0)</f>
        <v>0</v>
      </c>
      <c r="AZ7" s="32">
        <f>IFERROR(IF(AY7=0,0,IF(DaB!BU7&gt;0,DaB!BU7-DaB!BT7+1,0)),0)</f>
        <v>0</v>
      </c>
      <c r="BA7" s="30">
        <f>IFERROR(IF(AY7=0,0,IF(DaB!BV7&gt;0,DaB!BV7-MAX(DaB!BS7:BU7),0)),0)</f>
        <v>0</v>
      </c>
      <c r="BB7" s="34">
        <f>IFERROR(IF(BD7=0,0,MIN(DaB!$BX7:$BY7)-SUM($C7:BA7)),0)</f>
        <v>0</v>
      </c>
      <c r="BC7" s="29">
        <f>IFERROR(IF(BD7=0,0,IF(DaB!BX7&gt;0,DaB!BY7-DaB!BX7,0)),0)</f>
        <v>0</v>
      </c>
      <c r="BD7" s="33">
        <f>IFERROR(IF(DaB!BZ7&gt;0,DaB!BZ7-DaB!BY7+1,0),0)</f>
        <v>0</v>
      </c>
      <c r="BE7" s="32">
        <f>IFERROR(IF(BD7=0,0,IF(DaB!CB7&gt;0,DaB!CB7-DaB!CA7+1,0)),0)</f>
        <v>0</v>
      </c>
      <c r="BF7" s="30">
        <f>IFERROR(IF(BD7=0,0,IF(DaB!CC7&gt;0,DaB!CC7-MAX(DaB!BZ7:CB7),0)),0)</f>
        <v>0</v>
      </c>
      <c r="BG7" s="34">
        <f>IFERROR(IF(BI7=0,0,MIN(DaB!$CE7:$CF7)-SUM($C7:BF7)),0)</f>
        <v>0</v>
      </c>
      <c r="BH7" s="29">
        <f>IFERROR(IF(BI7=0,0,IF(DaB!CE7&gt;0,DaB!CF7-DaB!CE7,0)),0)</f>
        <v>0</v>
      </c>
      <c r="BI7" s="33">
        <f>IFERROR(IF(DaB!CG7&gt;0,DaB!CG7-DaB!CF7+1,0),0)</f>
        <v>0</v>
      </c>
      <c r="BJ7" s="32">
        <f>IFERROR(IF(BI7=0,0,IF(DaB!CI7&gt;0,DaB!CI7-DaB!CH7+1,0)),0)</f>
        <v>0</v>
      </c>
      <c r="BK7" s="30">
        <f>IFERROR(IF(BI7=0,0,IF(DaB!CJ7&gt;0,DaB!CJ7-MAX(DaB!CG7:CI7),0)),0)</f>
        <v>0</v>
      </c>
      <c r="BL7" s="34">
        <f>IFERROR(IF(BN7=0,0,MIN(DaB!$CL7:$CM7)-SUM($C7:BK7)),0)</f>
        <v>0</v>
      </c>
      <c r="BM7" s="29">
        <f>IFERROR(IF(BN7=0,0,IF(DaB!CL7&gt;0,DaB!CM7-DaB!CL7,0)),0)</f>
        <v>0</v>
      </c>
      <c r="BN7" s="33">
        <f>IFERROR(IF(DaB!CN7&gt;0,DaB!CN7-DaB!CM7+1,0),0)</f>
        <v>0</v>
      </c>
      <c r="BO7" s="32">
        <f>IFERROR(IF(BN7=0,0,IF(DaB!CP7&gt;0,DaB!CP7-DaB!CO7+1,0)),0)</f>
        <v>0</v>
      </c>
      <c r="BP7" s="30">
        <f>IFERROR(IF(BN7=0,0,IF(DaB!CQ7&gt;0,DaB!CQ7-MAX(DaB!CN7:CP7),0)),0)</f>
        <v>0</v>
      </c>
      <c r="BQ7" s="34">
        <f>IFERROR(IF(BS7=0,0,MIN(DaB!$CS7:$CT7)-SUM($C7:BP7)),0)</f>
        <v>0</v>
      </c>
      <c r="BR7" s="29">
        <f>IFERROR(IF(BS7=0,0,IF(DaB!CS7&gt;0,DaB!CT7-DaB!CS7,0)),0)</f>
        <v>0</v>
      </c>
      <c r="BS7" s="33">
        <f>IFERROR(IF(DaB!CU7&gt;0,DaB!CU7-DaB!CT7+1,0),0)</f>
        <v>0</v>
      </c>
      <c r="BT7" s="32">
        <f>IFERROR(IF(BS7=0,0,IF(DaB!CW7&gt;0,DaB!CW7-DaB!CV7+1,0)),0)</f>
        <v>0</v>
      </c>
      <c r="BU7" s="30">
        <f>IFERROR(IF(BS7=0,0,IF(DaB!CX7&gt;0,DaB!CX7-MAX(DaB!CU7:CW7),0)),0)</f>
        <v>0</v>
      </c>
      <c r="BV7" s="34">
        <f>IFERROR(IF(BX7=0,0,MIN(DaB!$CZ7:$DA7)-SUM($C7:BU7)),0)</f>
        <v>0</v>
      </c>
      <c r="BW7" s="29">
        <f>IFERROR(IF(BX7=0,0,IF(DaB!CZ7&gt;0,DaB!DA7-DaB!CZ7,0)),0)</f>
        <v>0</v>
      </c>
      <c r="BX7" s="33">
        <f>IFERROR(IF(DaB!DB7&gt;0,DaB!DB7-DaB!DA7+1,0),0)</f>
        <v>0</v>
      </c>
      <c r="BY7" s="32">
        <f>IFERROR(IF(BX7=0,0,IF(DaB!DD7&gt;0,DaB!DD7-DaB!DC7+1,0)),0)</f>
        <v>0</v>
      </c>
      <c r="BZ7" s="30">
        <f>IFERROR(IF(BX7=0,0,IF(DaB!DE7&gt;0,DaB!DE7-MAX(DaB!DB7:DD7),0)),0)</f>
        <v>0</v>
      </c>
      <c r="CA7" s="34">
        <f>IFERROR(IF(CC7=0,0,MIN(DaB!$DG7:$DH7)-SUM($C7:BZ7)),0)</f>
        <v>0</v>
      </c>
      <c r="CB7" s="29">
        <f>IFERROR(IF(CC7=0,0,IF(DaB!DG7&gt;0,DaB!DH7-DaB!DG7,0)),0)</f>
        <v>0</v>
      </c>
      <c r="CC7" s="33">
        <f>IFERROR(IF(DaB!DI7&gt;0,DaB!DI7-DaB!DH7+1,0),0)</f>
        <v>0</v>
      </c>
      <c r="CD7" s="32">
        <f>IFERROR(IF(CC7=0,0,IF(DaB!DK7&gt;0,DaB!DK7-DaB!DJ7+1,0)),0)</f>
        <v>0</v>
      </c>
      <c r="CE7" s="30">
        <f>IFERROR(IF(CC7=0,0,IF(DaB!DL7&gt;0,DaB!DL7-MAX(DaB!DI7:DK7),0)),0)</f>
        <v>0</v>
      </c>
      <c r="CF7" s="34">
        <f>IFERROR(IF(CH7=0,0,MIN(DaB!$DN7:$DO7)-SUM($C7:CE7)),0)</f>
        <v>0</v>
      </c>
      <c r="CG7" s="29">
        <f>IFERROR(IF(CH7=0,0,IF(DaB!DN7&gt;0,DaB!DO7-DaB!DN7,0)),0)</f>
        <v>0</v>
      </c>
      <c r="CH7" s="33">
        <f>IFERROR(IF(DaB!DP7&gt;0,DaB!DP7-DaB!DO7+1,0),0)</f>
        <v>0</v>
      </c>
      <c r="CI7" s="32">
        <f>IFERROR(IF(CH7=0,0,IF(DaB!DR7&gt;0,DaB!DR7-DaB!DQ7+1,0)),0)</f>
        <v>0</v>
      </c>
      <c r="CJ7" s="30">
        <f>IFERROR(IF(CH7=0,0,IF(DaB!DS7&gt;0,DaB!DS7-MAX(DaB!DP7:DR7),0)),0)</f>
        <v>0</v>
      </c>
      <c r="CK7" s="34">
        <f>IFERROR(IF(CM7=0,0,MIN(DaB!$DU7:$DV7)-SUM($C7:CJ7)),0)</f>
        <v>0</v>
      </c>
      <c r="CL7" s="29">
        <f>IFERROR(IF(CM7=0,0,IF(DaB!DU7&gt;0,DaB!DV7-DaB!DU7,0)),0)</f>
        <v>0</v>
      </c>
      <c r="CM7" s="33">
        <f>IFERROR(IF(DaB!DW7&gt;0,DaB!DW7-DaB!DV7+1,0),0)</f>
        <v>0</v>
      </c>
      <c r="CN7" s="32">
        <f>IFERROR(IF(CM7=0,0,IF(DaB!DY7&gt;0,DaB!DY7-DaB!DX7+1,0)),0)</f>
        <v>0</v>
      </c>
      <c r="CO7" s="30">
        <f>IFERROR(IF(CM7=0,0,IF(DaB!DZ7&gt;0,DaB!DZ7-MAX(DaB!DW7:DY7),0)),0)</f>
        <v>0</v>
      </c>
      <c r="CP7" s="34">
        <f>IFERROR(IF(CR7=0,0,MIN(DaB!$EB7:$EC7)-SUM($C7:CO7)),0)</f>
        <v>0</v>
      </c>
      <c r="CQ7" s="29">
        <f>IFERROR(IF(CR7=0,0,IF(DaB!EB7&gt;0,DaB!EC7-DaB!EB7,0)),0)</f>
        <v>0</v>
      </c>
      <c r="CR7" s="33">
        <f>IFERROR(IF(DaB!ED7&gt;0,DaB!ED7-DaB!EC7+1,0),0)</f>
        <v>0</v>
      </c>
      <c r="CS7" s="32">
        <f>IFERROR(IF(CR7=0,0,IF(DaB!EF7&gt;0,DaB!EF7-DaB!EE7+1,0)),0)</f>
        <v>0</v>
      </c>
      <c r="CT7" s="30">
        <f>IFERROR(IF(CR7=0,0,IF(DaB!EG7&gt;0,DaB!EG7-MAX(DaB!ED7:EF7),0)),0)</f>
        <v>0</v>
      </c>
      <c r="CU7" s="34">
        <f>IFERROR(IF(CW7=0,0,MIN(DaB!$EI7:$EJ7)-SUM($C7:CT7)),0)</f>
        <v>0</v>
      </c>
      <c r="CV7" s="29">
        <f>IFERROR(IF(CW7=0,0,IF(DaB!EI7&gt;0,DaB!EJ7-DaB!EI7,0)),0)</f>
        <v>0</v>
      </c>
      <c r="CW7" s="33">
        <f>IFERROR(IF(DaB!EK7&gt;0,DaB!EK7-DaB!EJ7+1,0),0)</f>
        <v>0</v>
      </c>
      <c r="CX7" s="32">
        <f>IFERROR(IF(CW7=0,0,IF(DaB!EM7&gt;0,DaB!EM7-DaB!EL7+1,0)),0)</f>
        <v>0</v>
      </c>
      <c r="CY7" s="30">
        <f>IFERROR(IF(CW7=0,0,IF(DaB!EN7&gt;0,DaB!EN7-MAX(DaB!EK7:EM7),0)),0)</f>
        <v>0</v>
      </c>
      <c r="DF7" s="2">
        <f t="shared" si="2"/>
        <v>45474</v>
      </c>
      <c r="DG7" s="28" t="e">
        <f>IF(MIN(DaB!EU7:EV7)=DF7,0,
IF(MIN(DaB!EU7:EV7)&gt;DF7,MIN(DaB!EU7:EV7)-DF5,0))</f>
        <v>#REF!</v>
      </c>
      <c r="DH7" s="29" t="str">
        <f>IF(ISNUMBER(DaB!EV7),DaB!EV7-SUM(DF7:DG7),"")</f>
        <v/>
      </c>
      <c r="DI7" s="10" t="e">
        <f>IF(OR(DaB!EV7=0,DaB!EV7=""),"",$DF$1)</f>
        <v>#REF!</v>
      </c>
      <c r="DJ7" s="10"/>
      <c r="DK7" s="11">
        <v>0</v>
      </c>
      <c r="DL7" s="11">
        <v>0</v>
      </c>
      <c r="DM7" s="30" t="e">
        <f>IF(OR(DaB!EZ7=0,DaB!EZ7=""),"",IFERROR(DaB!EZ7-DaB!EV7,0))</f>
        <v>#REF!</v>
      </c>
      <c r="DN7" s="28" t="e">
        <f>(DaB!FC7)-(MAX(DaB!EU7:EW7))</f>
        <v>#REF!</v>
      </c>
      <c r="DO7" s="29" t="e">
        <f>IF(OR(DaB!FB7=0,DaB!FB7=""),"",DaB!FC7-SUM(DF7:DN7))</f>
        <v>#REF!</v>
      </c>
      <c r="DP7" s="10" t="e">
        <f>IF(OR(DaB!FC7=0,DaB!FC7=""),"",$DF$1)</f>
        <v>#REF!</v>
      </c>
      <c r="DQ7" s="10">
        <v>0</v>
      </c>
      <c r="DR7" s="11">
        <v>0</v>
      </c>
      <c r="DS7" s="11">
        <v>0</v>
      </c>
      <c r="DT7" s="30">
        <f>IFERROR(DaB!FG7-SUM(DF7:DS7),0)</f>
        <v>0</v>
      </c>
      <c r="DU7" s="28"/>
      <c r="DV7" s="29"/>
      <c r="DW7" s="10"/>
      <c r="DX7" s="10"/>
      <c r="DY7" s="11"/>
      <c r="DZ7" s="11"/>
      <c r="EA7" s="30"/>
      <c r="EB7" s="28"/>
      <c r="EC7" s="29"/>
      <c r="ED7" s="10"/>
      <c r="EE7" s="10"/>
      <c r="EF7" s="11"/>
      <c r="EG7" s="11"/>
      <c r="EH7" s="30"/>
      <c r="EI7" s="34"/>
      <c r="EJ7" s="29"/>
      <c r="EK7" s="10"/>
      <c r="EL7" s="10"/>
      <c r="EM7" s="30"/>
      <c r="EN7" s="34"/>
      <c r="EO7" s="29"/>
      <c r="EP7" s="47"/>
      <c r="EQ7" s="47"/>
      <c r="ER7" s="30"/>
      <c r="ES7" s="34"/>
      <c r="ET7" s="29"/>
      <c r="EU7" s="47"/>
      <c r="EV7" s="47"/>
      <c r="EW7" s="30"/>
    </row>
    <row r="8" spans="1:153" x14ac:dyDescent="0.2">
      <c r="A8" s="2" t="e">
        <f>DaB!A8</f>
        <v>#REF!</v>
      </c>
      <c r="B8" s="2" t="str">
        <f t="shared" ref="B8:B69" si="3">B7</f>
        <v>.</v>
      </c>
      <c r="C8" s="27">
        <f t="shared" si="1"/>
        <v>45474</v>
      </c>
      <c r="D8" s="34">
        <f>IFERROR(MIN(DaB!F8:K8)-C8,0)</f>
        <v>0</v>
      </c>
      <c r="E8" s="29">
        <f>IFERROR(IF(F8=0,0,IF(DaB!F8&gt;0,DaB!G8-DaB!F8,0)),0)</f>
        <v>0</v>
      </c>
      <c r="F8" s="33">
        <f>IFERROR(IF(DaB!G8&gt;0,DaB!H8-DaB!G8+1,0),0)</f>
        <v>0</v>
      </c>
      <c r="G8" s="32">
        <f>IFERROR(IF(F8=0,0,IF(DaB!J8&gt;0,DaB!J8-DaB!I8+1,0)),0)</f>
        <v>0</v>
      </c>
      <c r="H8" s="30">
        <f>IFERROR(IF(F8=0,0,IF(DaB!K8&gt;0,DaB!K8-MAX(DaB!H8:J8),0)),0)</f>
        <v>0</v>
      </c>
      <c r="I8" s="34">
        <f>IFERROR(IF(K8=0,0,MIN(DaB!$M8:$N8)-SUM($C8:H8)),0)</f>
        <v>0</v>
      </c>
      <c r="J8" s="29">
        <f>IFERROR(IF(K8=0,0,IF(DaB!M8&gt;0,DaB!N8-DaB!M8,0)),0)</f>
        <v>0</v>
      </c>
      <c r="K8" s="33">
        <f>IFERROR(IF(DaB!O8&gt;0,DaB!O8-DaB!N8+1,0),0)</f>
        <v>0</v>
      </c>
      <c r="L8" s="32">
        <f>IFERROR(IF(K8=0,0,IF(DaB!Q8&gt;0,DaB!Q8-DaB!P8+1,0)),0)</f>
        <v>0</v>
      </c>
      <c r="M8" s="30">
        <f>IFERROR(IF(K8=0,0,IF(DaB!R8&gt;0,DaB!R8-MAX(DaB!O8:Q8),0)),0)</f>
        <v>0</v>
      </c>
      <c r="N8" s="31">
        <f>IFERROR(IF(P8=0,0,MIN(DaB!$T8:$U8)-SUM($C8:M8)),0)</f>
        <v>0</v>
      </c>
      <c r="O8" s="29">
        <f>IFERROR(IF(P8=0,0,IF(DaB!T8&gt;0,DaB!U8-DaB!T8,0)),0)</f>
        <v>0</v>
      </c>
      <c r="P8" s="33">
        <f>IFERROR(IF(DaB!V8&gt;0,DaB!V8-DaB!U8+1,0),0)</f>
        <v>0</v>
      </c>
      <c r="Q8" s="32">
        <f>IFERROR(IF(P8=0,0,IF(DaB!X8&gt;0,DaB!X8-DaB!W8+1,0)),0)</f>
        <v>0</v>
      </c>
      <c r="R8" s="30">
        <f>IFERROR(IF(P8=0,0,IF(DaB!Y8&gt;0,DaB!Y8-MAX(DaB!V8:X8),0)),0)</f>
        <v>0</v>
      </c>
      <c r="S8" s="34">
        <f>IFERROR(IF(U8=0,0,MIN(DaB!$AA8:$AB8)-SUM($C8:R8)),0)</f>
        <v>0</v>
      </c>
      <c r="T8" s="29">
        <f>IFERROR(IF(U8=0,0,IF(DaB!AA8&gt;0,DaB!AB8-DaB!AA8,0)),0)</f>
        <v>0</v>
      </c>
      <c r="U8" s="33">
        <f>IFERROR(IF(DaB!AC8&gt;0,DaB!AC8-DaB!AB8+1,0),0)</f>
        <v>0</v>
      </c>
      <c r="V8" s="32">
        <f>IFERROR(IF(U8=0,0,IF(DaB!AE8&gt;0,DaB!AE8-DaB!AD8+1,0)),0)</f>
        <v>0</v>
      </c>
      <c r="W8" s="30">
        <f>IFERROR(IF(U8=0,0,IF(DaB!AF8&gt;0,DaB!AF8-MAX(DaB!AC8:AE8),0)),0)</f>
        <v>0</v>
      </c>
      <c r="X8" s="34">
        <f>IFERROR(IF(Z8=0,0,MIN(DaB!$AH8:$AI8)-SUM($C8:W8)),0)</f>
        <v>0</v>
      </c>
      <c r="Y8" s="29">
        <f>IFERROR(IF(Z8=0,0,IF(DaB!AH8&gt;0,DaB!AI8-DaB!AH8,0)),0)</f>
        <v>0</v>
      </c>
      <c r="Z8" s="33">
        <f>IFERROR(IF(DaB!AJ8&gt;0,DaB!AJ8-DaB!AI8+1,0),0)</f>
        <v>0</v>
      </c>
      <c r="AA8" s="32">
        <f>IFERROR(IF(Z8=0,0,IF(DaB!AL8&gt;0,DaB!AL8-DaB!AK8+1,0)),0)</f>
        <v>0</v>
      </c>
      <c r="AB8" s="30">
        <f>IFERROR(IF(Z8=0,0,IF(DaB!AM8&gt;0,DaB!AM8-MAX(DaB!AJ8:AL8),0)),0)</f>
        <v>0</v>
      </c>
      <c r="AC8" s="34">
        <f>IFERROR(IF(AE8=0,0,MIN(DaB!$AO8:$AP8)-SUM($C8:AB8)),0)</f>
        <v>0</v>
      </c>
      <c r="AD8" s="29">
        <f>IFERROR(IF(AE8=0,0,IF(DaB!AO8&gt;0,DaB!AP8-DaB!AO8,0)),0)</f>
        <v>0</v>
      </c>
      <c r="AE8" s="33">
        <f>IFERROR(IF(DaB!AQ8&gt;0,DaB!AQ8-DaB!AP8+1,0),0)</f>
        <v>0</v>
      </c>
      <c r="AF8" s="32">
        <f>IFERROR(IF(AE8=0,0,IF(DaB!AS8&gt;0,DaB!AS8-DaB!AR8+1,0)),0)</f>
        <v>0</v>
      </c>
      <c r="AG8" s="30">
        <f>IFERROR(IF(AE8=0,0,IF(DaB!AT8&gt;0,DaB!AT8-MAX(DaB!AQ8:AS8),0)),0)</f>
        <v>0</v>
      </c>
      <c r="AH8" s="34">
        <f>IFERROR(IF(AJ8=0,0,MIN(DaB!$AV8:$AW8)-SUM($C8:AG8)),0)</f>
        <v>0</v>
      </c>
      <c r="AI8" s="29">
        <f>IFERROR(IF(AJ8=0,0,IF(DaB!AV8&gt;0,DaB!AW8-DaB!AV8,0)),0)</f>
        <v>0</v>
      </c>
      <c r="AJ8" s="33">
        <f>IFERROR(IF(DaB!AX8&gt;0,DaB!AX8-DaB!AW8+1,0),0)</f>
        <v>0</v>
      </c>
      <c r="AK8" s="32">
        <f>IFERROR(IF(AJ8=0,0,IF(DaB!AZ8&gt;0,DaB!AZ8-DaB!AY8+1,0)),0)</f>
        <v>0</v>
      </c>
      <c r="AL8" s="30">
        <f>IFERROR(IF(AJ8=0,0,IF(DaB!BA8&gt;0,DaB!BA8-MAX(DaB!AX8:AZ8),0)),0)</f>
        <v>0</v>
      </c>
      <c r="AM8" s="34">
        <f>IFERROR(IF(AO8=0,0,MIN(DaB!$BC8:$BD8)-SUM($C8:AL8)),0)</f>
        <v>0</v>
      </c>
      <c r="AN8" s="29">
        <f>IFERROR(IF(AO8=0,0,IF(DaB!BC8&gt;0,DaB!BD8-DaB!BC8,0)),0)</f>
        <v>0</v>
      </c>
      <c r="AO8" s="33">
        <f>IFERROR(IF(DaB!BE8&gt;0,DaB!BE8-DaB!BD8+1,0),0)</f>
        <v>0</v>
      </c>
      <c r="AP8" s="32">
        <f>IFERROR(IF(AO8=0,0,IF(DaB!BG8&gt;0,DaB!BG8-DaB!BF8+1,0)),0)</f>
        <v>0</v>
      </c>
      <c r="AQ8" s="30">
        <f>IFERROR(IF(AO8=0,0,IF(DaB!BH8&gt;0,DaB!BH8-MAX(DaB!BE8:BG8),0)),0)</f>
        <v>0</v>
      </c>
      <c r="AR8" s="34">
        <f>IFERROR(IF(AT8=0,0,MIN(DaB!$BJ8:$BK8)-SUM($C8:AQ8)),0)</f>
        <v>0</v>
      </c>
      <c r="AS8" s="29">
        <f>IFERROR(IF(AT8=0,0,IF(DaB!BJ8&gt;0,DaB!BK8-DaB!BJ8,0)),0)</f>
        <v>0</v>
      </c>
      <c r="AT8" s="33">
        <f>IFERROR(IF(DaB!BL8&gt;0,DaB!BL8-DaB!BK8+1,0),0)</f>
        <v>0</v>
      </c>
      <c r="AU8" s="32">
        <f>IFERROR(IF(AT8=0,0,IF(DaB!BN8&gt;0,DaB!BN8-DaB!BM8+1,0)),0)</f>
        <v>0</v>
      </c>
      <c r="AV8" s="30">
        <f>IFERROR(IF(AT8=0,0,IF(DaB!BO8&gt;0,DaB!BO8-MAX(DaB!BL8:BN8),0)),0)</f>
        <v>0</v>
      </c>
      <c r="AW8" s="34">
        <f>IFERROR(IF(AY8=0,0,MIN(DaB!$BQ8:$BR8)-SUM($C8:AV8)),0)</f>
        <v>0</v>
      </c>
      <c r="AX8" s="29">
        <f>IFERROR(IF(AY8=0,0,IF(DaB!BQ8&gt;0,DaB!BR8-DaB!BQ8,0)),0)</f>
        <v>0</v>
      </c>
      <c r="AY8" s="33">
        <f>IFERROR(IF(DaB!BS8&gt;0,DaB!BS8-DaB!BR8+1,0),0)</f>
        <v>0</v>
      </c>
      <c r="AZ8" s="32">
        <f>IFERROR(IF(AY8=0,0,IF(DaB!BU8&gt;0,DaB!BU8-DaB!BT8+1,0)),0)</f>
        <v>0</v>
      </c>
      <c r="BA8" s="30">
        <f>IFERROR(IF(AY8=0,0,IF(DaB!BV8&gt;0,DaB!BV8-MAX(DaB!BS8:BU8),0)),0)</f>
        <v>0</v>
      </c>
      <c r="BB8" s="34">
        <f>IFERROR(IF(BD8=0,0,MIN(DaB!$BX8:$BY8)-SUM($C8:BA8)),0)</f>
        <v>0</v>
      </c>
      <c r="BC8" s="29">
        <f>IFERROR(IF(BD8=0,0,IF(DaB!BX8&gt;0,DaB!BY8-DaB!BX8,0)),0)</f>
        <v>0</v>
      </c>
      <c r="BD8" s="33">
        <f>IFERROR(IF(DaB!BZ8&gt;0,DaB!BZ8-DaB!BY8+1,0),0)</f>
        <v>0</v>
      </c>
      <c r="BE8" s="32">
        <f>IFERROR(IF(BD8=0,0,IF(DaB!CB8&gt;0,DaB!CB8-DaB!CA8+1,0)),0)</f>
        <v>0</v>
      </c>
      <c r="BF8" s="30">
        <f>IFERROR(IF(BD8=0,0,IF(DaB!CC8&gt;0,DaB!CC8-MAX(DaB!BZ8:CB8),0)),0)</f>
        <v>0</v>
      </c>
      <c r="BG8" s="34">
        <f>IFERROR(IF(BI8=0,0,MIN(DaB!$CE8:$CF8)-SUM($C8:BF8)),0)</f>
        <v>0</v>
      </c>
      <c r="BH8" s="29">
        <f>IFERROR(IF(BI8=0,0,IF(DaB!CE8&gt;0,DaB!CF8-DaB!CE8,0)),0)</f>
        <v>0</v>
      </c>
      <c r="BI8" s="33">
        <f>IFERROR(IF(DaB!CG8&gt;0,DaB!CG8-DaB!CF8+1,0),0)</f>
        <v>0</v>
      </c>
      <c r="BJ8" s="32">
        <f>IFERROR(IF(BI8=0,0,IF(DaB!CI8&gt;0,DaB!CI8-DaB!CH8+1,0)),0)</f>
        <v>0</v>
      </c>
      <c r="BK8" s="30">
        <f>IFERROR(IF(BI8=0,0,IF(DaB!CJ8&gt;0,DaB!CJ8-MAX(DaB!CG8:CI8),0)),0)</f>
        <v>0</v>
      </c>
      <c r="BL8" s="34">
        <f>IFERROR(IF(BN8=0,0,MIN(DaB!$CL8:$CM8)-SUM($C8:BK8)),0)</f>
        <v>0</v>
      </c>
      <c r="BM8" s="29">
        <f>IFERROR(IF(BN8=0,0,IF(DaB!CL8&gt;0,DaB!CM8-DaB!CL8,0)),0)</f>
        <v>0</v>
      </c>
      <c r="BN8" s="33">
        <f>IFERROR(IF(DaB!CN8&gt;0,DaB!CN8-DaB!CM8+1,0),0)</f>
        <v>0</v>
      </c>
      <c r="BO8" s="32">
        <f>IFERROR(IF(BN8=0,0,IF(DaB!CP8&gt;0,DaB!CP8-DaB!CO8+1,0)),0)</f>
        <v>0</v>
      </c>
      <c r="BP8" s="30">
        <f>IFERROR(IF(BN8=0,0,IF(DaB!CQ8&gt;0,DaB!CQ8-MAX(DaB!CN8:CP8),0)),0)</f>
        <v>0</v>
      </c>
      <c r="BQ8" s="34">
        <f>IFERROR(IF(BS8=0,0,MIN(DaB!$CS8:$CT8)-SUM($C8:BP8)),0)</f>
        <v>0</v>
      </c>
      <c r="BR8" s="29">
        <f>IFERROR(IF(BS8=0,0,IF(DaB!CS8&gt;0,DaB!CT8-DaB!CS8,0)),0)</f>
        <v>0</v>
      </c>
      <c r="BS8" s="33">
        <f>IFERROR(IF(DaB!CU8&gt;0,DaB!CU8-DaB!CT8+1,0),0)</f>
        <v>0</v>
      </c>
      <c r="BT8" s="32">
        <f>IFERROR(IF(BS8=0,0,IF(DaB!CW8&gt;0,DaB!CW8-DaB!CV8+1,0)),0)</f>
        <v>0</v>
      </c>
      <c r="BU8" s="30">
        <f>IFERROR(IF(BS8=0,0,IF(DaB!CX8&gt;0,DaB!CX8-MAX(DaB!CU8:CW8),0)),0)</f>
        <v>0</v>
      </c>
      <c r="BV8" s="34">
        <f>IFERROR(IF(BX8=0,0,MIN(DaB!$CZ8:$DA8)-SUM($C8:BU8)),0)</f>
        <v>0</v>
      </c>
      <c r="BW8" s="29">
        <f>IFERROR(IF(BX8=0,0,IF(DaB!CZ8&gt;0,DaB!DA8-DaB!CZ8,0)),0)</f>
        <v>0</v>
      </c>
      <c r="BX8" s="33">
        <f>IFERROR(IF(DaB!DB8&gt;0,DaB!DB8-DaB!DA8+1,0),0)</f>
        <v>0</v>
      </c>
      <c r="BY8" s="32">
        <f>IFERROR(IF(BX8=0,0,IF(DaB!DD8&gt;0,DaB!DD8-DaB!DC8+1,0)),0)</f>
        <v>0</v>
      </c>
      <c r="BZ8" s="30">
        <f>IFERROR(IF(BX8=0,0,IF(DaB!DE8&gt;0,DaB!DE8-MAX(DaB!DB8:DD8),0)),0)</f>
        <v>0</v>
      </c>
      <c r="CA8" s="34">
        <f>IFERROR(IF(CC8=0,0,MIN(DaB!$DG8:$DH8)-SUM($C8:BZ8)),0)</f>
        <v>0</v>
      </c>
      <c r="CB8" s="29">
        <f>IFERROR(IF(CC8=0,0,IF(DaB!DG8&gt;0,DaB!DH8-DaB!DG8,0)),0)</f>
        <v>0</v>
      </c>
      <c r="CC8" s="33">
        <f>IFERROR(IF(DaB!DI8&gt;0,DaB!DI8-DaB!DH8+1,0),0)</f>
        <v>0</v>
      </c>
      <c r="CD8" s="32">
        <f>IFERROR(IF(CC8=0,0,IF(DaB!DK8&gt;0,DaB!DK8-DaB!DJ8+1,0)),0)</f>
        <v>0</v>
      </c>
      <c r="CE8" s="30">
        <f>IFERROR(IF(CC8=0,0,IF(DaB!DL8&gt;0,DaB!DL8-MAX(DaB!DI8:DK8),0)),0)</f>
        <v>0</v>
      </c>
      <c r="CF8" s="34">
        <f>IFERROR(IF(CH8=0,0,MIN(DaB!$DN8:$DO8)-SUM($C8:CE8)),0)</f>
        <v>0</v>
      </c>
      <c r="CG8" s="29">
        <f>IFERROR(IF(CH8=0,0,IF(DaB!DN8&gt;0,DaB!DO8-DaB!DN8,0)),0)</f>
        <v>0</v>
      </c>
      <c r="CH8" s="33">
        <f>IFERROR(IF(DaB!DP8&gt;0,DaB!DP8-DaB!DO8+1,0),0)</f>
        <v>0</v>
      </c>
      <c r="CI8" s="32">
        <f>IFERROR(IF(CH8=0,0,IF(DaB!DR8&gt;0,DaB!DR8-DaB!DQ8+1,0)),0)</f>
        <v>0</v>
      </c>
      <c r="CJ8" s="30">
        <f>IFERROR(IF(CH8=0,0,IF(DaB!DS8&gt;0,DaB!DS8-MAX(DaB!DP8:DR8),0)),0)</f>
        <v>0</v>
      </c>
      <c r="CK8" s="34">
        <f>IFERROR(IF(CM8=0,0,MIN(DaB!$DU8:$DV8)-SUM($C8:CJ8)),0)</f>
        <v>0</v>
      </c>
      <c r="CL8" s="29">
        <f>IFERROR(IF(CM8=0,0,IF(DaB!DU8&gt;0,DaB!DV8-DaB!DU8,0)),0)</f>
        <v>0</v>
      </c>
      <c r="CM8" s="33">
        <f>IFERROR(IF(DaB!DW8&gt;0,DaB!DW8-DaB!DV8+1,0),0)</f>
        <v>0</v>
      </c>
      <c r="CN8" s="32">
        <f>IFERROR(IF(CM8=0,0,IF(DaB!DY8&gt;0,DaB!DY8-DaB!DX8+1,0)),0)</f>
        <v>0</v>
      </c>
      <c r="CO8" s="30">
        <f>IFERROR(IF(CM8=0,0,IF(DaB!DZ8&gt;0,DaB!DZ8-MAX(DaB!DW8:DY8),0)),0)</f>
        <v>0</v>
      </c>
      <c r="CP8" s="34">
        <f>IFERROR(IF(CR8=0,0,MIN(DaB!$EB8:$EC8)-SUM($C8:CO8)),0)</f>
        <v>0</v>
      </c>
      <c r="CQ8" s="29">
        <f>IFERROR(IF(CR8=0,0,IF(DaB!EB8&gt;0,DaB!EC8-DaB!EB8,0)),0)</f>
        <v>0</v>
      </c>
      <c r="CR8" s="33">
        <f>IFERROR(IF(DaB!ED8&gt;0,DaB!ED8-DaB!EC8+1,0),0)</f>
        <v>0</v>
      </c>
      <c r="CS8" s="32">
        <f>IFERROR(IF(CR8=0,0,IF(DaB!EF8&gt;0,DaB!EF8-DaB!EE8+1,0)),0)</f>
        <v>0</v>
      </c>
      <c r="CT8" s="30">
        <f>IFERROR(IF(CR8=0,0,IF(DaB!EG8&gt;0,DaB!EG8-MAX(DaB!ED8:EF8),0)),0)</f>
        <v>0</v>
      </c>
      <c r="CU8" s="34">
        <f>IFERROR(IF(CW8=0,0,MIN(DaB!$EI8:$EJ8)-SUM($C8:CT8)),0)</f>
        <v>0</v>
      </c>
      <c r="CV8" s="29">
        <f>IFERROR(IF(CW8=0,0,IF(DaB!EI8&gt;0,DaB!EJ8-DaB!EI8,0)),0)</f>
        <v>0</v>
      </c>
      <c r="CW8" s="33">
        <f>IFERROR(IF(DaB!EK8&gt;0,DaB!EK8-DaB!EJ8+1,0),0)</f>
        <v>0</v>
      </c>
      <c r="CX8" s="32">
        <f>IFERROR(IF(CW8=0,0,IF(DaB!EM8&gt;0,DaB!EM8-DaB!EL8+1,0)),0)</f>
        <v>0</v>
      </c>
      <c r="CY8" s="30">
        <f>IFERROR(IF(CW8=0,0,IF(DaB!EN8&gt;0,DaB!EN8-MAX(DaB!EK8:EM8),0)),0)</f>
        <v>0</v>
      </c>
      <c r="DF8" s="2">
        <f t="shared" si="2"/>
        <v>45474</v>
      </c>
      <c r="DG8" s="28" t="e">
        <f>IF(MIN(DaB!EU8:EV8)=DF8,0,
IF(MIN(DaB!EU8:EV8)&gt;DF8,MIN(DaB!EU8:EV8)-DF8,0))</f>
        <v>#REF!</v>
      </c>
      <c r="DH8" s="29" t="str">
        <f>IF(ISNUMBER(DaB!EV8),DaB!EV8-SUM(DF8:DG8),"")</f>
        <v/>
      </c>
      <c r="DI8" s="10" t="e">
        <f>IF(OR(DaB!EV8=0,DaB!EV8=""),"",$DF$1)</f>
        <v>#REF!</v>
      </c>
      <c r="DJ8" s="10"/>
      <c r="DK8" s="11">
        <v>0</v>
      </c>
      <c r="DL8" s="11">
        <v>0</v>
      </c>
      <c r="DM8" s="30" t="e">
        <f>IF(OR(DaB!EZ8=0,DaB!EZ8=""),"",IFERROR(DaB!EZ8-DaB!EV8,0))</f>
        <v>#REF!</v>
      </c>
      <c r="DN8" s="28" t="e">
        <f>(DaB!FC8)-(MAX(DaB!EU8:EW8))</f>
        <v>#REF!</v>
      </c>
      <c r="DO8" s="29" t="e">
        <f>IF(OR(DaB!FB8=0,DaB!FB8=""),"",DaB!FC8-SUM(DF8:DN8))</f>
        <v>#REF!</v>
      </c>
      <c r="DP8" s="10" t="e">
        <f>IF(OR(DaB!FC8=0,DaB!FC8=""),"",$DF$1)</f>
        <v>#REF!</v>
      </c>
      <c r="DQ8" s="10">
        <v>0</v>
      </c>
      <c r="DR8" s="11">
        <v>0</v>
      </c>
      <c r="DS8" s="11">
        <v>0</v>
      </c>
      <c r="DT8" s="30">
        <f>IFERROR(DaB!FG8-SUM(DF8:DS8),0)</f>
        <v>0</v>
      </c>
      <c r="DU8" s="28"/>
      <c r="DV8" s="29"/>
      <c r="DW8" s="10"/>
      <c r="DX8" s="10"/>
      <c r="DY8" s="11"/>
      <c r="DZ8" s="11"/>
      <c r="EA8" s="30"/>
      <c r="EB8" s="28"/>
      <c r="EC8" s="29"/>
      <c r="ED8" s="10"/>
      <c r="EE8" s="10"/>
      <c r="EF8" s="11"/>
      <c r="EG8" s="11"/>
      <c r="EH8" s="30"/>
      <c r="EI8" s="34"/>
      <c r="EJ8" s="29"/>
      <c r="EK8" s="10"/>
      <c r="EL8" s="10"/>
      <c r="EM8" s="30"/>
      <c r="EN8" s="34"/>
      <c r="EO8" s="29"/>
      <c r="EP8" s="47"/>
      <c r="EQ8" s="47"/>
      <c r="ER8" s="30"/>
      <c r="ES8" s="34"/>
      <c r="ET8" s="29"/>
      <c r="EU8" s="47"/>
      <c r="EV8" s="47"/>
      <c r="EW8" s="30"/>
    </row>
    <row r="9" spans="1:153" x14ac:dyDescent="0.2">
      <c r="A9" s="2" t="e">
        <f>DaB!A9</f>
        <v>#REF!</v>
      </c>
      <c r="B9" s="2" t="str">
        <f t="shared" si="3"/>
        <v>.</v>
      </c>
      <c r="C9" s="27">
        <f t="shared" si="1"/>
        <v>45474</v>
      </c>
      <c r="D9" s="34">
        <f>IFERROR(MIN(DaB!F9:K9)-C9,0)</f>
        <v>0</v>
      </c>
      <c r="E9" s="29">
        <f>IFERROR(IF(F9=0,0,IF(DaB!F9&gt;0,DaB!G9-DaB!F9,0)),0)</f>
        <v>0</v>
      </c>
      <c r="F9" s="33">
        <f>IFERROR(IF(DaB!G9&gt;0,DaB!H9-DaB!G9+1,0),0)</f>
        <v>0</v>
      </c>
      <c r="G9" s="32">
        <f>IFERROR(IF(F9=0,0,IF(DaB!J9&gt;0,DaB!J9-DaB!I9+1,0)),0)</f>
        <v>0</v>
      </c>
      <c r="H9" s="30">
        <f>IFERROR(IF(F9=0,0,IF(DaB!K9&gt;0,DaB!K9-MAX(DaB!H9:J9),0)),0)</f>
        <v>0</v>
      </c>
      <c r="I9" s="34">
        <f>IFERROR(IF(K9=0,0,MIN(DaB!$M9:$N9)-SUM($C9:H9)),0)</f>
        <v>0</v>
      </c>
      <c r="J9" s="29">
        <f>IFERROR(IF(K9=0,0,IF(DaB!M9&gt;0,DaB!N9-DaB!M9,0)),0)</f>
        <v>0</v>
      </c>
      <c r="K9" s="33">
        <f>IFERROR(IF(DaB!O9&gt;0,DaB!O9-DaB!N9+1,0),0)</f>
        <v>0</v>
      </c>
      <c r="L9" s="32">
        <f>IFERROR(IF(K9=0,0,IF(DaB!Q9&gt;0,DaB!Q9-DaB!P9+1,0)),0)</f>
        <v>0</v>
      </c>
      <c r="M9" s="30">
        <f>IFERROR(IF(K9=0,0,IF(DaB!R9&gt;0,DaB!R9-MAX(DaB!O9:Q9),0)),0)</f>
        <v>0</v>
      </c>
      <c r="N9" s="31">
        <f>IFERROR(IF(P9=0,0,MIN(DaB!$T9:$U9)-SUM($C9:M9)),0)</f>
        <v>0</v>
      </c>
      <c r="O9" s="29">
        <f>IFERROR(IF(P9=0,0,IF(DaB!T9&gt;0,DaB!U9-DaB!T9,0)),0)</f>
        <v>0</v>
      </c>
      <c r="P9" s="33">
        <f>IFERROR(IF(DaB!V9&gt;0,DaB!V9-DaB!U9+1,0),0)</f>
        <v>0</v>
      </c>
      <c r="Q9" s="32">
        <f>IFERROR(IF(P9=0,0,IF(DaB!X9&gt;0,DaB!X9-DaB!W9+1,0)),0)</f>
        <v>0</v>
      </c>
      <c r="R9" s="30">
        <f>IFERROR(IF(P9=0,0,IF(DaB!Y9&gt;0,DaB!Y9-MAX(DaB!V9:X9),0)),0)</f>
        <v>0</v>
      </c>
      <c r="S9" s="34">
        <f>IFERROR(IF(U9=0,0,MIN(DaB!$AA9:$AB9)-SUM($C9:R9)),0)</f>
        <v>0</v>
      </c>
      <c r="T9" s="29">
        <f>IFERROR(IF(U9=0,0,IF(DaB!AA9&gt;0,DaB!AB9-DaB!AA9,0)),0)</f>
        <v>0</v>
      </c>
      <c r="U9" s="33">
        <f>IFERROR(IF(DaB!AC9&gt;0,DaB!AC9-DaB!AB9+1,0),0)</f>
        <v>0</v>
      </c>
      <c r="V9" s="32">
        <f>IFERROR(IF(U9=0,0,IF(DaB!AE9&gt;0,DaB!AE9-DaB!AD9+1,0)),0)</f>
        <v>0</v>
      </c>
      <c r="W9" s="30">
        <f>IFERROR(IF(U9=0,0,IF(DaB!AF9&gt;0,DaB!AF9-MAX(DaB!AC9:AE9),0)),0)</f>
        <v>0</v>
      </c>
      <c r="X9" s="34">
        <f>IFERROR(IF(Z9=0,0,MIN(DaB!$AH9:$AI9)-SUM($C9:W9)),0)</f>
        <v>0</v>
      </c>
      <c r="Y9" s="29">
        <f>IFERROR(IF(Z9=0,0,IF(DaB!AH9&gt;0,DaB!AI9-DaB!AH9,0)),0)</f>
        <v>0</v>
      </c>
      <c r="Z9" s="33">
        <f>IFERROR(IF(DaB!AJ9&gt;0,DaB!AJ9-DaB!AI9+1,0),0)</f>
        <v>0</v>
      </c>
      <c r="AA9" s="32">
        <f>IFERROR(IF(Z9=0,0,IF(DaB!AL9&gt;0,DaB!AL9-DaB!AK9+1,0)),0)</f>
        <v>0</v>
      </c>
      <c r="AB9" s="30">
        <f>IFERROR(IF(Z9=0,0,IF(DaB!AM9&gt;0,DaB!AM9-MAX(DaB!AJ9:AL9),0)),0)</f>
        <v>0</v>
      </c>
      <c r="AC9" s="34">
        <f>IFERROR(IF(AE9=0,0,MIN(DaB!$AO9:$AP9)-SUM($C9:AB9)),0)</f>
        <v>0</v>
      </c>
      <c r="AD9" s="29">
        <f>IFERROR(IF(AE9=0,0,IF(DaB!AO9&gt;0,DaB!AP9-DaB!AO9,0)),0)</f>
        <v>0</v>
      </c>
      <c r="AE9" s="33">
        <f>IFERROR(IF(DaB!AQ9&gt;0,DaB!AQ9-DaB!AP9+1,0),0)</f>
        <v>0</v>
      </c>
      <c r="AF9" s="32">
        <f>IFERROR(IF(AE9=0,0,IF(DaB!AS9&gt;0,DaB!AS9-DaB!AR9+1,0)),0)</f>
        <v>0</v>
      </c>
      <c r="AG9" s="30">
        <f>IFERROR(IF(AE9=0,0,IF(DaB!AT9&gt;0,DaB!AT9-MAX(DaB!AQ9:AS9),0)),0)</f>
        <v>0</v>
      </c>
      <c r="AH9" s="34">
        <f>IFERROR(IF(AJ9=0,0,MIN(DaB!$AV9:$AW9)-SUM($C9:AG9)),0)</f>
        <v>0</v>
      </c>
      <c r="AI9" s="29">
        <f>IFERROR(IF(AJ9=0,0,IF(DaB!AV9&gt;0,DaB!AW9-DaB!AV9,0)),0)</f>
        <v>0</v>
      </c>
      <c r="AJ9" s="33">
        <f>IFERROR(IF(DaB!AX9&gt;0,DaB!AX9-DaB!AW9+1,0),0)</f>
        <v>0</v>
      </c>
      <c r="AK9" s="32">
        <f>IFERROR(IF(AJ9=0,0,IF(DaB!AZ9&gt;0,DaB!AZ9-DaB!AY9+1,0)),0)</f>
        <v>0</v>
      </c>
      <c r="AL9" s="30">
        <f>IFERROR(IF(AJ9=0,0,IF(DaB!BA9&gt;0,DaB!BA9-MAX(DaB!AX9:AZ9),0)),0)</f>
        <v>0</v>
      </c>
      <c r="AM9" s="34">
        <f>IFERROR(IF(AO9=0,0,MIN(DaB!$BC9:$BD9)-SUM($C9:AL9)),0)</f>
        <v>0</v>
      </c>
      <c r="AN9" s="29">
        <f>IFERROR(IF(AO9=0,0,IF(DaB!BC9&gt;0,DaB!BD9-DaB!BC9,0)),0)</f>
        <v>0</v>
      </c>
      <c r="AO9" s="33">
        <f>IFERROR(IF(DaB!BE9&gt;0,DaB!BE9-DaB!BD9+1,0),0)</f>
        <v>0</v>
      </c>
      <c r="AP9" s="32">
        <f>IFERROR(IF(AO9=0,0,IF(DaB!BG9&gt;0,DaB!BG9-DaB!BF9+1,0)),0)</f>
        <v>0</v>
      </c>
      <c r="AQ9" s="30">
        <f>IFERROR(IF(AO9=0,0,IF(DaB!BH9&gt;0,DaB!BH9-MAX(DaB!BE9:BG9),0)),0)</f>
        <v>0</v>
      </c>
      <c r="AR9" s="34">
        <f>IFERROR(IF(AT9=0,0,MIN(DaB!$BJ9:$BK9)-SUM($C9:AQ9)),0)</f>
        <v>0</v>
      </c>
      <c r="AS9" s="29">
        <f>IFERROR(IF(AT9=0,0,IF(DaB!BJ9&gt;0,DaB!BK9-DaB!BJ9,0)),0)</f>
        <v>0</v>
      </c>
      <c r="AT9" s="33">
        <f>IFERROR(IF(DaB!BL9&gt;0,DaB!BL9-DaB!BK9+1,0),0)</f>
        <v>0</v>
      </c>
      <c r="AU9" s="32">
        <f>IFERROR(IF(AT9=0,0,IF(DaB!BN9&gt;0,DaB!BN9-DaB!BM9+1,0)),0)</f>
        <v>0</v>
      </c>
      <c r="AV9" s="30">
        <f>IFERROR(IF(AT9=0,0,IF(DaB!BO9&gt;0,DaB!BO9-MAX(DaB!BL9:BN9),0)),0)</f>
        <v>0</v>
      </c>
      <c r="AW9" s="34">
        <f>IFERROR(IF(AY9=0,0,MIN(DaB!$BQ9:$BR9)-SUM($C9:AV9)),0)</f>
        <v>0</v>
      </c>
      <c r="AX9" s="29">
        <f>IFERROR(IF(AY9=0,0,IF(DaB!BQ9&gt;0,DaB!BR9-DaB!BQ9,0)),0)</f>
        <v>0</v>
      </c>
      <c r="AY9" s="33">
        <f>IFERROR(IF(DaB!BS9&gt;0,DaB!BS9-DaB!BR9+1,0),0)</f>
        <v>0</v>
      </c>
      <c r="AZ9" s="32">
        <f>IFERROR(IF(AY9=0,0,IF(DaB!BU9&gt;0,DaB!BU9-DaB!BT9+1,0)),0)</f>
        <v>0</v>
      </c>
      <c r="BA9" s="30">
        <f>IFERROR(IF(AY9=0,0,IF(DaB!BV9&gt;0,DaB!BV9-MAX(DaB!BS9:BU9),0)),0)</f>
        <v>0</v>
      </c>
      <c r="BB9" s="34">
        <f>IFERROR(IF(BD9=0,0,MIN(DaB!$BX9:$BY9)-SUM($C9:BA9)),0)</f>
        <v>0</v>
      </c>
      <c r="BC9" s="29">
        <f>IFERROR(IF(BD9=0,0,IF(DaB!BX9&gt;0,DaB!BY9-DaB!BX9,0)),0)</f>
        <v>0</v>
      </c>
      <c r="BD9" s="33">
        <f>IFERROR(IF(DaB!BZ9&gt;0,DaB!BZ9-DaB!BY9+1,0),0)</f>
        <v>0</v>
      </c>
      <c r="BE9" s="32">
        <f>IFERROR(IF(BD9=0,0,IF(DaB!CB9&gt;0,DaB!CB9-DaB!CA9+1,0)),0)</f>
        <v>0</v>
      </c>
      <c r="BF9" s="30">
        <f>IFERROR(IF(BD9=0,0,IF(DaB!CC9&gt;0,DaB!CC9-MAX(DaB!BZ9:CB9),0)),0)</f>
        <v>0</v>
      </c>
      <c r="BG9" s="34">
        <f>IFERROR(IF(BI9=0,0,MIN(DaB!$CE9:$CF9)-SUM($C9:BF9)),0)</f>
        <v>0</v>
      </c>
      <c r="BH9" s="29">
        <f>IFERROR(IF(BI9=0,0,IF(DaB!CE9&gt;0,DaB!CF9-DaB!CE9,0)),0)</f>
        <v>0</v>
      </c>
      <c r="BI9" s="33">
        <f>IFERROR(IF(DaB!CG9&gt;0,DaB!CG9-DaB!CF9+1,0),0)</f>
        <v>0</v>
      </c>
      <c r="BJ9" s="32">
        <f>IFERROR(IF(BI9=0,0,IF(DaB!CI9&gt;0,DaB!CI9-DaB!CH9+1,0)),0)</f>
        <v>0</v>
      </c>
      <c r="BK9" s="30">
        <f>IFERROR(IF(BI9=0,0,IF(DaB!CJ9&gt;0,DaB!CJ9-MAX(DaB!CG9:CI9),0)),0)</f>
        <v>0</v>
      </c>
      <c r="BL9" s="34">
        <f>IFERROR(IF(BN9=0,0,MIN(DaB!$CL9:$CM9)-SUM($C9:BK9)),0)</f>
        <v>0</v>
      </c>
      <c r="BM9" s="29">
        <f>IFERROR(IF(BN9=0,0,IF(DaB!CL9&gt;0,DaB!CM9-DaB!CL9,0)),0)</f>
        <v>0</v>
      </c>
      <c r="BN9" s="33">
        <f>IFERROR(IF(DaB!CN9&gt;0,DaB!CN9-DaB!CM9+1,0),0)</f>
        <v>0</v>
      </c>
      <c r="BO9" s="32">
        <f>IFERROR(IF(BN9=0,0,IF(DaB!CP9&gt;0,DaB!CP9-DaB!CO9+1,0)),0)</f>
        <v>0</v>
      </c>
      <c r="BP9" s="30">
        <f>IFERROR(IF(BN9=0,0,IF(DaB!CQ9&gt;0,DaB!CQ9-MAX(DaB!CN9:CP9),0)),0)</f>
        <v>0</v>
      </c>
      <c r="BQ9" s="34">
        <f>IFERROR(IF(BS9=0,0,MIN(DaB!$CS9:$CT9)-SUM($C9:BP9)),0)</f>
        <v>0</v>
      </c>
      <c r="BR9" s="29">
        <f>IFERROR(IF(BS9=0,0,IF(DaB!CS9&gt;0,DaB!CT9-DaB!CS9,0)),0)</f>
        <v>0</v>
      </c>
      <c r="BS9" s="33">
        <f>IFERROR(IF(DaB!CU9&gt;0,DaB!CU9-DaB!CT9+1,0),0)</f>
        <v>0</v>
      </c>
      <c r="BT9" s="32">
        <f>IFERROR(IF(BS9=0,0,IF(DaB!CW9&gt;0,DaB!CW9-DaB!CV9+1,0)),0)</f>
        <v>0</v>
      </c>
      <c r="BU9" s="30">
        <f>IFERROR(IF(BS9=0,0,IF(DaB!CX9&gt;0,DaB!CX9-MAX(DaB!CU9:CW9),0)),0)</f>
        <v>0</v>
      </c>
      <c r="BV9" s="34">
        <f>IFERROR(IF(BX9=0,0,MIN(DaB!$CZ9:$DA9)-SUM($C9:BU9)),0)</f>
        <v>0</v>
      </c>
      <c r="BW9" s="29">
        <f>IFERROR(IF(BX9=0,0,IF(DaB!CZ9&gt;0,DaB!DA9-DaB!CZ9,0)),0)</f>
        <v>0</v>
      </c>
      <c r="BX9" s="33">
        <f>IFERROR(IF(DaB!DB9&gt;0,DaB!DB9-DaB!DA9+1,0),0)</f>
        <v>0</v>
      </c>
      <c r="BY9" s="32">
        <f>IFERROR(IF(BX9=0,0,IF(DaB!DD9&gt;0,DaB!DD9-DaB!DC9+1,0)),0)</f>
        <v>0</v>
      </c>
      <c r="BZ9" s="30">
        <f>IFERROR(IF(BX9=0,0,IF(DaB!DE9&gt;0,DaB!DE9-MAX(DaB!DB9:DD9),0)),0)</f>
        <v>0</v>
      </c>
      <c r="CA9" s="34">
        <f>IFERROR(IF(CC9=0,0,MIN(DaB!$DG9:$DH9)-SUM($C9:BZ9)),0)</f>
        <v>0</v>
      </c>
      <c r="CB9" s="29">
        <f>IFERROR(IF(CC9=0,0,IF(DaB!DG9&gt;0,DaB!DH9-DaB!DG9,0)),0)</f>
        <v>0</v>
      </c>
      <c r="CC9" s="33">
        <f>IFERROR(IF(DaB!DI9&gt;0,DaB!DI9-DaB!DH9+1,0),0)</f>
        <v>0</v>
      </c>
      <c r="CD9" s="32">
        <f>IFERROR(IF(CC9=0,0,IF(DaB!DK9&gt;0,DaB!DK9-DaB!DJ9+1,0)),0)</f>
        <v>0</v>
      </c>
      <c r="CE9" s="30">
        <f>IFERROR(IF(CC9=0,0,IF(DaB!DL9&gt;0,DaB!DL9-MAX(DaB!DI9:DK9),0)),0)</f>
        <v>0</v>
      </c>
      <c r="CF9" s="34">
        <f>IFERROR(IF(CH9=0,0,MIN(DaB!$DN9:$DO9)-SUM($C9:CE9)),0)</f>
        <v>0</v>
      </c>
      <c r="CG9" s="29">
        <f>IFERROR(IF(CH9=0,0,IF(DaB!DN9&gt;0,DaB!DO9-DaB!DN9,0)),0)</f>
        <v>0</v>
      </c>
      <c r="CH9" s="33">
        <f>IFERROR(IF(DaB!DP9&gt;0,DaB!DP9-DaB!DO9+1,0),0)</f>
        <v>0</v>
      </c>
      <c r="CI9" s="32">
        <f>IFERROR(IF(CH9=0,0,IF(DaB!DR9&gt;0,DaB!DR9-DaB!DQ9+1,0)),0)</f>
        <v>0</v>
      </c>
      <c r="CJ9" s="30">
        <f>IFERROR(IF(CH9=0,0,IF(DaB!DS9&gt;0,DaB!DS9-MAX(DaB!DP9:DR9),0)),0)</f>
        <v>0</v>
      </c>
      <c r="CK9" s="34">
        <f>IFERROR(IF(CM9=0,0,MIN(DaB!$DU9:$DV9)-SUM($C9:CJ9)),0)</f>
        <v>0</v>
      </c>
      <c r="CL9" s="29">
        <f>IFERROR(IF(CM9=0,0,IF(DaB!DU9&gt;0,DaB!DV9-DaB!DU9,0)),0)</f>
        <v>0</v>
      </c>
      <c r="CM9" s="33">
        <f>IFERROR(IF(DaB!DW9&gt;0,DaB!DW9-DaB!DV9+1,0),0)</f>
        <v>0</v>
      </c>
      <c r="CN9" s="32">
        <f>IFERROR(IF(CM9=0,0,IF(DaB!DY9&gt;0,DaB!DY9-DaB!DX9+1,0)),0)</f>
        <v>0</v>
      </c>
      <c r="CO9" s="30">
        <f>IFERROR(IF(CM9=0,0,IF(DaB!DZ9&gt;0,DaB!DZ9-MAX(DaB!DW9:DY9),0)),0)</f>
        <v>0</v>
      </c>
      <c r="CP9" s="34">
        <f>IFERROR(IF(CR9=0,0,MIN(DaB!$EB9:$EC9)-SUM($C9:CO9)),0)</f>
        <v>0</v>
      </c>
      <c r="CQ9" s="29">
        <f>IFERROR(IF(CR9=0,0,IF(DaB!EB9&gt;0,DaB!EC9-DaB!EB9,0)),0)</f>
        <v>0</v>
      </c>
      <c r="CR9" s="33">
        <f>IFERROR(IF(DaB!ED9&gt;0,DaB!ED9-DaB!EC9+1,0),0)</f>
        <v>0</v>
      </c>
      <c r="CS9" s="32">
        <f>IFERROR(IF(CR9=0,0,IF(DaB!EF9&gt;0,DaB!EF9-DaB!EE9+1,0)),0)</f>
        <v>0</v>
      </c>
      <c r="CT9" s="30">
        <f>IFERROR(IF(CR9=0,0,IF(DaB!EG9&gt;0,DaB!EG9-MAX(DaB!ED9:EF9),0)),0)</f>
        <v>0</v>
      </c>
      <c r="CU9" s="34">
        <f>IFERROR(IF(CW9=0,0,MIN(DaB!$EI9:$EJ9)-SUM($C9:CT9)),0)</f>
        <v>0</v>
      </c>
      <c r="CV9" s="29">
        <f>IFERROR(IF(CW9=0,0,IF(DaB!EI9&gt;0,DaB!EJ9-DaB!EI9,0)),0)</f>
        <v>0</v>
      </c>
      <c r="CW9" s="33">
        <f>IFERROR(IF(DaB!EK9&gt;0,DaB!EK9-DaB!EJ9+1,0),0)</f>
        <v>0</v>
      </c>
      <c r="CX9" s="32">
        <f>IFERROR(IF(CW9=0,0,IF(DaB!EM9&gt;0,DaB!EM9-DaB!EL9+1,0)),0)</f>
        <v>0</v>
      </c>
      <c r="CY9" s="30">
        <f>IFERROR(IF(CW9=0,0,IF(DaB!EN9&gt;0,DaB!EN9-MAX(DaB!EK9:EM9),0)),0)</f>
        <v>0</v>
      </c>
      <c r="DF9" s="2">
        <f t="shared" si="2"/>
        <v>45474</v>
      </c>
      <c r="DG9" s="28" t="e">
        <f>IF(MIN(DaB!EU9:EV9)=DF9,0,
IF(MIN(DaB!EU9:EV9)&gt;DF9,MIN(DaB!EU9:EV9)-DF9,0))</f>
        <v>#REF!</v>
      </c>
      <c r="DH9" s="29" t="str">
        <f>IF(ISNUMBER(DaB!EV9),DaB!EV9-SUM(DF9:DG9),"")</f>
        <v/>
      </c>
      <c r="DI9" s="10" t="e">
        <f>IF(OR(DaB!EV9=0,DaB!EV9=""),"",$DF$1)</f>
        <v>#REF!</v>
      </c>
      <c r="DJ9" s="10"/>
      <c r="DK9" s="11">
        <v>0</v>
      </c>
      <c r="DL9" s="11">
        <v>0</v>
      </c>
      <c r="DM9" s="30" t="e">
        <f>IF(OR(DaB!EZ9=0,DaB!EZ9=""),"",IFERROR(DaB!EZ9-DaB!EV9,0))</f>
        <v>#REF!</v>
      </c>
      <c r="DN9" s="28" t="e">
        <f>(DaB!FC9)-(MAX(DaB!EU9:EW9))</f>
        <v>#REF!</v>
      </c>
      <c r="DO9" s="29" t="e">
        <f>IF(OR(DaB!FB9=0,DaB!FB9=""),"",DaB!FC9-SUM(DF9:DN9))</f>
        <v>#REF!</v>
      </c>
      <c r="DP9" s="10" t="e">
        <f>IF(OR(DaB!FC9=0,DaB!FC9=""),"",$DF$1)</f>
        <v>#REF!</v>
      </c>
      <c r="DQ9" s="10">
        <v>0</v>
      </c>
      <c r="DR9" s="11">
        <v>0</v>
      </c>
      <c r="DS9" s="11">
        <v>0</v>
      </c>
      <c r="DT9" s="30">
        <f>IFERROR(DaB!FG9-SUM(DF9:DS9),0)</f>
        <v>0</v>
      </c>
      <c r="DU9" s="28"/>
      <c r="DV9" s="29"/>
      <c r="DW9" s="10"/>
      <c r="DX9" s="10"/>
      <c r="DY9" s="11"/>
      <c r="DZ9" s="11"/>
      <c r="EA9" s="30"/>
      <c r="EB9" s="28"/>
      <c r="EC9" s="29"/>
      <c r="ED9" s="10"/>
      <c r="EE9" s="10"/>
      <c r="EF9" s="11"/>
      <c r="EG9" s="11"/>
      <c r="EH9" s="30"/>
      <c r="EI9" s="34"/>
      <c r="EJ9" s="29"/>
      <c r="EK9" s="10"/>
      <c r="EL9" s="10"/>
      <c r="EM9" s="30"/>
      <c r="EN9" s="34"/>
      <c r="EO9" s="29"/>
      <c r="EP9" s="47"/>
      <c r="EQ9" s="47"/>
      <c r="ER9" s="30"/>
      <c r="ES9" s="34"/>
      <c r="ET9" s="29"/>
      <c r="EU9" s="47"/>
      <c r="EV9" s="47"/>
      <c r="EW9" s="30"/>
    </row>
    <row r="10" spans="1:153" x14ac:dyDescent="0.2">
      <c r="A10" s="2" t="e">
        <f>DaB!A10</f>
        <v>#REF!</v>
      </c>
      <c r="B10" s="2" t="str">
        <f t="shared" si="3"/>
        <v>.</v>
      </c>
      <c r="C10" s="27">
        <f t="shared" si="1"/>
        <v>45474</v>
      </c>
      <c r="D10" s="34">
        <f>IFERROR(MIN(DaB!F10:K10)-C10,0)</f>
        <v>0</v>
      </c>
      <c r="E10" s="29">
        <f>IFERROR(IF(F10=0,0,IF(DaB!F10&gt;0,DaB!G10-DaB!F10,0)),0)</f>
        <v>0</v>
      </c>
      <c r="F10" s="33">
        <f>IFERROR(IF(DaB!G10&gt;0,DaB!H10-DaB!G10+1,0),0)</f>
        <v>0</v>
      </c>
      <c r="G10" s="32">
        <f>IFERROR(IF(F10=0,0,IF(DaB!J10&gt;0,DaB!J10-DaB!I10+1,0)),0)</f>
        <v>0</v>
      </c>
      <c r="H10" s="30">
        <f>IFERROR(IF(F10=0,0,IF(DaB!K10&gt;0,DaB!K10-MAX(DaB!H10:J10),0)),0)</f>
        <v>0</v>
      </c>
      <c r="I10" s="34">
        <f>IFERROR(IF(K10=0,0,MIN(DaB!$M10:$N10)-SUM($C10:H10)),0)</f>
        <v>0</v>
      </c>
      <c r="J10" s="29">
        <f>IFERROR(IF(K10=0,0,IF(DaB!M10&gt;0,DaB!N10-DaB!M10,0)),0)</f>
        <v>0</v>
      </c>
      <c r="K10" s="33">
        <f>IFERROR(IF(DaB!O10&gt;0,DaB!O10-DaB!N10+1,0),0)</f>
        <v>0</v>
      </c>
      <c r="L10" s="32">
        <f>IFERROR(IF(K10=0,0,IF(DaB!Q10&gt;0,DaB!Q10-DaB!P10+1,0)),0)</f>
        <v>0</v>
      </c>
      <c r="M10" s="30">
        <f>IFERROR(IF(K10=0,0,IF(DaB!R10&gt;0,DaB!R10-MAX(DaB!O10:Q10),0)),0)</f>
        <v>0</v>
      </c>
      <c r="N10" s="31">
        <f>IFERROR(IF(P10=0,0,MIN(DaB!$T10:$U10)-SUM($C10:M10)),0)</f>
        <v>0</v>
      </c>
      <c r="O10" s="29">
        <f>IFERROR(IF(P10=0,0,IF(DaB!T10&gt;0,DaB!U10-DaB!T10,0)),0)</f>
        <v>0</v>
      </c>
      <c r="P10" s="33">
        <f>IFERROR(IF(DaB!V10&gt;0,DaB!V10-DaB!U10+1,0),0)</f>
        <v>0</v>
      </c>
      <c r="Q10" s="32">
        <f>IFERROR(IF(P10=0,0,IF(DaB!X10&gt;0,DaB!X10-DaB!W10+1,0)),0)</f>
        <v>0</v>
      </c>
      <c r="R10" s="30">
        <f>IFERROR(IF(P10=0,0,IF(DaB!Y10&gt;0,DaB!Y10-MAX(DaB!V10:X10),0)),0)</f>
        <v>0</v>
      </c>
      <c r="S10" s="34">
        <f>IFERROR(IF(U10=0,0,MIN(DaB!$AA10:$AB10)-SUM($C10:R10)),0)</f>
        <v>0</v>
      </c>
      <c r="T10" s="29">
        <f>IFERROR(IF(U10=0,0,IF(DaB!AA10&gt;0,DaB!AB10-DaB!AA10,0)),0)</f>
        <v>0</v>
      </c>
      <c r="U10" s="33">
        <f>IFERROR(IF(DaB!AC10&gt;0,DaB!AC10-DaB!AB10+1,0),0)</f>
        <v>0</v>
      </c>
      <c r="V10" s="32">
        <f>IFERROR(IF(U10=0,0,IF(DaB!AE10&gt;0,DaB!AE10-DaB!AD10+1,0)),0)</f>
        <v>0</v>
      </c>
      <c r="W10" s="30">
        <f>IFERROR(IF(U10=0,0,IF(DaB!AF10&gt;0,DaB!AF10-MAX(DaB!AC10:AE10),0)),0)</f>
        <v>0</v>
      </c>
      <c r="X10" s="34">
        <f>IFERROR(IF(Z10=0,0,MIN(DaB!$AH10:$AI10)-SUM($C10:W10)),0)</f>
        <v>0</v>
      </c>
      <c r="Y10" s="29">
        <f>IFERROR(IF(Z10=0,0,IF(DaB!AH10&gt;0,DaB!AI10-DaB!AH10,0)),0)</f>
        <v>0</v>
      </c>
      <c r="Z10" s="33">
        <f>IFERROR(IF(DaB!AJ10&gt;0,DaB!AJ10-DaB!AI10+1,0),0)</f>
        <v>0</v>
      </c>
      <c r="AA10" s="32">
        <f>IFERROR(IF(Z10=0,0,IF(DaB!AL10&gt;0,DaB!AL10-DaB!AK10+1,0)),0)</f>
        <v>0</v>
      </c>
      <c r="AB10" s="30">
        <f>IFERROR(IF(Z10=0,0,IF(DaB!AM10&gt;0,DaB!AM10-MAX(DaB!AJ10:AL10),0)),0)</f>
        <v>0</v>
      </c>
      <c r="AC10" s="34">
        <f>IFERROR(IF(AE10=0,0,MIN(DaB!$AO10:$AP10)-SUM($C10:AB10)),0)</f>
        <v>0</v>
      </c>
      <c r="AD10" s="29">
        <f>IFERROR(IF(AE10=0,0,IF(DaB!AO10&gt;0,DaB!AP10-DaB!AO10,0)),0)</f>
        <v>0</v>
      </c>
      <c r="AE10" s="33">
        <f>IFERROR(IF(DaB!AQ10&gt;0,DaB!AQ10-DaB!AP10+1,0),0)</f>
        <v>0</v>
      </c>
      <c r="AF10" s="32">
        <f>IFERROR(IF(AE10=0,0,IF(DaB!AS10&gt;0,DaB!AS10-DaB!AR10+1,0)),0)</f>
        <v>0</v>
      </c>
      <c r="AG10" s="30">
        <f>IFERROR(IF(AE10=0,0,IF(DaB!AT10&gt;0,DaB!AT10-MAX(DaB!AQ10:AS10),0)),0)</f>
        <v>0</v>
      </c>
      <c r="AH10" s="34">
        <f>IFERROR(IF(AJ10=0,0,MIN(DaB!$AV10:$AW10)-SUM($C10:AG10)),0)</f>
        <v>0</v>
      </c>
      <c r="AI10" s="29">
        <f>IFERROR(IF(AJ10=0,0,IF(DaB!AV10&gt;0,DaB!AW10-DaB!AV10,0)),0)</f>
        <v>0</v>
      </c>
      <c r="AJ10" s="33">
        <f>IFERROR(IF(DaB!AX10&gt;0,DaB!AX10-DaB!AW10+1,0),0)</f>
        <v>0</v>
      </c>
      <c r="AK10" s="32">
        <f>IFERROR(IF(AJ10=0,0,IF(DaB!AZ10&gt;0,DaB!AZ10-DaB!AY10+1,0)),0)</f>
        <v>0</v>
      </c>
      <c r="AL10" s="30">
        <f>IFERROR(IF(AJ10=0,0,IF(DaB!BA10&gt;0,DaB!BA10-MAX(DaB!AX10:AZ10),0)),0)</f>
        <v>0</v>
      </c>
      <c r="AM10" s="34">
        <f>IFERROR(IF(AO10=0,0,MIN(DaB!$BC10:$BD10)-SUM($C10:AL10)),0)</f>
        <v>0</v>
      </c>
      <c r="AN10" s="29">
        <f>IFERROR(IF(AO10=0,0,IF(DaB!BC10&gt;0,DaB!BD10-DaB!BC10,0)),0)</f>
        <v>0</v>
      </c>
      <c r="AO10" s="33">
        <f>IFERROR(IF(DaB!BE10&gt;0,DaB!BE10-DaB!BD10+1,0),0)</f>
        <v>0</v>
      </c>
      <c r="AP10" s="32">
        <f>IFERROR(IF(AO10=0,0,IF(DaB!BG10&gt;0,DaB!BG10-DaB!BF10+1,0)),0)</f>
        <v>0</v>
      </c>
      <c r="AQ10" s="30">
        <f>IFERROR(IF(AO10=0,0,IF(DaB!BH10&gt;0,DaB!BH10-MAX(DaB!BE10:BG10),0)),0)</f>
        <v>0</v>
      </c>
      <c r="AR10" s="34">
        <f>IFERROR(IF(AT10=0,0,MIN(DaB!$BJ10:$BK10)-SUM($C10:AQ10)),0)</f>
        <v>0</v>
      </c>
      <c r="AS10" s="29">
        <f>IFERROR(IF(AT10=0,0,IF(DaB!BJ10&gt;0,DaB!BK10-DaB!BJ10,0)),0)</f>
        <v>0</v>
      </c>
      <c r="AT10" s="33">
        <f>IFERROR(IF(DaB!BL10&gt;0,DaB!BL10-DaB!BK10+1,0),0)</f>
        <v>0</v>
      </c>
      <c r="AU10" s="32">
        <f>IFERROR(IF(AT10=0,0,IF(DaB!BN10&gt;0,DaB!BN10-DaB!BM10+1,0)),0)</f>
        <v>0</v>
      </c>
      <c r="AV10" s="30">
        <f>IFERROR(IF(AT10=0,0,IF(DaB!BO10&gt;0,DaB!BO10-MAX(DaB!BL10:BN10),0)),0)</f>
        <v>0</v>
      </c>
      <c r="AW10" s="34">
        <f>IFERROR(IF(AY10=0,0,MIN(DaB!$BQ10:$BR10)-SUM($C10:AV10)),0)</f>
        <v>0</v>
      </c>
      <c r="AX10" s="29">
        <f>IFERROR(IF(AY10=0,0,IF(DaB!BQ10&gt;0,DaB!BR10-DaB!BQ10,0)),0)</f>
        <v>0</v>
      </c>
      <c r="AY10" s="33">
        <f>IFERROR(IF(DaB!BS10&gt;0,DaB!BS10-DaB!BR10+1,0),0)</f>
        <v>0</v>
      </c>
      <c r="AZ10" s="32">
        <f>IFERROR(IF(AY10=0,0,IF(DaB!BU10&gt;0,DaB!BU10-DaB!BT10+1,0)),0)</f>
        <v>0</v>
      </c>
      <c r="BA10" s="30">
        <f>IFERROR(IF(AY10=0,0,IF(DaB!BV10&gt;0,DaB!BV10-MAX(DaB!BS10:BU10),0)),0)</f>
        <v>0</v>
      </c>
      <c r="BB10" s="34">
        <f>IFERROR(IF(BD10=0,0,MIN(DaB!$BX10:$BY10)-SUM($C10:BA10)),0)</f>
        <v>0</v>
      </c>
      <c r="BC10" s="29">
        <f>IFERROR(IF(BD10=0,0,IF(DaB!BX10&gt;0,DaB!BY10-DaB!BX10,0)),0)</f>
        <v>0</v>
      </c>
      <c r="BD10" s="33">
        <f>IFERROR(IF(DaB!BZ10&gt;0,DaB!BZ10-DaB!BY10+1,0),0)</f>
        <v>0</v>
      </c>
      <c r="BE10" s="32">
        <f>IFERROR(IF(BD10=0,0,IF(DaB!CB10&gt;0,DaB!CB10-DaB!CA10+1,0)),0)</f>
        <v>0</v>
      </c>
      <c r="BF10" s="30">
        <f>IFERROR(IF(BD10=0,0,IF(DaB!CC10&gt;0,DaB!CC10-MAX(DaB!BZ10:CB10),0)),0)</f>
        <v>0</v>
      </c>
      <c r="BG10" s="34">
        <f>IFERROR(IF(BI10=0,0,MIN(DaB!$CE10:$CF10)-SUM($C10:BF10)),0)</f>
        <v>0</v>
      </c>
      <c r="BH10" s="29">
        <f>IFERROR(IF(BI10=0,0,IF(DaB!CE10&gt;0,DaB!CF10-DaB!CE10,0)),0)</f>
        <v>0</v>
      </c>
      <c r="BI10" s="33">
        <f>IFERROR(IF(DaB!CG10&gt;0,DaB!CG10-DaB!CF10+1,0),0)</f>
        <v>0</v>
      </c>
      <c r="BJ10" s="32">
        <f>IFERROR(IF(BI10=0,0,IF(DaB!CI10&gt;0,DaB!CI10-DaB!CH10+1,0)),0)</f>
        <v>0</v>
      </c>
      <c r="BK10" s="30">
        <f>IFERROR(IF(BI10=0,0,IF(DaB!CJ10&gt;0,DaB!CJ10-MAX(DaB!CG10:CI10),0)),0)</f>
        <v>0</v>
      </c>
      <c r="BL10" s="34">
        <f>IFERROR(IF(BN10=0,0,MIN(DaB!$CL10:$CM10)-SUM($C10:BK10)),0)</f>
        <v>0</v>
      </c>
      <c r="BM10" s="29">
        <f>IFERROR(IF(BN10=0,0,IF(DaB!CL10&gt;0,DaB!CM10-DaB!CL10,0)),0)</f>
        <v>0</v>
      </c>
      <c r="BN10" s="33">
        <f>IFERROR(IF(DaB!CN10&gt;0,DaB!CN10-DaB!CM10+1,0),0)</f>
        <v>0</v>
      </c>
      <c r="BO10" s="32">
        <f>IFERROR(IF(BN10=0,0,IF(DaB!CP10&gt;0,DaB!CP10-DaB!CO10+1,0)),0)</f>
        <v>0</v>
      </c>
      <c r="BP10" s="30">
        <f>IFERROR(IF(BN10=0,0,IF(DaB!CQ10&gt;0,DaB!CQ10-MAX(DaB!CN10:CP10),0)),0)</f>
        <v>0</v>
      </c>
      <c r="BQ10" s="34">
        <f>IFERROR(IF(BS10=0,0,MIN(DaB!$CS10:$CT10)-SUM($C10:BP10)),0)</f>
        <v>0</v>
      </c>
      <c r="BR10" s="29">
        <f>IFERROR(IF(BS10=0,0,IF(DaB!CS10&gt;0,DaB!CT10-DaB!CS10,0)),0)</f>
        <v>0</v>
      </c>
      <c r="BS10" s="33">
        <f>IFERROR(IF(DaB!CU10&gt;0,DaB!CU10-DaB!CT10+1,0),0)</f>
        <v>0</v>
      </c>
      <c r="BT10" s="32">
        <f>IFERROR(IF(BS10=0,0,IF(DaB!CW10&gt;0,DaB!CW10-DaB!CV10+1,0)),0)</f>
        <v>0</v>
      </c>
      <c r="BU10" s="30">
        <f>IFERROR(IF(BS10=0,0,IF(DaB!CX10&gt;0,DaB!CX10-MAX(DaB!CU10:CW10),0)),0)</f>
        <v>0</v>
      </c>
      <c r="BV10" s="34">
        <f>IFERROR(IF(BX10=0,0,MIN(DaB!$CZ10:$DA10)-SUM($C10:BU10)),0)</f>
        <v>0</v>
      </c>
      <c r="BW10" s="29">
        <f>IFERROR(IF(BX10=0,0,IF(DaB!CZ10&gt;0,DaB!DA10-DaB!CZ10,0)),0)</f>
        <v>0</v>
      </c>
      <c r="BX10" s="33">
        <f>IFERROR(IF(DaB!DB10&gt;0,DaB!DB10-DaB!DA10+1,0),0)</f>
        <v>0</v>
      </c>
      <c r="BY10" s="32">
        <f>IFERROR(IF(BX10=0,0,IF(DaB!DD10&gt;0,DaB!DD10-DaB!DC10+1,0)),0)</f>
        <v>0</v>
      </c>
      <c r="BZ10" s="30">
        <f>IFERROR(IF(BX10=0,0,IF(DaB!DE10&gt;0,DaB!DE10-MAX(DaB!DB10:DD10),0)),0)</f>
        <v>0</v>
      </c>
      <c r="CA10" s="34">
        <f>IFERROR(IF(CC10=0,0,MIN(DaB!$DG10:$DH10)-SUM($C10:BZ10)),0)</f>
        <v>0</v>
      </c>
      <c r="CB10" s="29">
        <f>IFERROR(IF(CC10=0,0,IF(DaB!DG10&gt;0,DaB!DH10-DaB!DG10,0)),0)</f>
        <v>0</v>
      </c>
      <c r="CC10" s="33">
        <f>IFERROR(IF(DaB!DI10&gt;0,DaB!DI10-DaB!DH10+1,0),0)</f>
        <v>0</v>
      </c>
      <c r="CD10" s="32">
        <f>IFERROR(IF(CC10=0,0,IF(DaB!DK10&gt;0,DaB!DK10-DaB!DJ10+1,0)),0)</f>
        <v>0</v>
      </c>
      <c r="CE10" s="30">
        <f>IFERROR(IF(CC10=0,0,IF(DaB!DL10&gt;0,DaB!DL10-MAX(DaB!DI10:DK10),0)),0)</f>
        <v>0</v>
      </c>
      <c r="CF10" s="34">
        <f>IFERROR(IF(CH10=0,0,MIN(DaB!$DN10:$DO10)-SUM($C10:CE10)),0)</f>
        <v>0</v>
      </c>
      <c r="CG10" s="29">
        <f>IFERROR(IF(CH10=0,0,IF(DaB!DN10&gt;0,DaB!DO10-DaB!DN10,0)),0)</f>
        <v>0</v>
      </c>
      <c r="CH10" s="33">
        <f>IFERROR(IF(DaB!DP10&gt;0,DaB!DP10-DaB!DO10+1,0),0)</f>
        <v>0</v>
      </c>
      <c r="CI10" s="32">
        <f>IFERROR(IF(CH10=0,0,IF(DaB!DR10&gt;0,DaB!DR10-DaB!DQ10+1,0)),0)</f>
        <v>0</v>
      </c>
      <c r="CJ10" s="30">
        <f>IFERROR(IF(CH10=0,0,IF(DaB!DS10&gt;0,DaB!DS10-MAX(DaB!DP10:DR10),0)),0)</f>
        <v>0</v>
      </c>
      <c r="CK10" s="34">
        <f>IFERROR(IF(CM10=0,0,MIN(DaB!$DU10:$DV10)-SUM($C10:CJ10)),0)</f>
        <v>0</v>
      </c>
      <c r="CL10" s="29">
        <f>IFERROR(IF(CM10=0,0,IF(DaB!DU10&gt;0,DaB!DV10-DaB!DU10,0)),0)</f>
        <v>0</v>
      </c>
      <c r="CM10" s="33">
        <f>IFERROR(IF(DaB!DW10&gt;0,DaB!DW10-DaB!DV10+1,0),0)</f>
        <v>0</v>
      </c>
      <c r="CN10" s="32">
        <f>IFERROR(IF(CM10=0,0,IF(DaB!DY10&gt;0,DaB!DY10-DaB!DX10+1,0)),0)</f>
        <v>0</v>
      </c>
      <c r="CO10" s="30">
        <f>IFERROR(IF(CM10=0,0,IF(DaB!DZ10&gt;0,DaB!DZ10-MAX(DaB!DW10:DY10),0)),0)</f>
        <v>0</v>
      </c>
      <c r="CP10" s="34">
        <f>IFERROR(IF(CR10=0,0,MIN(DaB!$EB10:$EC10)-SUM($C10:CO10)),0)</f>
        <v>0</v>
      </c>
      <c r="CQ10" s="29">
        <f>IFERROR(IF(CR10=0,0,IF(DaB!EB10&gt;0,DaB!EC10-DaB!EB10,0)),0)</f>
        <v>0</v>
      </c>
      <c r="CR10" s="33">
        <f>IFERROR(IF(DaB!ED10&gt;0,DaB!ED10-DaB!EC10+1,0),0)</f>
        <v>0</v>
      </c>
      <c r="CS10" s="32">
        <f>IFERROR(IF(CR10=0,0,IF(DaB!EF10&gt;0,DaB!EF10-DaB!EE10+1,0)),0)</f>
        <v>0</v>
      </c>
      <c r="CT10" s="30">
        <f>IFERROR(IF(CR10=0,0,IF(DaB!EG10&gt;0,DaB!EG10-MAX(DaB!ED10:EF10),0)),0)</f>
        <v>0</v>
      </c>
      <c r="CU10" s="34">
        <f>IFERROR(IF(CW10=0,0,MIN(DaB!$EI10:$EJ10)-SUM($C10:CT10)),0)</f>
        <v>0</v>
      </c>
      <c r="CV10" s="29">
        <f>IFERROR(IF(CW10=0,0,IF(DaB!EI10&gt;0,DaB!EJ10-DaB!EI10,0)),0)</f>
        <v>0</v>
      </c>
      <c r="CW10" s="33">
        <f>IFERROR(IF(DaB!EK10&gt;0,DaB!EK10-DaB!EJ10+1,0),0)</f>
        <v>0</v>
      </c>
      <c r="CX10" s="32">
        <f>IFERROR(IF(CW10=0,0,IF(DaB!EM10&gt;0,DaB!EM10-DaB!EL10+1,0)),0)</f>
        <v>0</v>
      </c>
      <c r="CY10" s="30">
        <f>IFERROR(IF(CW10=0,0,IF(DaB!EN10&gt;0,DaB!EN10-MAX(DaB!EK10:EM10),0)),0)</f>
        <v>0</v>
      </c>
      <c r="DF10" s="2">
        <f t="shared" si="2"/>
        <v>45474</v>
      </c>
      <c r="DG10" s="28" t="e">
        <f>IF(MIN(DaB!EU10:EV10)=DF10,0,
IF(MIN(DaB!EU10:EV10)&gt;DF10,MIN(DaB!EU10:EV10)-DF9,0))</f>
        <v>#REF!</v>
      </c>
      <c r="DH10" s="29" t="str">
        <f>IF(ISNUMBER(DaB!EV10),DaB!EV10-SUM(DF10:DG10),"")</f>
        <v/>
      </c>
      <c r="DI10" s="10" t="e">
        <f>IF(OR(DaB!EV10=0,DaB!EV10=""),"",$DF$1)</f>
        <v>#REF!</v>
      </c>
      <c r="DJ10" s="10"/>
      <c r="DK10" s="11">
        <v>0</v>
      </c>
      <c r="DL10" s="11">
        <v>0</v>
      </c>
      <c r="DM10" s="30" t="e">
        <f>IF(OR(DaB!EZ10=0,DaB!EZ10=""),"",IFERROR(DaB!EZ10-DaB!EV10,0))</f>
        <v>#REF!</v>
      </c>
      <c r="DN10" s="28" t="e">
        <f>(DaB!FC10)-(MAX(DaB!EU10:EW10))</f>
        <v>#REF!</v>
      </c>
      <c r="DO10" s="29" t="e">
        <f>IF(OR(DaB!FB10=0,DaB!FB10=""),"",DaB!FC10-SUM(DF10:DN10))</f>
        <v>#REF!</v>
      </c>
      <c r="DP10" s="10" t="e">
        <f>IF(OR(DaB!FC10=0,DaB!FC10=""),"",$DF$1)</f>
        <v>#REF!</v>
      </c>
      <c r="DQ10" s="10">
        <v>0</v>
      </c>
      <c r="DR10" s="11">
        <v>0</v>
      </c>
      <c r="DS10" s="11">
        <v>0</v>
      </c>
      <c r="DT10" s="30">
        <f>IFERROR(DaB!FG10-SUM(DF10:DS10),0)</f>
        <v>0</v>
      </c>
      <c r="DU10" s="28"/>
      <c r="DV10" s="29"/>
      <c r="DW10" s="10"/>
      <c r="DX10" s="10"/>
      <c r="DY10" s="11"/>
      <c r="DZ10" s="11"/>
      <c r="EA10" s="30"/>
      <c r="EB10" s="28"/>
      <c r="EC10" s="29"/>
      <c r="ED10" s="10"/>
      <c r="EE10" s="10"/>
      <c r="EF10" s="11"/>
      <c r="EG10" s="11"/>
      <c r="EH10" s="30"/>
      <c r="EI10" s="34"/>
      <c r="EJ10" s="29"/>
      <c r="EK10" s="10"/>
      <c r="EL10" s="10"/>
      <c r="EM10" s="30"/>
      <c r="EN10" s="34"/>
      <c r="EO10" s="29"/>
      <c r="EP10" s="47"/>
      <c r="EQ10" s="47"/>
      <c r="ER10" s="30"/>
      <c r="ES10" s="34"/>
      <c r="ET10" s="29"/>
      <c r="EU10" s="47"/>
      <c r="EV10" s="47"/>
      <c r="EW10" s="30"/>
    </row>
    <row r="11" spans="1:153" x14ac:dyDescent="0.2">
      <c r="A11" s="2" t="e">
        <f>DaB!A11</f>
        <v>#REF!</v>
      </c>
      <c r="B11" s="2" t="str">
        <f t="shared" si="3"/>
        <v>.</v>
      </c>
      <c r="C11" s="27">
        <f t="shared" si="1"/>
        <v>45474</v>
      </c>
      <c r="D11" s="34">
        <f>IFERROR(MIN(DaB!F11:K11)-C11,0)</f>
        <v>0</v>
      </c>
      <c r="E11" s="29">
        <f>IFERROR(IF(F11=0,0,IF(DaB!F11&gt;0,DaB!G11-DaB!F11,0)),0)</f>
        <v>0</v>
      </c>
      <c r="F11" s="33">
        <f>IFERROR(IF(DaB!G11&gt;0,DaB!H11-DaB!G11+1,0),0)</f>
        <v>0</v>
      </c>
      <c r="G11" s="32">
        <f>IFERROR(IF(F11=0,0,IF(DaB!J11&gt;0,DaB!J11-DaB!I11+1,0)),0)</f>
        <v>0</v>
      </c>
      <c r="H11" s="30">
        <f>IFERROR(IF(F11=0,0,IF(DaB!K11&gt;0,DaB!K11-MAX(DaB!H11:J11),0)),0)</f>
        <v>0</v>
      </c>
      <c r="I11" s="34">
        <f>IFERROR(IF(K11=0,0,MIN(DaB!$M11:$N11)-SUM($C11:H11)),0)</f>
        <v>0</v>
      </c>
      <c r="J11" s="29">
        <f>IFERROR(IF(K11=0,0,IF(DaB!M11&gt;0,DaB!N11-DaB!M11,0)),0)</f>
        <v>0</v>
      </c>
      <c r="K11" s="33">
        <f>IFERROR(IF(DaB!O11&gt;0,DaB!O11-DaB!N11+1,0),0)</f>
        <v>0</v>
      </c>
      <c r="L11" s="32">
        <f>IFERROR(IF(K11=0,0,IF(DaB!Q11&gt;0,DaB!Q11-DaB!P11+1,0)),0)</f>
        <v>0</v>
      </c>
      <c r="M11" s="30">
        <f>IFERROR(IF(K11=0,0,IF(DaB!R11&gt;0,DaB!R11-MAX(DaB!O11:Q11),0)),0)</f>
        <v>0</v>
      </c>
      <c r="N11" s="31">
        <f>IFERROR(IF(P11=0,0,MIN(DaB!$T11:$U11)-SUM($C11:M11)),0)</f>
        <v>0</v>
      </c>
      <c r="O11" s="29">
        <f>IFERROR(IF(P11=0,0,IF(DaB!T11&gt;0,DaB!U11-DaB!T11,0)),0)</f>
        <v>0</v>
      </c>
      <c r="P11" s="33">
        <f>IFERROR(IF(DaB!V11&gt;0,DaB!V11-DaB!U11+1,0),0)</f>
        <v>0</v>
      </c>
      <c r="Q11" s="32">
        <f>IFERROR(IF(P11=0,0,IF(DaB!X11&gt;0,DaB!X11-DaB!W11+1,0)),0)</f>
        <v>0</v>
      </c>
      <c r="R11" s="30">
        <f>IFERROR(IF(P11=0,0,IF(DaB!Y11&gt;0,DaB!Y11-MAX(DaB!V11:X11),0)),0)</f>
        <v>0</v>
      </c>
      <c r="S11" s="34">
        <f>IFERROR(IF(U11=0,0,MIN(DaB!$AA11:$AB11)-SUM($C11:R11)),0)</f>
        <v>0</v>
      </c>
      <c r="T11" s="29">
        <f>IFERROR(IF(U11=0,0,IF(DaB!AA11&gt;0,DaB!AB11-DaB!AA11,0)),0)</f>
        <v>0</v>
      </c>
      <c r="U11" s="33">
        <f>IFERROR(IF(DaB!AC11&gt;0,DaB!AC11-DaB!AB11+1,0),0)</f>
        <v>0</v>
      </c>
      <c r="V11" s="32">
        <f>IFERROR(IF(U11=0,0,IF(DaB!AE11&gt;0,DaB!AE11-DaB!AD11+1,0)),0)</f>
        <v>0</v>
      </c>
      <c r="W11" s="30">
        <f>IFERROR(IF(U11=0,0,IF(DaB!AF11&gt;0,DaB!AF11-MAX(DaB!AC11:AE11),0)),0)</f>
        <v>0</v>
      </c>
      <c r="X11" s="34">
        <f>IFERROR(IF(Z11=0,0,MIN(DaB!$AH11:$AI11)-SUM($C11:W11)),0)</f>
        <v>0</v>
      </c>
      <c r="Y11" s="29">
        <f>IFERROR(IF(Z11=0,0,IF(DaB!AH11&gt;0,DaB!AI11-DaB!AH11,0)),0)</f>
        <v>0</v>
      </c>
      <c r="Z11" s="33">
        <f>IFERROR(IF(DaB!AJ11&gt;0,DaB!AJ11-DaB!AI11+1,0),0)</f>
        <v>0</v>
      </c>
      <c r="AA11" s="32">
        <f>IFERROR(IF(Z11=0,0,IF(DaB!AL11&gt;0,DaB!AL11-DaB!AK11+1,0)),0)</f>
        <v>0</v>
      </c>
      <c r="AB11" s="30">
        <f>IFERROR(IF(Z11=0,0,IF(DaB!AM11&gt;0,DaB!AM11-MAX(DaB!AJ11:AL11),0)),0)</f>
        <v>0</v>
      </c>
      <c r="AC11" s="34">
        <f>IFERROR(IF(AE11=0,0,MIN(DaB!$AO11:$AP11)-SUM($C11:AB11)),0)</f>
        <v>0</v>
      </c>
      <c r="AD11" s="29">
        <f>IFERROR(IF(AE11=0,0,IF(DaB!AO11&gt;0,DaB!AP11-DaB!AO11,0)),0)</f>
        <v>0</v>
      </c>
      <c r="AE11" s="33">
        <f>IFERROR(IF(DaB!AQ11&gt;0,DaB!AQ11-DaB!AP11+1,0),0)</f>
        <v>0</v>
      </c>
      <c r="AF11" s="32">
        <f>IFERROR(IF(AE11=0,0,IF(DaB!AS11&gt;0,DaB!AS11-DaB!AR11+1,0)),0)</f>
        <v>0</v>
      </c>
      <c r="AG11" s="30">
        <f>IFERROR(IF(AE11=0,0,IF(DaB!AT11&gt;0,DaB!AT11-MAX(DaB!AQ11:AS11),0)),0)</f>
        <v>0</v>
      </c>
      <c r="AH11" s="34">
        <f>IFERROR(IF(AJ11=0,0,MIN(DaB!$AV11:$AW11)-SUM($C11:AG11)),0)</f>
        <v>0</v>
      </c>
      <c r="AI11" s="29">
        <f>IFERROR(IF(AJ11=0,0,IF(DaB!AV11&gt;0,DaB!AW11-DaB!AV11,0)),0)</f>
        <v>0</v>
      </c>
      <c r="AJ11" s="33">
        <f>IFERROR(IF(DaB!AX11&gt;0,DaB!AX11-DaB!AW11+1,0),0)</f>
        <v>0</v>
      </c>
      <c r="AK11" s="32">
        <f>IFERROR(IF(AJ11=0,0,IF(DaB!AZ11&gt;0,DaB!AZ11-DaB!AY11+1,0)),0)</f>
        <v>0</v>
      </c>
      <c r="AL11" s="30">
        <f>IFERROR(IF(AJ11=0,0,IF(DaB!BA11&gt;0,DaB!BA11-MAX(DaB!AX11:AZ11),0)),0)</f>
        <v>0</v>
      </c>
      <c r="AM11" s="34">
        <f>IFERROR(IF(AO11=0,0,MIN(DaB!$BC11:$BD11)-SUM($C11:AL11)),0)</f>
        <v>0</v>
      </c>
      <c r="AN11" s="29">
        <f>IFERROR(IF(AO11=0,0,IF(DaB!BC11&gt;0,DaB!BD11-DaB!BC11,0)),0)</f>
        <v>0</v>
      </c>
      <c r="AO11" s="33">
        <f>IFERROR(IF(DaB!BE11&gt;0,DaB!BE11-DaB!BD11+1,0),0)</f>
        <v>0</v>
      </c>
      <c r="AP11" s="32">
        <f>IFERROR(IF(AO11=0,0,IF(DaB!BG11&gt;0,DaB!BG11-DaB!BF11+1,0)),0)</f>
        <v>0</v>
      </c>
      <c r="AQ11" s="30">
        <f>IFERROR(IF(AO11=0,0,IF(DaB!BH11&gt;0,DaB!BH11-MAX(DaB!BE11:BG11),0)),0)</f>
        <v>0</v>
      </c>
      <c r="AR11" s="34">
        <f>IFERROR(IF(AT11=0,0,MIN(DaB!$BJ11:$BK11)-SUM($C11:AQ11)),0)</f>
        <v>0</v>
      </c>
      <c r="AS11" s="29">
        <f>IFERROR(IF(AT11=0,0,IF(DaB!BJ11&gt;0,DaB!BK11-DaB!BJ11,0)),0)</f>
        <v>0</v>
      </c>
      <c r="AT11" s="33">
        <f>IFERROR(IF(DaB!BL11&gt;0,DaB!BL11-DaB!BK11+1,0),0)</f>
        <v>0</v>
      </c>
      <c r="AU11" s="32">
        <f>IFERROR(IF(AT11=0,0,IF(DaB!BN11&gt;0,DaB!BN11-DaB!BM11+1,0)),0)</f>
        <v>0</v>
      </c>
      <c r="AV11" s="30">
        <f>IFERROR(IF(AT11=0,0,IF(DaB!BO11&gt;0,DaB!BO11-MAX(DaB!BL11:BN11),0)),0)</f>
        <v>0</v>
      </c>
      <c r="AW11" s="34">
        <f>IFERROR(IF(AY11=0,0,MIN(DaB!$BQ11:$BR11)-SUM($C11:AV11)),0)</f>
        <v>0</v>
      </c>
      <c r="AX11" s="29">
        <f>IFERROR(IF(AY11=0,0,IF(DaB!BQ11&gt;0,DaB!BR11-DaB!BQ11,0)),0)</f>
        <v>0</v>
      </c>
      <c r="AY11" s="33">
        <f>IFERROR(IF(DaB!BS11&gt;0,DaB!BS11-DaB!BR11+1,0),0)</f>
        <v>0</v>
      </c>
      <c r="AZ11" s="32">
        <f>IFERROR(IF(AY11=0,0,IF(DaB!BU11&gt;0,DaB!BU11-DaB!BT11+1,0)),0)</f>
        <v>0</v>
      </c>
      <c r="BA11" s="30">
        <f>IFERROR(IF(AY11=0,0,IF(DaB!BV11&gt;0,DaB!BV11-MAX(DaB!BS11:BU11),0)),0)</f>
        <v>0</v>
      </c>
      <c r="BB11" s="34">
        <f>IFERROR(IF(BD11=0,0,MIN(DaB!$BX11:$BY11)-SUM($C11:BA11)),0)</f>
        <v>0</v>
      </c>
      <c r="BC11" s="29">
        <f>IFERROR(IF(BD11=0,0,IF(DaB!BX11&gt;0,DaB!BY11-DaB!BX11,0)),0)</f>
        <v>0</v>
      </c>
      <c r="BD11" s="33">
        <f>IFERROR(IF(DaB!BZ11&gt;0,DaB!BZ11-DaB!BY11+1,0),0)</f>
        <v>0</v>
      </c>
      <c r="BE11" s="32">
        <f>IFERROR(IF(BD11=0,0,IF(DaB!CB11&gt;0,DaB!CB11-DaB!CA11+1,0)),0)</f>
        <v>0</v>
      </c>
      <c r="BF11" s="30">
        <f>IFERROR(IF(BD11=0,0,IF(DaB!CC11&gt;0,DaB!CC11-MAX(DaB!BZ11:CB11),0)),0)</f>
        <v>0</v>
      </c>
      <c r="BG11" s="34">
        <f>IFERROR(IF(BI11=0,0,MIN(DaB!$CE11:$CF11)-SUM($C11:BF11)),0)</f>
        <v>0</v>
      </c>
      <c r="BH11" s="29">
        <f>IFERROR(IF(BI11=0,0,IF(DaB!CE11&gt;0,DaB!CF11-DaB!CE11,0)),0)</f>
        <v>0</v>
      </c>
      <c r="BI11" s="33">
        <f>IFERROR(IF(DaB!CG11&gt;0,DaB!CG11-DaB!CF11+1,0),0)</f>
        <v>0</v>
      </c>
      <c r="BJ11" s="32">
        <f>IFERROR(IF(BI11=0,0,IF(DaB!CI11&gt;0,DaB!CI11-DaB!CH11+1,0)),0)</f>
        <v>0</v>
      </c>
      <c r="BK11" s="30">
        <f>IFERROR(IF(BI11=0,0,IF(DaB!CJ11&gt;0,DaB!CJ11-MAX(DaB!CG11:CI11),0)),0)</f>
        <v>0</v>
      </c>
      <c r="BL11" s="34">
        <f>IFERROR(IF(BN11=0,0,MIN(DaB!$CL11:$CM11)-SUM($C11:BK11)),0)</f>
        <v>0</v>
      </c>
      <c r="BM11" s="29">
        <f>IFERROR(IF(BN11=0,0,IF(DaB!CL11&gt;0,DaB!CM11-DaB!CL11,0)),0)</f>
        <v>0</v>
      </c>
      <c r="BN11" s="33">
        <f>IFERROR(IF(DaB!CN11&gt;0,DaB!CN11-DaB!CM11+1,0),0)</f>
        <v>0</v>
      </c>
      <c r="BO11" s="32">
        <f>IFERROR(IF(BN11=0,0,IF(DaB!CP11&gt;0,DaB!CP11-DaB!CO11+1,0)),0)</f>
        <v>0</v>
      </c>
      <c r="BP11" s="30">
        <f>IFERROR(IF(BN11=0,0,IF(DaB!CQ11&gt;0,DaB!CQ11-MAX(DaB!CN11:CP11),0)),0)</f>
        <v>0</v>
      </c>
      <c r="BQ11" s="34">
        <f>IFERROR(IF(BS11=0,0,MIN(DaB!$CS11:$CT11)-SUM($C11:BP11)),0)</f>
        <v>0</v>
      </c>
      <c r="BR11" s="29">
        <f>IFERROR(IF(BS11=0,0,IF(DaB!CS11&gt;0,DaB!CT11-DaB!CS11,0)),0)</f>
        <v>0</v>
      </c>
      <c r="BS11" s="33">
        <f>IFERROR(IF(DaB!CU11&gt;0,DaB!CU11-DaB!CT11+1,0),0)</f>
        <v>0</v>
      </c>
      <c r="BT11" s="32">
        <f>IFERROR(IF(BS11=0,0,IF(DaB!CW11&gt;0,DaB!CW11-DaB!CV11+1,0)),0)</f>
        <v>0</v>
      </c>
      <c r="BU11" s="30">
        <f>IFERROR(IF(BS11=0,0,IF(DaB!CX11&gt;0,DaB!CX11-MAX(DaB!CU11:CW11),0)),0)</f>
        <v>0</v>
      </c>
      <c r="BV11" s="34">
        <f>IFERROR(IF(BX11=0,0,MIN(DaB!$CZ11:$DA11)-SUM($C11:BU11)),0)</f>
        <v>0</v>
      </c>
      <c r="BW11" s="29">
        <f>IFERROR(IF(BX11=0,0,IF(DaB!CZ11&gt;0,DaB!DA11-DaB!CZ11,0)),0)</f>
        <v>0</v>
      </c>
      <c r="BX11" s="33">
        <f>IFERROR(IF(DaB!DB11&gt;0,DaB!DB11-DaB!DA11+1,0),0)</f>
        <v>0</v>
      </c>
      <c r="BY11" s="32">
        <f>IFERROR(IF(BX11=0,0,IF(DaB!DD11&gt;0,DaB!DD11-DaB!DC11+1,0)),0)</f>
        <v>0</v>
      </c>
      <c r="BZ11" s="30">
        <f>IFERROR(IF(BX11=0,0,IF(DaB!DE11&gt;0,DaB!DE11-MAX(DaB!DB11:DD11),0)),0)</f>
        <v>0</v>
      </c>
      <c r="CA11" s="34">
        <f>IFERROR(IF(CC11=0,0,MIN(DaB!$DG11:$DH11)-SUM($C11:BZ11)),0)</f>
        <v>0</v>
      </c>
      <c r="CB11" s="29">
        <f>IFERROR(IF(CC11=0,0,IF(DaB!DG11&gt;0,DaB!DH11-DaB!DG11,0)),0)</f>
        <v>0</v>
      </c>
      <c r="CC11" s="33">
        <f>IFERROR(IF(DaB!DI11&gt;0,DaB!DI11-DaB!DH11+1,0),0)</f>
        <v>0</v>
      </c>
      <c r="CD11" s="32">
        <f>IFERROR(IF(CC11=0,0,IF(DaB!DK11&gt;0,DaB!DK11-DaB!DJ11+1,0)),0)</f>
        <v>0</v>
      </c>
      <c r="CE11" s="30">
        <f>IFERROR(IF(CC11=0,0,IF(DaB!DL11&gt;0,DaB!DL11-MAX(DaB!DI11:DK11),0)),0)</f>
        <v>0</v>
      </c>
      <c r="CF11" s="34">
        <f>IFERROR(IF(CH11=0,0,MIN(DaB!$DN11:$DO11)-SUM($C11:CE11)),0)</f>
        <v>0</v>
      </c>
      <c r="CG11" s="29">
        <f>IFERROR(IF(CH11=0,0,IF(DaB!DN11&gt;0,DaB!DO11-DaB!DN11,0)),0)</f>
        <v>0</v>
      </c>
      <c r="CH11" s="33">
        <f>IFERROR(IF(DaB!DP11&gt;0,DaB!DP11-DaB!DO11+1,0),0)</f>
        <v>0</v>
      </c>
      <c r="CI11" s="32">
        <f>IFERROR(IF(CH11=0,0,IF(DaB!DR11&gt;0,DaB!DR11-DaB!DQ11+1,0)),0)</f>
        <v>0</v>
      </c>
      <c r="CJ11" s="30">
        <f>IFERROR(IF(CH11=0,0,IF(DaB!DS11&gt;0,DaB!DS11-MAX(DaB!DP11:DR11),0)),0)</f>
        <v>0</v>
      </c>
      <c r="CK11" s="34">
        <f>IFERROR(IF(CM11=0,0,MIN(DaB!$DU11:$DV11)-SUM($C11:CJ11)),0)</f>
        <v>0</v>
      </c>
      <c r="CL11" s="29">
        <f>IFERROR(IF(CM11=0,0,IF(DaB!DU11&gt;0,DaB!DV11-DaB!DU11,0)),0)</f>
        <v>0</v>
      </c>
      <c r="CM11" s="33">
        <f>IFERROR(IF(DaB!DW11&gt;0,DaB!DW11-DaB!DV11+1,0),0)</f>
        <v>0</v>
      </c>
      <c r="CN11" s="32">
        <f>IFERROR(IF(CM11=0,0,IF(DaB!DY11&gt;0,DaB!DY11-DaB!DX11+1,0)),0)</f>
        <v>0</v>
      </c>
      <c r="CO11" s="30">
        <f>IFERROR(IF(CM11=0,0,IF(DaB!DZ11&gt;0,DaB!DZ11-MAX(DaB!DW11:DY11),0)),0)</f>
        <v>0</v>
      </c>
      <c r="CP11" s="34">
        <f>IFERROR(IF(CR11=0,0,MIN(DaB!$EB11:$EC11)-SUM($C11:CO11)),0)</f>
        <v>0</v>
      </c>
      <c r="CQ11" s="29">
        <f>IFERROR(IF(CR11=0,0,IF(DaB!EB11&gt;0,DaB!EC11-DaB!EB11,0)),0)</f>
        <v>0</v>
      </c>
      <c r="CR11" s="33">
        <f>IFERROR(IF(DaB!ED11&gt;0,DaB!ED11-DaB!EC11+1,0),0)</f>
        <v>0</v>
      </c>
      <c r="CS11" s="32">
        <f>IFERROR(IF(CR11=0,0,IF(DaB!EF11&gt;0,DaB!EF11-DaB!EE11+1,0)),0)</f>
        <v>0</v>
      </c>
      <c r="CT11" s="30">
        <f>IFERROR(IF(CR11=0,0,IF(DaB!EG11&gt;0,DaB!EG11-MAX(DaB!ED11:EF11),0)),0)</f>
        <v>0</v>
      </c>
      <c r="CU11" s="34">
        <f>IFERROR(IF(CW11=0,0,MIN(DaB!$EI11:$EJ11)-SUM($C11:CT11)),0)</f>
        <v>0</v>
      </c>
      <c r="CV11" s="29">
        <f>IFERROR(IF(CW11=0,0,IF(DaB!EI11&gt;0,DaB!EJ11-DaB!EI11,0)),0)</f>
        <v>0</v>
      </c>
      <c r="CW11" s="33">
        <f>IFERROR(IF(DaB!EK11&gt;0,DaB!EK11-DaB!EJ11+1,0),0)</f>
        <v>0</v>
      </c>
      <c r="CX11" s="32">
        <f>IFERROR(IF(CW11=0,0,IF(DaB!EM11&gt;0,DaB!EM11-DaB!EL11+1,0)),0)</f>
        <v>0</v>
      </c>
      <c r="CY11" s="30">
        <f>IFERROR(IF(CW11=0,0,IF(DaB!EN11&gt;0,DaB!EN11-MAX(DaB!EK11:EM11),0)),0)</f>
        <v>0</v>
      </c>
      <c r="DF11" s="2">
        <f t="shared" si="2"/>
        <v>45474</v>
      </c>
      <c r="DG11" s="28" t="e">
        <f>IF(MIN(DaB!EU11:EV11)=DF11,0,
IF(MIN(DaB!EU11:EV11)&gt;DF11,MIN(DaB!EU11:EV11)-DF9,0))</f>
        <v>#REF!</v>
      </c>
      <c r="DH11" s="29" t="str">
        <f>IF(ISNUMBER(DaB!EV11),DaB!EV11-SUM(DF11:DG11),"")</f>
        <v/>
      </c>
      <c r="DI11" s="10" t="e">
        <f>IF(OR(DaB!EV11=0,DaB!EV11=""),"",$DF$1)</f>
        <v>#REF!</v>
      </c>
      <c r="DJ11" s="10"/>
      <c r="DK11" s="11">
        <v>0</v>
      </c>
      <c r="DL11" s="11">
        <v>0</v>
      </c>
      <c r="DM11" s="30" t="e">
        <f>IF(OR(DaB!EZ11=0,DaB!EZ11=""),"",IFERROR(DaB!EZ11-DaB!EV11,0))</f>
        <v>#REF!</v>
      </c>
      <c r="DN11" s="28" t="e">
        <f>(DaB!FC11)-(MAX(DaB!EU11:EW11))</f>
        <v>#REF!</v>
      </c>
      <c r="DO11" s="29" t="e">
        <f>IF(OR(DaB!FB11=0,DaB!FB11=""),"",DaB!FC11-SUM(DF11:DN11))</f>
        <v>#REF!</v>
      </c>
      <c r="DP11" s="10" t="e">
        <f>IF(OR(DaB!FC11=0,DaB!FC11=""),"",$DF$1)</f>
        <v>#REF!</v>
      </c>
      <c r="DQ11" s="10">
        <v>0</v>
      </c>
      <c r="DR11" s="11">
        <v>0</v>
      </c>
      <c r="DS11" s="11">
        <v>0</v>
      </c>
      <c r="DT11" s="30">
        <f>IFERROR(DaB!FG11-SUM(DF11:DS11),0)</f>
        <v>0</v>
      </c>
      <c r="DU11" s="28"/>
      <c r="DV11" s="29"/>
      <c r="DW11" s="10"/>
      <c r="DX11" s="10"/>
      <c r="DY11" s="11"/>
      <c r="DZ11" s="11"/>
      <c r="EA11" s="30"/>
      <c r="EB11" s="28"/>
      <c r="EC11" s="29"/>
      <c r="ED11" s="10"/>
      <c r="EE11" s="10"/>
      <c r="EF11" s="11"/>
      <c r="EG11" s="11"/>
      <c r="EH11" s="30"/>
      <c r="EI11" s="34"/>
      <c r="EJ11" s="29"/>
      <c r="EK11" s="10"/>
      <c r="EL11" s="10"/>
      <c r="EM11" s="30"/>
      <c r="EN11" s="34"/>
      <c r="EO11" s="29"/>
      <c r="EP11" s="47"/>
      <c r="EQ11" s="47"/>
      <c r="ER11" s="30"/>
      <c r="ES11" s="34"/>
      <c r="ET11" s="29"/>
      <c r="EU11" s="47"/>
      <c r="EV11" s="47"/>
      <c r="EW11" s="30"/>
    </row>
    <row r="12" spans="1:153" x14ac:dyDescent="0.2">
      <c r="A12" s="2" t="str">
        <f>DaB!A12</f>
        <v>Calendar 4</v>
      </c>
      <c r="B12" s="2" t="str">
        <f t="shared" si="3"/>
        <v>.</v>
      </c>
      <c r="C12" s="27">
        <f t="shared" si="1"/>
        <v>45474</v>
      </c>
      <c r="D12" s="34">
        <f>IFERROR(MIN(DaB!F12:K12)-C12,0)</f>
        <v>-45474</v>
      </c>
      <c r="E12" s="29">
        <f>IF(F12=0,0,IF(DaB!F12&gt;0,DaB!G12-DaB!F12,0))</f>
        <v>0</v>
      </c>
      <c r="F12" s="33">
        <f>IFERROR(IF(DaB!G12&gt;0,DaB!H12-DaB!G12+1,0),0)</f>
        <v>0</v>
      </c>
      <c r="G12" s="32">
        <f>IF(F12=0,0,IF(DaB!J12&gt;0,DaB!J12-DaB!I12+1,0))</f>
        <v>0</v>
      </c>
      <c r="H12" s="30">
        <f>IF(F12=0,0,IF(DaB!K12&gt;0,DaB!K12-MAX(DaB!H12:J12),0))</f>
        <v>0</v>
      </c>
      <c r="I12" s="34">
        <f>IF(K12=0,0,MIN(DaB!$M12:$N12)-SUM($C12:H12))</f>
        <v>0</v>
      </c>
      <c r="J12" s="29">
        <f>IF(K12=0,0,IF(DaB!M12&gt;0,DaB!N12-DaB!M12,0))</f>
        <v>0</v>
      </c>
      <c r="K12" s="33">
        <f>IF(DaB!O12&gt;0,DaB!O12-DaB!N12+1,0)</f>
        <v>0</v>
      </c>
      <c r="L12" s="32">
        <f>IF(K12=0,0,IF(DaB!Q12&gt;0,DaB!Q12-DaB!P12+1,0))</f>
        <v>0</v>
      </c>
      <c r="M12" s="30">
        <f>IF(K12=0,0,IF(DaB!R12&gt;0,DaB!R12-MAX(DaB!O12:Q12),0))</f>
        <v>0</v>
      </c>
      <c r="N12" s="31">
        <f>IF(P12=0,0,MIN(DaB!$T12:$U12)-SUM($C12:M12))</f>
        <v>0</v>
      </c>
      <c r="O12" s="29">
        <f>IF(P12=0,0,IF(DaB!T12&gt;0,DaB!U12-DaB!T12,0))</f>
        <v>0</v>
      </c>
      <c r="P12" s="33">
        <f>IF(DaB!V12&gt;0,DaB!V12-DaB!U12+1,0)</f>
        <v>0</v>
      </c>
      <c r="Q12" s="32">
        <f>IF(P12=0,0,IF(DaB!X12&gt;0,DaB!X12-DaB!W12+1,0))</f>
        <v>0</v>
      </c>
      <c r="R12" s="30">
        <f>IF(P12=0,0,IF(DaB!Y12&gt;0,DaB!Y12-MAX(DaB!V12:X12),0))</f>
        <v>0</v>
      </c>
      <c r="S12" s="34">
        <f>IF(U12=0,0,MIN(DaB!$AA12:$AB12)-SUM($C12:R12))</f>
        <v>0</v>
      </c>
      <c r="T12" s="29">
        <f>IF(U12=0,0,IF(DaB!AA12&gt;0,DaB!AB12-DaB!AA12,0))</f>
        <v>0</v>
      </c>
      <c r="U12" s="33">
        <f>IF(DaB!AC12&gt;0,DaB!AC12-DaB!AB12+1,0)</f>
        <v>0</v>
      </c>
      <c r="V12" s="32">
        <f>IF(U12=0,0,IF(DaB!AE12&gt;0,DaB!AE12-DaB!AD12+1,0))</f>
        <v>0</v>
      </c>
      <c r="W12" s="30">
        <f>IF(U12=0,0,IF(DaB!AF12&gt;0,DaB!AF12-MAX(DaB!AC12:AE12),0))</f>
        <v>0</v>
      </c>
      <c r="X12" s="34">
        <f>IF(Z12=0,0,MIN(DaB!$AH12:$AI12)-SUM($C12:W12))</f>
        <v>0</v>
      </c>
      <c r="Y12" s="29">
        <f>IF(Z12=0,0,IF(DaB!AH12&gt;0,DaB!AI12-DaB!AH12,0))</f>
        <v>0</v>
      </c>
      <c r="Z12" s="33">
        <f>IF(DaB!AJ12&gt;0,DaB!AJ12-DaB!AI12+1,0)</f>
        <v>0</v>
      </c>
      <c r="AA12" s="32">
        <f>IF(Z12=0,0,IF(DaB!AL12&gt;0,DaB!AL12-DaB!AK12+1,0))</f>
        <v>0</v>
      </c>
      <c r="AB12" s="30">
        <f>IF(Z12=0,0,IF(DaB!AM12&gt;0,DaB!AM12-MAX(DaB!AJ12:AL12),0))</f>
        <v>0</v>
      </c>
      <c r="AC12" s="34">
        <f>IF(AE12=0,0,MIN(DaB!$AO12:$AP12)-SUM($C12:AB12))</f>
        <v>0</v>
      </c>
      <c r="AD12" s="29">
        <f>IF(AE12=0,0,IF(DaB!AO12&gt;0,DaB!AP12-DaB!AO12,0))</f>
        <v>0</v>
      </c>
      <c r="AE12" s="33">
        <f>IF(DaB!AQ12&gt;0,DaB!AQ12-DaB!AP12+1,0)</f>
        <v>0</v>
      </c>
      <c r="AF12" s="32">
        <f>IF(AE12=0,0,IF(DaB!AS12&gt;0,DaB!AS12-DaB!AR12+1,0))</f>
        <v>0</v>
      </c>
      <c r="AG12" s="30">
        <f>IF(AE12=0,0,IF(DaB!AT12&gt;0,DaB!AT12-MAX(DaB!AQ12:AS12),0))</f>
        <v>0</v>
      </c>
      <c r="AH12" s="34">
        <f>IF(AJ12=0,0,MIN(DaB!$AV12:$AW12)-SUM($C12:AG12))</f>
        <v>0</v>
      </c>
      <c r="AI12" s="29">
        <f>IF(AJ12=0,0,IF(DaB!AV12&gt;0,DaB!AW12-DaB!AV12,0))</f>
        <v>0</v>
      </c>
      <c r="AJ12" s="33">
        <f>IF(DaB!AX12&gt;0,DaB!AX12-DaB!AW12+1,0)</f>
        <v>0</v>
      </c>
      <c r="AK12" s="32">
        <f>IF(AJ12=0,0,IF(DaB!AZ12&gt;0,DaB!AZ12-DaB!AY12+1,0))</f>
        <v>0</v>
      </c>
      <c r="AL12" s="30">
        <f>IF(AJ12=0,0,IF(DaB!BA12&gt;0,DaB!BA12-MAX(DaB!AX12:AZ12),0))</f>
        <v>0</v>
      </c>
      <c r="AM12" s="34">
        <f>IF(AO12=0,0,MIN(DaB!$BC12:$BD12)-SUM($C12:AL12))</f>
        <v>0</v>
      </c>
      <c r="AN12" s="29">
        <f>IF(AO12=0,0,IF(DaB!BC12&gt;0,DaB!BD12-DaB!BC12,0))</f>
        <v>0</v>
      </c>
      <c r="AO12" s="33">
        <f>IF(DaB!BE12&gt;0,DaB!BE12-DaB!BD12+1,0)</f>
        <v>0</v>
      </c>
      <c r="AP12" s="32">
        <f>IF(AO12=0,0,IF(DaB!BG12&gt;0,DaB!BG12-DaB!BF12+1,0))</f>
        <v>0</v>
      </c>
      <c r="AQ12" s="30">
        <f>IF(AO12=0,0,IF(DaB!BH12&gt;0,DaB!BH12-MAX(DaB!BE12:BG12),0))</f>
        <v>0</v>
      </c>
      <c r="AR12" s="34">
        <f>IF(AT12=0,0,MIN(DaB!$BJ12:$BK12)-SUM($C12:AQ12))</f>
        <v>0</v>
      </c>
      <c r="AS12" s="29">
        <f>IF(AT12=0,0,IF(DaB!BJ12&gt;0,DaB!BK12-DaB!BJ12,0))</f>
        <v>0</v>
      </c>
      <c r="AT12" s="33">
        <f>IF(DaB!BL12&gt;0,DaB!BL12-DaB!BK12+1,0)</f>
        <v>0</v>
      </c>
      <c r="AU12" s="32">
        <f>IF(AT12=0,0,IF(DaB!BN12&gt;0,DaB!BN12-DaB!BM12+1,0))</f>
        <v>0</v>
      </c>
      <c r="AV12" s="30">
        <f>IF(AT12=0,0,IF(DaB!BO12&gt;0,DaB!BO12-MAX(DaB!BL12:BN12),0))</f>
        <v>0</v>
      </c>
      <c r="AW12" s="34">
        <f>IF(AY12=0,0,MIN(DaB!$BQ12:$BR12)-SUM($C12:AV12))</f>
        <v>0</v>
      </c>
      <c r="AX12" s="29">
        <f>IF(AY12=0,0,IF(DaB!BQ12&gt;0,DaB!BR12-DaB!BQ12,0))</f>
        <v>0</v>
      </c>
      <c r="AY12" s="33">
        <f>IF(DaB!BS12&gt;0,DaB!BS12-DaB!BR12+1,0)</f>
        <v>0</v>
      </c>
      <c r="AZ12" s="32">
        <f>IF(AY12=0,0,IF(DaB!BU12&gt;0,DaB!BU12-DaB!BT12+1,0))</f>
        <v>0</v>
      </c>
      <c r="BA12" s="30">
        <f>IF(AY12=0,0,IF(DaB!BV12&gt;0,DaB!BV12-MAX(DaB!BS12:BU12),0))</f>
        <v>0</v>
      </c>
      <c r="BB12" s="34">
        <f>IF(BD12=0,0,MIN(DaB!$BX12:$BY12)-SUM($C12:BA12))</f>
        <v>0</v>
      </c>
      <c r="BC12" s="29">
        <f>IF(BD12=0,0,IF(DaB!BX12&gt;0,DaB!BY12-DaB!BX12,0))</f>
        <v>0</v>
      </c>
      <c r="BD12" s="33">
        <f>IF(DaB!BZ12&gt;0,DaB!BZ12-DaB!BY12+1,0)</f>
        <v>0</v>
      </c>
      <c r="BE12" s="32">
        <f>IF(BD12=0,0,IF(DaB!CB12&gt;0,DaB!CB12-DaB!CA12+1,0))</f>
        <v>0</v>
      </c>
      <c r="BF12" s="30">
        <f>IF(BD12=0,0,IF(DaB!CC12&gt;0,DaB!CC12-MAX(DaB!BZ12:CB12),0))</f>
        <v>0</v>
      </c>
      <c r="BG12" s="34">
        <f>IF(BI12=0,0,MIN(DaB!$CE12:$CF12)-SUM($C12:BF12))</f>
        <v>0</v>
      </c>
      <c r="BH12" s="29">
        <f>IF(BI12=0,0,IF(DaB!CE12&gt;0,DaB!CF12-DaB!CE12,0))</f>
        <v>0</v>
      </c>
      <c r="BI12" s="33">
        <f>IF(DaB!CG12&gt;0,DaB!CG12-DaB!CF12+1,0)</f>
        <v>0</v>
      </c>
      <c r="BJ12" s="32">
        <f>IF(BI12=0,0,IF(DaB!CI12&gt;0,DaB!CI12-DaB!CH12+1,0))</f>
        <v>0</v>
      </c>
      <c r="BK12" s="30">
        <f>IF(BI12=0,0,IF(DaB!CJ12&gt;0,DaB!CJ12-MAX(DaB!CG12:CI12),0))</f>
        <v>0</v>
      </c>
      <c r="BL12" s="34">
        <f>IF(BN12=0,0,MIN(DaB!$CL12:$CM12)-SUM($C12:BK12))</f>
        <v>0</v>
      </c>
      <c r="BM12" s="29">
        <f>IF(BN12=0,0,IF(DaB!CL12&gt;0,DaB!CM12-DaB!CL12,0))</f>
        <v>0</v>
      </c>
      <c r="BN12" s="33">
        <f>IF(DaB!CN12&gt;0,DaB!CN12-DaB!CM12+1,0)</f>
        <v>0</v>
      </c>
      <c r="BO12" s="32">
        <f>IF(BN12=0,0,IF(DaB!CP12&gt;0,DaB!CP12-DaB!CO12+1,0))</f>
        <v>0</v>
      </c>
      <c r="BP12" s="30">
        <f>IF(BN12=0,0,IF(DaB!CQ12&gt;0,DaB!CQ12-MAX(DaB!CN12:CP12),0))</f>
        <v>0</v>
      </c>
      <c r="BQ12" s="34">
        <f>IF(BS12=0,0,MIN(DaB!$CS12:$CT12)-SUM($C12:BP12))</f>
        <v>0</v>
      </c>
      <c r="BR12" s="29">
        <f>IF(BS12=0,0,IF(DaB!CS12&gt;0,DaB!CT12-DaB!CS12,0))</f>
        <v>0</v>
      </c>
      <c r="BS12" s="33">
        <f>IF(DaB!CU12&gt;0,DaB!CU12-DaB!CT12+1,0)</f>
        <v>0</v>
      </c>
      <c r="BT12" s="32">
        <f>IF(BS12=0,0,IF(DaB!CW12&gt;0,DaB!CW12-DaB!CV12+1,0))</f>
        <v>0</v>
      </c>
      <c r="BU12" s="30">
        <f>IF(BS12=0,0,IF(DaB!CX12&gt;0,DaB!CX12-MAX(DaB!CU12:CW12),0))</f>
        <v>0</v>
      </c>
      <c r="BV12" s="34">
        <f>IF(BX12=0,0,MIN(DaB!$CZ12:$DA12)-SUM($C12:BU12))</f>
        <v>0</v>
      </c>
      <c r="BW12" s="29">
        <f>IF(BX12=0,0,IF(DaB!CZ12&gt;0,DaB!DA12-DaB!CZ12,0))</f>
        <v>0</v>
      </c>
      <c r="BX12" s="33">
        <f>IF(DaB!DB12&gt;0,DaB!DB12-DaB!DA12+1,0)</f>
        <v>0</v>
      </c>
      <c r="BY12" s="32">
        <f>IF(BX12=0,0,IF(DaB!DD12&gt;0,DaB!DD12-DaB!DC12+1,0))</f>
        <v>0</v>
      </c>
      <c r="BZ12" s="30">
        <f>IF(BX12=0,0,IF(DaB!DE12&gt;0,DaB!DE12-MAX(DaB!DB12:DD12),0))</f>
        <v>0</v>
      </c>
      <c r="CA12" s="34">
        <f>IF(CC12=0,0,MIN(DaB!$DG12:$DH12)-SUM($C12:BZ12))</f>
        <v>0</v>
      </c>
      <c r="CB12" s="29">
        <f>IF(CC12=0,0,IF(DaB!DG12&gt;0,DaB!DH12-DaB!DG12,0))</f>
        <v>0</v>
      </c>
      <c r="CC12" s="33">
        <f>IF(DaB!DI12&gt;0,DaB!DI12-DaB!DH12+1,0)</f>
        <v>0</v>
      </c>
      <c r="CD12" s="32">
        <f>IF(CC12=0,0,IF(DaB!DK12&gt;0,DaB!DK12-DaB!DJ12+1,0))</f>
        <v>0</v>
      </c>
      <c r="CE12" s="30">
        <f>IF(CC12=0,0,IF(DaB!DL12&gt;0,DaB!DL12-MAX(DaB!DI12:DK12),0))</f>
        <v>0</v>
      </c>
      <c r="CF12" s="34">
        <f>IF(CH12=0,0,MIN(DaB!$DN12:$DO12)-SUM($C12:CE12))</f>
        <v>0</v>
      </c>
      <c r="CG12" s="29">
        <f>IF(CH12=0,0,IF(DaB!DN12&gt;0,DaB!DO12-DaB!DN12,0))</f>
        <v>0</v>
      </c>
      <c r="CH12" s="33">
        <f>IF(DaB!DP12&gt;0,DaB!DP12-DaB!DO12+1,0)</f>
        <v>0</v>
      </c>
      <c r="CI12" s="32">
        <f>IF(CH12=0,0,IF(DaB!DR12&gt;0,DaB!DR12-DaB!DQ12+1,0))</f>
        <v>0</v>
      </c>
      <c r="CJ12" s="30">
        <f>IF(CH12=0,0,IF(DaB!DS12&gt;0,DaB!DS12-MAX(DaB!DP12:DR12),0))</f>
        <v>0</v>
      </c>
      <c r="CK12" s="34">
        <f>IF(CM12=0,0,MIN(DaB!$DU12:$DV12)-SUM($C12:CJ12))</f>
        <v>0</v>
      </c>
      <c r="CL12" s="29">
        <f>IF(CM12=0,0,IF(DaB!DU12&gt;0,DaB!DV12-DaB!DU12,0))</f>
        <v>0</v>
      </c>
      <c r="CM12" s="33">
        <f>IF(DaB!DW12&gt;0,DaB!DW12-DaB!DV12+1,0)</f>
        <v>0</v>
      </c>
      <c r="CN12" s="32">
        <f>IF(CM12=0,0,IF(DaB!DY12&gt;0,DaB!DY12-DaB!DX12+1,0))</f>
        <v>0</v>
      </c>
      <c r="CO12" s="30">
        <f>IF(CM12=0,0,IF(DaB!DZ12&gt;0,DaB!DZ12-MAX(DaB!DW12:DY12),0))</f>
        <v>0</v>
      </c>
      <c r="CP12" s="34">
        <f>IF(CR12=0,0,MIN(DaB!$EB12:$EC12)-SUM($C12:CO12))</f>
        <v>0</v>
      </c>
      <c r="CQ12" s="29">
        <f>IF(CR12=0,0,IF(DaB!EB12&gt;0,DaB!EC12-DaB!EB12,0))</f>
        <v>0</v>
      </c>
      <c r="CR12" s="33">
        <f>IF(DaB!ED12&gt;0,DaB!ED12-DaB!EC12+1,0)</f>
        <v>0</v>
      </c>
      <c r="CS12" s="32">
        <f>IF(CR12=0,0,IF(DaB!EF12&gt;0,DaB!EF12-DaB!EE12+1,0))</f>
        <v>0</v>
      </c>
      <c r="CT12" s="30">
        <f>IF(CR12=0,0,IF(DaB!EG12&gt;0,DaB!EG12-MAX(DaB!ED12:EF12),0))</f>
        <v>0</v>
      </c>
      <c r="CU12" s="34">
        <f>IF(CW12=0,0,MIN(DaB!$EI12:$EJ12)-SUM($C12:CT12))</f>
        <v>0</v>
      </c>
      <c r="CV12" s="29">
        <f>IF(CW12=0,0,IF(DaB!EI12&gt;0,DaB!EJ12-DaB!EI12,0))</f>
        <v>0</v>
      </c>
      <c r="CW12" s="33">
        <f>IF(DaB!EK12&gt;0,DaB!EK12-DaB!EJ12+1,0)</f>
        <v>0</v>
      </c>
      <c r="CX12" s="32">
        <f>IF(CW12=0,0,IF(DaB!EM12&gt;0,DaB!EM12-DaB!EL12+1,0))</f>
        <v>0</v>
      </c>
      <c r="CY12" s="30">
        <f>IF(CW12=0,0,IF(DaB!EN12&gt;0,DaB!EN12-MAX(DaB!EK12:EM12),0))</f>
        <v>0</v>
      </c>
      <c r="DF12" s="2">
        <f t="shared" si="0"/>
        <v>45474</v>
      </c>
      <c r="DG12" s="28">
        <f>IF(MIN(DaB!EU12:EV12)=DF12,0,
IF(MIN(DaB!EU12:EV12)&gt;DF12,MIN(DaB!EU12:EV12)-DF12,0))</f>
        <v>0</v>
      </c>
      <c r="DH12" s="29">
        <f>DaB!EV12-SUM(DF12:DG12)</f>
        <v>-45474</v>
      </c>
      <c r="DI12" s="10"/>
      <c r="DJ12" s="10"/>
      <c r="DK12" s="11"/>
      <c r="DL12" s="11"/>
      <c r="DM12" s="30"/>
      <c r="DN12" s="28"/>
      <c r="DO12" s="29"/>
      <c r="DP12" s="10"/>
      <c r="DQ12" s="10"/>
      <c r="DR12" s="11"/>
      <c r="DS12" s="11"/>
      <c r="DT12" s="30"/>
      <c r="DU12" s="28"/>
      <c r="DV12" s="29"/>
      <c r="DW12" s="10"/>
      <c r="DX12" s="10"/>
      <c r="DY12" s="11"/>
      <c r="DZ12" s="11"/>
      <c r="EA12" s="30"/>
      <c r="EB12" s="28"/>
      <c r="EC12" s="29"/>
      <c r="ED12" s="10"/>
      <c r="EE12" s="10"/>
      <c r="EF12" s="11"/>
      <c r="EG12" s="11"/>
      <c r="EH12" s="30"/>
      <c r="EI12" s="34"/>
      <c r="EJ12" s="29"/>
      <c r="EK12" s="10"/>
      <c r="EL12" s="10"/>
      <c r="EM12" s="30"/>
      <c r="EN12" s="34"/>
      <c r="EO12" s="29"/>
      <c r="EP12" s="47"/>
      <c r="EQ12" s="47"/>
      <c r="ER12" s="30"/>
      <c r="ES12" s="34"/>
      <c r="ET12" s="29"/>
      <c r="EU12" s="47"/>
      <c r="EV12" s="47"/>
      <c r="EW12" s="30"/>
    </row>
    <row r="13" spans="1:153" x14ac:dyDescent="0.2">
      <c r="A13" s="2" t="str">
        <f>DaB!A13</f>
        <v xml:space="preserve">Calendar 4 </v>
      </c>
      <c r="B13" s="2" t="str">
        <f t="shared" si="3"/>
        <v>.</v>
      </c>
      <c r="C13" s="27">
        <f t="shared" si="1"/>
        <v>45474</v>
      </c>
      <c r="D13" s="34">
        <f>IFERROR(MIN(DaB!F13:K13)-C13,0)</f>
        <v>-45474</v>
      </c>
      <c r="E13" s="29">
        <f>IF(F13=0,0,IF(DaB!F13&gt;0,DaB!G13-DaB!F13,0))</f>
        <v>0</v>
      </c>
      <c r="F13" s="33">
        <f>IFERROR(IF(DaB!G13&gt;0,DaB!H13-DaB!G13+1,0),0)</f>
        <v>0</v>
      </c>
      <c r="G13" s="32">
        <f>IF(F13=0,0,IF(DaB!J13&gt;0,DaB!J13-DaB!I13+1,0))</f>
        <v>0</v>
      </c>
      <c r="H13" s="30">
        <f>IF(F13=0,0,IF(DaB!K13&gt;0,DaB!K13-MAX(DaB!H13:J13),0))</f>
        <v>0</v>
      </c>
      <c r="I13" s="34">
        <f>IF(K13=0,0,MIN(DaB!$M13:$N13)-SUM($C13:H13))</f>
        <v>0</v>
      </c>
      <c r="J13" s="29">
        <f>IF(K13=0,0,IF(DaB!M13&gt;0,DaB!N13-DaB!M13,0))</f>
        <v>0</v>
      </c>
      <c r="K13" s="33">
        <f>IF(DaB!O13&gt;0,DaB!O13-DaB!N13+1,0)</f>
        <v>0</v>
      </c>
      <c r="L13" s="32">
        <f>IF(K13=0,0,IF(DaB!Q13&gt;0,DaB!Q13-DaB!P13+1,0))</f>
        <v>0</v>
      </c>
      <c r="M13" s="30">
        <f>IF(K13=0,0,IF(DaB!R13&gt;0,DaB!R13-MAX(DaB!O13:Q13),0))</f>
        <v>0</v>
      </c>
      <c r="N13" s="31">
        <f>IF(P13=0,0,MIN(DaB!$T13:$U13)-SUM($C13:M13))</f>
        <v>0</v>
      </c>
      <c r="O13" s="29">
        <f>IF(P13=0,0,IF(DaB!T13&gt;0,DaB!U13-DaB!T13,0))</f>
        <v>0</v>
      </c>
      <c r="P13" s="33">
        <f>IF(DaB!V13&gt;0,DaB!V13-DaB!U13+1,0)</f>
        <v>0</v>
      </c>
      <c r="Q13" s="32">
        <f>IF(P13=0,0,IF(DaB!X13&gt;0,DaB!X13-DaB!W13+1,0))</f>
        <v>0</v>
      </c>
      <c r="R13" s="30">
        <f>IF(P13=0,0,IF(DaB!Y13&gt;0,DaB!Y13-MAX(DaB!V13:X13),0))</f>
        <v>0</v>
      </c>
      <c r="S13" s="34">
        <f>IF(U13=0,0,MIN(DaB!$AA13:$AB13)-SUM($C13:R13))</f>
        <v>0</v>
      </c>
      <c r="T13" s="29">
        <f>IF(U13=0,0,IF(DaB!AA13&gt;0,DaB!AB13-DaB!AA13,0))</f>
        <v>0</v>
      </c>
      <c r="U13" s="33">
        <f>IF(DaB!AC13&gt;0,DaB!AC13-DaB!AB13+1,0)</f>
        <v>0</v>
      </c>
      <c r="V13" s="32">
        <f>IF(U13=0,0,IF(DaB!AE13&gt;0,DaB!AE13-DaB!AD13+1,0))</f>
        <v>0</v>
      </c>
      <c r="W13" s="30">
        <f>IF(U13=0,0,IF(DaB!AF13&gt;0,DaB!AF13-MAX(DaB!AC13:AE13),0))</f>
        <v>0</v>
      </c>
      <c r="X13" s="34">
        <f>IF(Z13=0,0,MIN(DaB!$AH13:$AI13)-SUM($C13:W13))</f>
        <v>0</v>
      </c>
      <c r="Y13" s="29">
        <f>IF(Z13=0,0,IF(DaB!AH13&gt;0,DaB!AI13-DaB!AH13,0))</f>
        <v>0</v>
      </c>
      <c r="Z13" s="33">
        <f>IF(DaB!AJ13&gt;0,DaB!AJ13-DaB!AI13+1,0)</f>
        <v>0</v>
      </c>
      <c r="AA13" s="32">
        <f>IF(Z13=0,0,IF(DaB!AL13&gt;0,DaB!AL13-DaB!AK13+1,0))</f>
        <v>0</v>
      </c>
      <c r="AB13" s="30">
        <f>IF(Z13=0,0,IF(DaB!AM13&gt;0,DaB!AM13-MAX(DaB!AJ13:AL13),0))</f>
        <v>0</v>
      </c>
      <c r="AC13" s="34">
        <f>IF(AE13=0,0,MIN(DaB!$AO13:$AP13)-SUM($C13:AB13))</f>
        <v>0</v>
      </c>
      <c r="AD13" s="29">
        <f>IF(AE13=0,0,IF(DaB!AO13&gt;0,DaB!AP13-DaB!AO13,0))</f>
        <v>0</v>
      </c>
      <c r="AE13" s="33">
        <f>IF(DaB!AQ13&gt;0,DaB!AQ13-DaB!AP13+1,0)</f>
        <v>0</v>
      </c>
      <c r="AF13" s="32">
        <f>IF(AE13=0,0,IF(DaB!AS13&gt;0,DaB!AS13-DaB!AR13+1,0))</f>
        <v>0</v>
      </c>
      <c r="AG13" s="30">
        <f>IF(AE13=0,0,IF(DaB!AT13&gt;0,DaB!AT13-MAX(DaB!AQ13:AS13),0))</f>
        <v>0</v>
      </c>
      <c r="AH13" s="34">
        <f>IF(AJ13=0,0,MIN(DaB!$AV13:$AW13)-SUM($C13:AG13))</f>
        <v>0</v>
      </c>
      <c r="AI13" s="29">
        <f>IF(AJ13=0,0,IF(DaB!AV13&gt;0,DaB!AW13-DaB!AV13,0))</f>
        <v>0</v>
      </c>
      <c r="AJ13" s="33">
        <f>IF(DaB!AX13&gt;0,DaB!AX13-DaB!AW13+1,0)</f>
        <v>0</v>
      </c>
      <c r="AK13" s="32">
        <f>IF(AJ13=0,0,IF(DaB!AZ13&gt;0,DaB!AZ13-DaB!AY13+1,0))</f>
        <v>0</v>
      </c>
      <c r="AL13" s="30">
        <f>IF(AJ13=0,0,IF(DaB!BA13&gt;0,DaB!BA13-MAX(DaB!AX13:AZ13),0))</f>
        <v>0</v>
      </c>
      <c r="AM13" s="34">
        <f>IF(AO13=0,0,MIN(DaB!$BC13:$BD13)-SUM($C13:AL13))</f>
        <v>0</v>
      </c>
      <c r="AN13" s="29">
        <f>IF(AO13=0,0,IF(DaB!BC13&gt;0,DaB!BD13-DaB!BC13,0))</f>
        <v>0</v>
      </c>
      <c r="AO13" s="33">
        <f>IF(DaB!BE13&gt;0,DaB!BE13-DaB!BD13+1,0)</f>
        <v>0</v>
      </c>
      <c r="AP13" s="32">
        <f>IF(AO13=0,0,IF(DaB!BG13&gt;0,DaB!BG13-DaB!BF13+1,0))</f>
        <v>0</v>
      </c>
      <c r="AQ13" s="30">
        <f>IF(AO13=0,0,IF(DaB!BH13&gt;0,DaB!BH13-MAX(DaB!BE13:BG13),0))</f>
        <v>0</v>
      </c>
      <c r="AR13" s="34">
        <f>IF(AT13=0,0,MIN(DaB!$BJ13:$BK13)-SUM($C13:AQ13))</f>
        <v>0</v>
      </c>
      <c r="AS13" s="29">
        <f>IF(AT13=0,0,IF(DaB!BJ13&gt;0,DaB!BK13-DaB!BJ13,0))</f>
        <v>0</v>
      </c>
      <c r="AT13" s="33">
        <f>IF(DaB!BL13&gt;0,DaB!BL13-DaB!BK13+1,0)</f>
        <v>0</v>
      </c>
      <c r="AU13" s="32">
        <f>IF(AT13=0,0,IF(DaB!BN13&gt;0,DaB!BN13-DaB!BM13+1,0))</f>
        <v>0</v>
      </c>
      <c r="AV13" s="30">
        <f>IF(AT13=0,0,IF(DaB!BO13&gt;0,DaB!BO13-MAX(DaB!BL13:BN13),0))</f>
        <v>0</v>
      </c>
      <c r="AW13" s="34">
        <f>IF(AY13=0,0,MIN(DaB!$BQ13:$BR13)-SUM($C13:AV13))</f>
        <v>0</v>
      </c>
      <c r="AX13" s="29">
        <f>IF(AY13=0,0,IF(DaB!BQ13&gt;0,DaB!BR13-DaB!BQ13,0))</f>
        <v>0</v>
      </c>
      <c r="AY13" s="33">
        <f>IF(DaB!BS13&gt;0,DaB!BS13-DaB!BR13+1,0)</f>
        <v>0</v>
      </c>
      <c r="AZ13" s="32">
        <f>IF(AY13=0,0,IF(DaB!BU13&gt;0,DaB!BU13-DaB!BT13+1,0))</f>
        <v>0</v>
      </c>
      <c r="BA13" s="30">
        <f>IF(AY13=0,0,IF(DaB!BV13&gt;0,DaB!BV13-MAX(DaB!BS13:BU13),0))</f>
        <v>0</v>
      </c>
      <c r="BB13" s="34">
        <f>IF(BD13=0,0,MIN(DaB!$BX13:$BY13)-SUM($C13:BA13))</f>
        <v>0</v>
      </c>
      <c r="BC13" s="29">
        <f>IF(BD13=0,0,IF(DaB!BX13&gt;0,DaB!BY13-DaB!BX13,0))</f>
        <v>0</v>
      </c>
      <c r="BD13" s="33">
        <f>IF(DaB!BZ13&gt;0,DaB!BZ13-DaB!BY13+1,0)</f>
        <v>0</v>
      </c>
      <c r="BE13" s="32">
        <f>IF(BD13=0,0,IF(DaB!CB13&gt;0,DaB!CB13-DaB!CA13+1,0))</f>
        <v>0</v>
      </c>
      <c r="BF13" s="30">
        <f>IF(BD13=0,0,IF(DaB!CC13&gt;0,DaB!CC13-MAX(DaB!BZ13:CB13),0))</f>
        <v>0</v>
      </c>
      <c r="BG13" s="34">
        <f>IF(BI13=0,0,MIN(DaB!$CE13:$CF13)-SUM($C13:BF13))</f>
        <v>0</v>
      </c>
      <c r="BH13" s="29">
        <f>IF(BI13=0,0,IF(DaB!CE13&gt;0,DaB!CF13-DaB!CE13,0))</f>
        <v>0</v>
      </c>
      <c r="BI13" s="33">
        <f>IF(DaB!CG13&gt;0,DaB!CG13-DaB!CF13+1,0)</f>
        <v>0</v>
      </c>
      <c r="BJ13" s="32">
        <f>IF(BI13=0,0,IF(DaB!CI13&gt;0,DaB!CI13-DaB!CH13+1,0))</f>
        <v>0</v>
      </c>
      <c r="BK13" s="30">
        <f>IF(BI13=0,0,IF(DaB!CJ13&gt;0,DaB!CJ13-MAX(DaB!CG13:CI13),0))</f>
        <v>0</v>
      </c>
      <c r="BL13" s="34">
        <f>IF(BN13=0,0,MIN(DaB!$CL13:$CM13)-SUM($C13:BK13))</f>
        <v>0</v>
      </c>
      <c r="BM13" s="29">
        <f>IF(BN13=0,0,IF(DaB!CL13&gt;0,DaB!CM13-DaB!CL13,0))</f>
        <v>0</v>
      </c>
      <c r="BN13" s="33">
        <f>IF(DaB!CN13&gt;0,DaB!CN13-DaB!CM13+1,0)</f>
        <v>0</v>
      </c>
      <c r="BO13" s="32">
        <f>IF(BN13=0,0,IF(DaB!CP13&gt;0,DaB!CP13-DaB!CO13+1,0))</f>
        <v>0</v>
      </c>
      <c r="BP13" s="30">
        <f>IF(BN13=0,0,IF(DaB!CQ13&gt;0,DaB!CQ13-MAX(DaB!CN13:CP13),0))</f>
        <v>0</v>
      </c>
      <c r="BQ13" s="34">
        <f>IF(BS13=0,0,MIN(DaB!$CS13:$CT13)-SUM($C13:BP13))</f>
        <v>0</v>
      </c>
      <c r="BR13" s="29">
        <f>IF(BS13=0,0,IF(DaB!CS13&gt;0,DaB!CT13-DaB!CS13,0))</f>
        <v>0</v>
      </c>
      <c r="BS13" s="33">
        <f>IF(DaB!CU13&gt;0,DaB!CU13-DaB!CT13+1,0)</f>
        <v>0</v>
      </c>
      <c r="BT13" s="32">
        <f>IF(BS13=0,0,IF(DaB!CW13&gt;0,DaB!CW13-DaB!CV13+1,0))</f>
        <v>0</v>
      </c>
      <c r="BU13" s="30">
        <f>IF(BS13=0,0,IF(DaB!CX13&gt;0,DaB!CX13-MAX(DaB!CU13:CW13),0))</f>
        <v>0</v>
      </c>
      <c r="BV13" s="34">
        <f>IF(BX13=0,0,MIN(DaB!$CZ13:$DA13)-SUM($C13:BU13))</f>
        <v>0</v>
      </c>
      <c r="BW13" s="29">
        <f>IF(BX13=0,0,IF(DaB!CZ13&gt;0,DaB!DA13-DaB!CZ13,0))</f>
        <v>0</v>
      </c>
      <c r="BX13" s="33">
        <f>IF(DaB!DB13&gt;0,DaB!DB13-DaB!DA13+1,0)</f>
        <v>0</v>
      </c>
      <c r="BY13" s="32">
        <f>IF(BX13=0,0,IF(DaB!DD13&gt;0,DaB!DD13-DaB!DC13+1,0))</f>
        <v>0</v>
      </c>
      <c r="BZ13" s="30">
        <f>IF(BX13=0,0,IF(DaB!DE13&gt;0,DaB!DE13-MAX(DaB!DB13:DD13),0))</f>
        <v>0</v>
      </c>
      <c r="CA13" s="34">
        <f>IF(CC13=0,0,MIN(DaB!$DG13:$DH13)-SUM($C13:BZ13))</f>
        <v>0</v>
      </c>
      <c r="CB13" s="29">
        <f>IF(CC13=0,0,IF(DaB!DG13&gt;0,DaB!DH13-DaB!DG13,0))</f>
        <v>0</v>
      </c>
      <c r="CC13" s="33">
        <f>IF(DaB!DI13&gt;0,DaB!DI13-DaB!DH13+1,0)</f>
        <v>0</v>
      </c>
      <c r="CD13" s="32">
        <f>IF(CC13=0,0,IF(DaB!DK13&gt;0,DaB!DK13-DaB!DJ13+1,0))</f>
        <v>0</v>
      </c>
      <c r="CE13" s="30">
        <f>IF(CC13=0,0,IF(DaB!DL13&gt;0,DaB!DL13-MAX(DaB!DI13:DK13),0))</f>
        <v>0</v>
      </c>
      <c r="CF13" s="34">
        <f>IF(CH13=0,0,MIN(DaB!$DN13:$DO13)-SUM($C13:CE13))</f>
        <v>0</v>
      </c>
      <c r="CG13" s="29">
        <f>IF(CH13=0,0,IF(DaB!DN13&gt;0,DaB!DO13-DaB!DN13,0))</f>
        <v>0</v>
      </c>
      <c r="CH13" s="33">
        <f>IF(DaB!DP13&gt;0,DaB!DP13-DaB!DO13+1,0)</f>
        <v>0</v>
      </c>
      <c r="CI13" s="32">
        <f>IF(CH13=0,0,IF(DaB!DR13&gt;0,DaB!DR13-DaB!DQ13+1,0))</f>
        <v>0</v>
      </c>
      <c r="CJ13" s="30">
        <f>IF(CH13=0,0,IF(DaB!DS13&gt;0,DaB!DS13-MAX(DaB!DP13:DR13),0))</f>
        <v>0</v>
      </c>
      <c r="CK13" s="34">
        <f>IF(CM13=0,0,MIN(DaB!$DU13:$DV13)-SUM($C13:CJ13))</f>
        <v>0</v>
      </c>
      <c r="CL13" s="29">
        <f>IF(CM13=0,0,IF(DaB!DU13&gt;0,DaB!DV13-DaB!DU13,0))</f>
        <v>0</v>
      </c>
      <c r="CM13" s="33">
        <f>IF(DaB!DW13&gt;0,DaB!DW13-DaB!DV13+1,0)</f>
        <v>0</v>
      </c>
      <c r="CN13" s="32">
        <f>IF(CM13=0,0,IF(DaB!DY13&gt;0,DaB!DY13-DaB!DX13+1,0))</f>
        <v>0</v>
      </c>
      <c r="CO13" s="30">
        <f>IF(CM13=0,0,IF(DaB!DZ13&gt;0,DaB!DZ13-MAX(DaB!DW13:DY13),0))</f>
        <v>0</v>
      </c>
      <c r="CP13" s="34">
        <f>IF(CR13=0,0,MIN(DaB!$EB13:$EC13)-SUM($C13:CO13))</f>
        <v>0</v>
      </c>
      <c r="CQ13" s="29">
        <f>IF(CR13=0,0,IF(DaB!EB13&gt;0,DaB!EC13-DaB!EB13,0))</f>
        <v>0</v>
      </c>
      <c r="CR13" s="33">
        <f>IF(DaB!ED13&gt;0,DaB!ED13-DaB!EC13+1,0)</f>
        <v>0</v>
      </c>
      <c r="CS13" s="32">
        <f>IF(CR13=0,0,IF(DaB!EF13&gt;0,DaB!EF13-DaB!EE13+1,0))</f>
        <v>0</v>
      </c>
      <c r="CT13" s="30">
        <f>IF(CR13=0,0,IF(DaB!EG13&gt;0,DaB!EG13-MAX(DaB!ED13:EF13),0))</f>
        <v>0</v>
      </c>
      <c r="CU13" s="34">
        <f>IF(CW13=0,0,MIN(DaB!$EI13:$EJ13)-SUM($C13:CT13))</f>
        <v>0</v>
      </c>
      <c r="CV13" s="29">
        <f>IF(CW13=0,0,IF(DaB!EI13&gt;0,DaB!EJ13-DaB!EI13,0))</f>
        <v>0</v>
      </c>
      <c r="CW13" s="33">
        <f>IF(DaB!EK13&gt;0,DaB!EK13-DaB!EJ13+1,0)</f>
        <v>0</v>
      </c>
      <c r="CX13" s="32">
        <f>IF(CW13=0,0,IF(DaB!EM13&gt;0,DaB!EM13-DaB!EL13+1,0))</f>
        <v>0</v>
      </c>
      <c r="CY13" s="30">
        <f>IF(CW13=0,0,IF(DaB!EN13&gt;0,DaB!EN13-MAX(DaB!EK13:EM13),0))</f>
        <v>0</v>
      </c>
      <c r="DC13" s="49"/>
      <c r="DF13" s="2">
        <f t="shared" si="0"/>
        <v>45474</v>
      </c>
      <c r="DG13" s="28">
        <f>IF(MIN(DaB!EU13:EV13)=DF13,0,
IF(MIN(DaB!EU13:EV13)&gt;DF13,MIN(DaB!EU13:EV13)-DF13,0))</f>
        <v>0</v>
      </c>
      <c r="DH13" s="29">
        <f>DaB!EV13-SUM(DF13:DG13)</f>
        <v>-45474</v>
      </c>
      <c r="DI13" s="10"/>
      <c r="DJ13" s="10"/>
      <c r="DK13" s="11"/>
      <c r="DL13" s="11"/>
      <c r="DM13" s="30"/>
      <c r="DN13" s="28"/>
      <c r="DO13" s="29"/>
      <c r="DP13" s="10"/>
      <c r="DQ13" s="10"/>
      <c r="DR13" s="11"/>
      <c r="DS13" s="11"/>
      <c r="DT13" s="30"/>
      <c r="DU13" s="28"/>
      <c r="DV13" s="29"/>
      <c r="DW13" s="10"/>
      <c r="DX13" s="10"/>
      <c r="DY13" s="11"/>
      <c r="DZ13" s="11"/>
      <c r="EA13" s="30"/>
      <c r="EB13" s="28"/>
      <c r="EC13" s="29"/>
      <c r="ED13" s="10"/>
      <c r="EE13" s="10"/>
      <c r="EF13" s="11"/>
      <c r="EG13" s="11"/>
      <c r="EH13" s="30"/>
      <c r="EI13" s="34"/>
      <c r="EJ13" s="29"/>
      <c r="EK13" s="10"/>
      <c r="EL13" s="10"/>
      <c r="EM13" s="30"/>
      <c r="EN13" s="34"/>
      <c r="EO13" s="29"/>
      <c r="EP13" s="47"/>
      <c r="EQ13" s="47"/>
      <c r="ER13" s="30"/>
      <c r="ES13" s="34"/>
      <c r="ET13" s="29"/>
      <c r="EU13" s="47"/>
      <c r="EV13" s="47"/>
      <c r="EW13" s="30"/>
    </row>
    <row r="14" spans="1:153" x14ac:dyDescent="0.2">
      <c r="A14" s="2" t="str">
        <f>DaB!A14</f>
        <v>Calendar 5</v>
      </c>
      <c r="B14" s="2" t="str">
        <f t="shared" si="3"/>
        <v>.</v>
      </c>
      <c r="C14" s="27">
        <f t="shared" si="1"/>
        <v>45474</v>
      </c>
      <c r="D14" s="34">
        <f>IFERROR(MIN(DaB!F14:K14)-C14,0)</f>
        <v>-45474</v>
      </c>
      <c r="E14" s="29">
        <f>IF(F14=0,0,IF(DaB!F14&gt;0,DaB!G14-DaB!F14,0))</f>
        <v>0</v>
      </c>
      <c r="F14" s="33">
        <f>IFERROR(IF(DaB!G14&gt;0,DaB!H14-DaB!G14+1,0),0)</f>
        <v>0</v>
      </c>
      <c r="G14" s="32">
        <f>IF(F14=0,0,IF(DaB!J14&gt;0,DaB!J14-DaB!I14+1,0))</f>
        <v>0</v>
      </c>
      <c r="H14" s="30">
        <f>IF(F14=0,0,IF(DaB!K14&gt;0,DaB!K14-MAX(DaB!H14:J14),0))</f>
        <v>0</v>
      </c>
      <c r="I14" s="34">
        <f>IF(K14=0,0,MIN(DaB!$M14:$N14)-SUM($C14:H14))</f>
        <v>0</v>
      </c>
      <c r="J14" s="29">
        <f>IF(K14=0,0,IF(DaB!M14&gt;0,DaB!N14-DaB!M14,0))</f>
        <v>0</v>
      </c>
      <c r="K14" s="33">
        <f>IF(DaB!O14&gt;0,DaB!O14-DaB!N14+1,0)</f>
        <v>0</v>
      </c>
      <c r="L14" s="32">
        <f>IF(K14=0,0,IF(DaB!Q14&gt;0,DaB!Q14-DaB!P14+1,0))</f>
        <v>0</v>
      </c>
      <c r="M14" s="30">
        <f>IF(K14=0,0,IF(DaB!R14&gt;0,DaB!R14-MAX(DaB!O14:Q14),0))</f>
        <v>0</v>
      </c>
      <c r="N14" s="31">
        <f>IF(P14=0,0,MIN(DaB!$T14:$U14)-SUM($C14:M14))</f>
        <v>0</v>
      </c>
      <c r="O14" s="29">
        <f>IF(P14=0,0,IF(DaB!T14&gt;0,DaB!U14-DaB!T14,0))</f>
        <v>0</v>
      </c>
      <c r="P14" s="33">
        <f>IF(DaB!V14&gt;0,DaB!V14-DaB!U14+1,0)</f>
        <v>0</v>
      </c>
      <c r="Q14" s="32">
        <f>IF(P14=0,0,IF(DaB!X14&gt;0,DaB!X14-DaB!W14+1,0))</f>
        <v>0</v>
      </c>
      <c r="R14" s="30">
        <f>IF(P14=0,0,IF(DaB!Y14&gt;0,DaB!Y14-MAX(DaB!V14:X14),0))</f>
        <v>0</v>
      </c>
      <c r="S14" s="34">
        <f>IF(U14=0,0,MIN(DaB!$AA14:$AB14)-SUM($C14:R14))</f>
        <v>0</v>
      </c>
      <c r="T14" s="29">
        <f>IF(U14=0,0,IF(DaB!AA14&gt;0,DaB!AB14-DaB!AA14,0))</f>
        <v>0</v>
      </c>
      <c r="U14" s="33">
        <f>IF(DaB!AC14&gt;0,DaB!AC14-DaB!AB14+1,0)</f>
        <v>0</v>
      </c>
      <c r="V14" s="32">
        <f>IF(U14=0,0,IF(DaB!AE14&gt;0,DaB!AE14-DaB!AD14+1,0))</f>
        <v>0</v>
      </c>
      <c r="W14" s="30">
        <f>IF(U14=0,0,IF(DaB!AF14&gt;0,DaB!AF14-MAX(DaB!AC14:AE14),0))</f>
        <v>0</v>
      </c>
      <c r="X14" s="34">
        <f>IF(Z14=0,0,MIN(DaB!$AH14:$AI14)-SUM($C14:W14))</f>
        <v>0</v>
      </c>
      <c r="Y14" s="29">
        <f>IF(Z14=0,0,IF(DaB!AH14&gt;0,DaB!AI14-DaB!AH14,0))</f>
        <v>0</v>
      </c>
      <c r="Z14" s="33">
        <f>IF(DaB!AJ14&gt;0,DaB!AJ14-DaB!AI14+1,0)</f>
        <v>0</v>
      </c>
      <c r="AA14" s="32">
        <f>IF(Z14=0,0,IF(DaB!AL14&gt;0,DaB!AL14-DaB!AK14+1,0))</f>
        <v>0</v>
      </c>
      <c r="AB14" s="30">
        <f>IF(Z14=0,0,IF(DaB!AM14&gt;0,DaB!AM14-MAX(DaB!AJ14:AL14),0))</f>
        <v>0</v>
      </c>
      <c r="AC14" s="34">
        <f>IF(AE14=0,0,MIN(DaB!$AO14:$AP14)-SUM($C14:AB14))</f>
        <v>0</v>
      </c>
      <c r="AD14" s="29">
        <f>IF(AE14=0,0,IF(DaB!AO14&gt;0,DaB!AP14-DaB!AO14,0))</f>
        <v>0</v>
      </c>
      <c r="AE14" s="33">
        <f>IF(DaB!AQ14&gt;0,DaB!AQ14-DaB!AP14+1,0)</f>
        <v>0</v>
      </c>
      <c r="AF14" s="32">
        <f>IF(AE14=0,0,IF(DaB!AS14&gt;0,DaB!AS14-DaB!AR14+1,0))</f>
        <v>0</v>
      </c>
      <c r="AG14" s="30">
        <f>IF(AE14=0,0,IF(DaB!AT14&gt;0,DaB!AT14-MAX(DaB!AQ14:AS14),0))</f>
        <v>0</v>
      </c>
      <c r="AH14" s="34">
        <f>IF(AJ14=0,0,MIN(DaB!$AV14:$AW14)-SUM($C14:AG14))</f>
        <v>0</v>
      </c>
      <c r="AI14" s="29">
        <f>IF(AJ14=0,0,IF(DaB!AV14&gt;0,DaB!AW14-DaB!AV14,0))</f>
        <v>0</v>
      </c>
      <c r="AJ14" s="33">
        <f>IF(DaB!AX14&gt;0,DaB!AX14-DaB!AW14+1,0)</f>
        <v>0</v>
      </c>
      <c r="AK14" s="32">
        <f>IF(AJ14=0,0,IF(DaB!AZ14&gt;0,DaB!AZ14-DaB!AY14+1,0))</f>
        <v>0</v>
      </c>
      <c r="AL14" s="30">
        <f>IF(AJ14=0,0,IF(DaB!BA14&gt;0,DaB!BA14-MAX(DaB!AX14:AZ14),0))</f>
        <v>0</v>
      </c>
      <c r="AM14" s="34">
        <f>IF(AO14=0,0,MIN(DaB!$BC14:$BD14)-SUM($C14:AL14))</f>
        <v>0</v>
      </c>
      <c r="AN14" s="29">
        <f>IF(AO14=0,0,IF(DaB!BC14&gt;0,DaB!BD14-DaB!BC14,0))</f>
        <v>0</v>
      </c>
      <c r="AO14" s="33">
        <f>IF(DaB!BE14&gt;0,DaB!BE14-DaB!BD14+1,0)</f>
        <v>0</v>
      </c>
      <c r="AP14" s="32">
        <f>IF(AO14=0,0,IF(DaB!BG14&gt;0,DaB!BG14-DaB!BF14+1,0))</f>
        <v>0</v>
      </c>
      <c r="AQ14" s="30">
        <f>IF(AO14=0,0,IF(DaB!BH14&gt;0,DaB!BH14-MAX(DaB!BE14:BG14),0))</f>
        <v>0</v>
      </c>
      <c r="AR14" s="34">
        <f>IF(AT14=0,0,MIN(DaB!$BJ14:$BK14)-SUM($C14:AQ14))</f>
        <v>0</v>
      </c>
      <c r="AS14" s="29">
        <f>IF(AT14=0,0,IF(DaB!BJ14&gt;0,DaB!BK14-DaB!BJ14,0))</f>
        <v>0</v>
      </c>
      <c r="AT14" s="33">
        <f>IF(DaB!BL14&gt;0,DaB!BL14-DaB!BK14+1,0)</f>
        <v>0</v>
      </c>
      <c r="AU14" s="32">
        <f>IF(AT14=0,0,IF(DaB!BN14&gt;0,DaB!BN14-DaB!BM14+1,0))</f>
        <v>0</v>
      </c>
      <c r="AV14" s="30">
        <f>IF(AT14=0,0,IF(DaB!BO14&gt;0,DaB!BO14-MAX(DaB!BL14:BN14),0))</f>
        <v>0</v>
      </c>
      <c r="AW14" s="34">
        <f>IF(AY14=0,0,MIN(DaB!$BQ14:$BR14)-SUM($C14:AV14))</f>
        <v>0</v>
      </c>
      <c r="AX14" s="29">
        <f>IF(AY14=0,0,IF(DaB!BQ14&gt;0,DaB!BR14-DaB!BQ14,0))</f>
        <v>0</v>
      </c>
      <c r="AY14" s="33">
        <f>IF(DaB!BS14&gt;0,DaB!BS14-DaB!BR14+1,0)</f>
        <v>0</v>
      </c>
      <c r="AZ14" s="32">
        <f>IF(AY14=0,0,IF(DaB!BU14&gt;0,DaB!BU14-DaB!BT14+1,0))</f>
        <v>0</v>
      </c>
      <c r="BA14" s="30">
        <f>IF(AY14=0,0,IF(DaB!BV14&gt;0,DaB!BV14-MAX(DaB!BS14:BU14),0))</f>
        <v>0</v>
      </c>
      <c r="BB14" s="34">
        <f>IF(BD14=0,0,MIN(DaB!$BX14:$BY14)-SUM($C14:BA14))</f>
        <v>0</v>
      </c>
      <c r="BC14" s="29">
        <f>IF(BD14=0,0,IF(DaB!BX14&gt;0,DaB!BY14-DaB!BX14,0))</f>
        <v>0</v>
      </c>
      <c r="BD14" s="33">
        <f>IF(DaB!BZ14&gt;0,DaB!BZ14-DaB!BY14+1,0)</f>
        <v>0</v>
      </c>
      <c r="BE14" s="32">
        <f>IF(BD14=0,0,IF(DaB!CB14&gt;0,DaB!CB14-DaB!CA14+1,0))</f>
        <v>0</v>
      </c>
      <c r="BF14" s="30">
        <f>IF(BD14=0,0,IF(DaB!CC14&gt;0,DaB!CC14-MAX(DaB!BZ14:CB14),0))</f>
        <v>0</v>
      </c>
      <c r="BG14" s="34">
        <f>IF(BI14=0,0,MIN(DaB!$CE14:$CF14)-SUM($C14:BF14))</f>
        <v>0</v>
      </c>
      <c r="BH14" s="29">
        <f>IF(BI14=0,0,IF(DaB!CE14&gt;0,DaB!CF14-DaB!CE14,0))</f>
        <v>0</v>
      </c>
      <c r="BI14" s="33">
        <f>IF(DaB!CG14&gt;0,DaB!CG14-DaB!CF14+1,0)</f>
        <v>0</v>
      </c>
      <c r="BJ14" s="32">
        <f>IF(BI14=0,0,IF(DaB!CI14&gt;0,DaB!CI14-DaB!CH14+1,0))</f>
        <v>0</v>
      </c>
      <c r="BK14" s="30">
        <f>IF(BI14=0,0,IF(DaB!CJ14&gt;0,DaB!CJ14-MAX(DaB!CG14:CI14),0))</f>
        <v>0</v>
      </c>
      <c r="BL14" s="34">
        <f>IF(BN14=0,0,MIN(DaB!$CL14:$CM14)-SUM($C14:BK14))</f>
        <v>0</v>
      </c>
      <c r="BM14" s="29">
        <f>IF(BN14=0,0,IF(DaB!CL14&gt;0,DaB!CM14-DaB!CL14,0))</f>
        <v>0</v>
      </c>
      <c r="BN14" s="33">
        <f>IF(DaB!CN14&gt;0,DaB!CN14-DaB!CM14+1,0)</f>
        <v>0</v>
      </c>
      <c r="BO14" s="32">
        <f>IF(BN14=0,0,IF(DaB!CP14&gt;0,DaB!CP14-DaB!CO14+1,0))</f>
        <v>0</v>
      </c>
      <c r="BP14" s="30">
        <f>IF(BN14=0,0,IF(DaB!CQ14&gt;0,DaB!CQ14-MAX(DaB!CN14:CP14),0))</f>
        <v>0</v>
      </c>
      <c r="BQ14" s="34">
        <f>IF(BS14=0,0,MIN(DaB!$CS14:$CT14)-SUM($C14:BP14))</f>
        <v>0</v>
      </c>
      <c r="BR14" s="29">
        <f>IF(BS14=0,0,IF(DaB!CS14&gt;0,DaB!CT14-DaB!CS14,0))</f>
        <v>0</v>
      </c>
      <c r="BS14" s="33">
        <f>IF(DaB!CU14&gt;0,DaB!CU14-DaB!CT14+1,0)</f>
        <v>0</v>
      </c>
      <c r="BT14" s="32">
        <f>IF(BS14=0,0,IF(DaB!CW14&gt;0,DaB!CW14-DaB!CV14+1,0))</f>
        <v>0</v>
      </c>
      <c r="BU14" s="30">
        <f>IF(BS14=0,0,IF(DaB!CX14&gt;0,DaB!CX14-MAX(DaB!CU14:CW14),0))</f>
        <v>0</v>
      </c>
      <c r="BV14" s="34">
        <f>IF(BX14=0,0,MIN(DaB!$CZ14:$DA14)-SUM($C14:BU14))</f>
        <v>0</v>
      </c>
      <c r="BW14" s="29">
        <f>IF(BX14=0,0,IF(DaB!CZ14&gt;0,DaB!DA14-DaB!CZ14,0))</f>
        <v>0</v>
      </c>
      <c r="BX14" s="33">
        <f>IF(DaB!DB14&gt;0,DaB!DB14-DaB!DA14+1,0)</f>
        <v>0</v>
      </c>
      <c r="BY14" s="32">
        <f>IF(BX14=0,0,IF(DaB!DD14&gt;0,DaB!DD14-DaB!DC14+1,0))</f>
        <v>0</v>
      </c>
      <c r="BZ14" s="30">
        <f>IF(BX14=0,0,IF(DaB!DE14&gt;0,DaB!DE14-MAX(DaB!DB14:DD14),0))</f>
        <v>0</v>
      </c>
      <c r="CA14" s="34">
        <f>IF(CC14=0,0,MIN(DaB!$DG14:$DH14)-SUM($C14:BZ14))</f>
        <v>0</v>
      </c>
      <c r="CB14" s="29">
        <f>IF(CC14=0,0,IF(DaB!DG14&gt;0,DaB!DH14-DaB!DG14,0))</f>
        <v>0</v>
      </c>
      <c r="CC14" s="33">
        <f>IF(DaB!DI14&gt;0,DaB!DI14-DaB!DH14+1,0)</f>
        <v>0</v>
      </c>
      <c r="CD14" s="32">
        <f>IF(CC14=0,0,IF(DaB!DK14&gt;0,DaB!DK14-DaB!DJ14+1,0))</f>
        <v>0</v>
      </c>
      <c r="CE14" s="30">
        <f>IF(CC14=0,0,IF(DaB!DL14&gt;0,DaB!DL14-MAX(DaB!DI14:DK14),0))</f>
        <v>0</v>
      </c>
      <c r="CF14" s="34">
        <f>IF(CH14=0,0,MIN(DaB!$DN14:$DO14)-SUM($C14:CE14))</f>
        <v>0</v>
      </c>
      <c r="CG14" s="29">
        <f>IF(CH14=0,0,IF(DaB!DN14&gt;0,DaB!DO14-DaB!DN14,0))</f>
        <v>0</v>
      </c>
      <c r="CH14" s="33">
        <f>IF(DaB!DP14&gt;0,DaB!DP14-DaB!DO14+1,0)</f>
        <v>0</v>
      </c>
      <c r="CI14" s="32">
        <f>IF(CH14=0,0,IF(DaB!DR14&gt;0,DaB!DR14-DaB!DQ14+1,0))</f>
        <v>0</v>
      </c>
      <c r="CJ14" s="30">
        <f>IF(CH14=0,0,IF(DaB!DS14&gt;0,DaB!DS14-MAX(DaB!DP14:DR14),0))</f>
        <v>0</v>
      </c>
      <c r="CK14" s="34">
        <f>IF(CM14=0,0,MIN(DaB!$DU14:$DV14)-SUM($C14:CJ14))</f>
        <v>0</v>
      </c>
      <c r="CL14" s="29">
        <f>IF(CM14=0,0,IF(DaB!DU14&gt;0,DaB!DV14-DaB!DU14,0))</f>
        <v>0</v>
      </c>
      <c r="CM14" s="33">
        <f>IF(DaB!DW14&gt;0,DaB!DW14-DaB!DV14+1,0)</f>
        <v>0</v>
      </c>
      <c r="CN14" s="32">
        <f>IF(CM14=0,0,IF(DaB!DY14&gt;0,DaB!DY14-DaB!DX14+1,0))</f>
        <v>0</v>
      </c>
      <c r="CO14" s="30">
        <f>IF(CM14=0,0,IF(DaB!DZ14&gt;0,DaB!DZ14-MAX(DaB!DW14:DY14),0))</f>
        <v>0</v>
      </c>
      <c r="CP14" s="34">
        <f>IF(CR14=0,0,MIN(DaB!$EB14:$EC14)-SUM($C14:CO14))</f>
        <v>0</v>
      </c>
      <c r="CQ14" s="29">
        <f>IF(CR14=0,0,IF(DaB!EB14&gt;0,DaB!EC14-DaB!EB14,0))</f>
        <v>0</v>
      </c>
      <c r="CR14" s="33">
        <f>IF(DaB!ED14&gt;0,DaB!ED14-DaB!EC14+1,0)</f>
        <v>0</v>
      </c>
      <c r="CS14" s="32">
        <f>IF(CR14=0,0,IF(DaB!EF14&gt;0,DaB!EF14-DaB!EE14+1,0))</f>
        <v>0</v>
      </c>
      <c r="CT14" s="30">
        <f>IF(CR14=0,0,IF(DaB!EG14&gt;0,DaB!EG14-MAX(DaB!ED14:EF14),0))</f>
        <v>0</v>
      </c>
      <c r="CU14" s="34">
        <f>IF(CW14=0,0,MIN(DaB!$EI14:$EJ14)-SUM($C14:CT14))</f>
        <v>0</v>
      </c>
      <c r="CV14" s="29">
        <f>IF(CW14=0,0,IF(DaB!EI14&gt;0,DaB!EJ14-DaB!EI14,0))</f>
        <v>0</v>
      </c>
      <c r="CW14" s="33">
        <f>IF(DaB!EK14&gt;0,DaB!EK14-DaB!EJ14+1,0)</f>
        <v>0</v>
      </c>
      <c r="CX14" s="32">
        <f>IF(CW14=0,0,IF(DaB!EM14&gt;0,DaB!EM14-DaB!EL14+1,0))</f>
        <v>0</v>
      </c>
      <c r="CY14" s="30">
        <f>IF(CW14=0,0,IF(DaB!EN14&gt;0,DaB!EN14-MAX(DaB!EK14:EM14),0))</f>
        <v>0</v>
      </c>
      <c r="DF14" s="2">
        <f t="shared" si="0"/>
        <v>45474</v>
      </c>
      <c r="DG14" s="28">
        <f>IF(MIN(DaB!EU14:EV14)=DF14,0,
IF(MIN(DaB!EU14:EV14)&gt;DF14,MIN(DaB!EU14:EV14)-DF14,0))</f>
        <v>0</v>
      </c>
      <c r="DH14" s="29">
        <f>DaB!EV14-SUM(DF14:DG14)</f>
        <v>-45474</v>
      </c>
      <c r="DI14" s="10"/>
      <c r="DJ14" s="10"/>
      <c r="DK14" s="11"/>
      <c r="DL14" s="11"/>
      <c r="DM14" s="30"/>
      <c r="DN14" s="28"/>
      <c r="DO14" s="29"/>
      <c r="DP14" s="10"/>
      <c r="DQ14" s="10"/>
      <c r="DR14" s="11"/>
      <c r="DS14" s="11"/>
      <c r="DT14" s="30"/>
      <c r="DU14" s="28"/>
      <c r="DV14" s="29"/>
      <c r="DW14" s="10"/>
      <c r="DX14" s="10"/>
      <c r="DY14" s="11"/>
      <c r="DZ14" s="11"/>
      <c r="EA14" s="30"/>
      <c r="EB14" s="28"/>
      <c r="EC14" s="29"/>
      <c r="ED14" s="10"/>
      <c r="EE14" s="10"/>
      <c r="EF14" s="11"/>
      <c r="EG14" s="11"/>
      <c r="EH14" s="30"/>
      <c r="EI14" s="34"/>
      <c r="EJ14" s="29"/>
      <c r="EK14" s="10"/>
      <c r="EL14" s="10"/>
      <c r="EM14" s="30"/>
      <c r="EN14" s="34"/>
      <c r="EO14" s="29"/>
      <c r="EP14" s="47"/>
      <c r="EQ14" s="47"/>
      <c r="ER14" s="30"/>
      <c r="ES14" s="34"/>
      <c r="ET14" s="29"/>
      <c r="EU14" s="47"/>
      <c r="EV14" s="47"/>
      <c r="EW14" s="30"/>
    </row>
    <row r="15" spans="1:153" x14ac:dyDescent="0.2">
      <c r="A15" s="2" t="str">
        <f>DaB!A15</f>
        <v>Calendar 5</v>
      </c>
      <c r="B15" s="2" t="str">
        <f t="shared" si="3"/>
        <v>.</v>
      </c>
      <c r="C15" s="27">
        <f t="shared" si="1"/>
        <v>45474</v>
      </c>
      <c r="D15" s="34">
        <f>IFERROR(MIN(DaB!F15:K15)-C15,0)</f>
        <v>-45474</v>
      </c>
      <c r="E15" s="29">
        <f>IF(F15=0,0,IF(DaB!F15&gt;0,DaB!G15-DaB!F15,0))</f>
        <v>0</v>
      </c>
      <c r="F15" s="33">
        <f>IF(DaB!G15&gt;MAX(DaB!EV15,DaB!FJ15),DaB!H15-DaB!G15+1,
IF(DaB!H15&gt;0,DaB!H15-DaB!G15,0))</f>
        <v>0</v>
      </c>
      <c r="G15" s="32">
        <f>IF(F15=0,0,IF(DaB!J15&gt;0,DaB!J15-DaB!I15+1,0))</f>
        <v>0</v>
      </c>
      <c r="H15" s="30">
        <f>IF(F15=0,0,IF(DaB!K15&gt;0,DaB!K15-MAX(DaB!H15:J15),0))</f>
        <v>0</v>
      </c>
      <c r="I15" s="34">
        <f>IF(K15=0,0,MIN(DaB!$M15:$N15)-SUM($C15:H15))</f>
        <v>0</v>
      </c>
      <c r="J15" s="29">
        <f>IF(K15=0,0,IF(DaB!M15&gt;0,DaB!N15-DaB!M15,0))</f>
        <v>0</v>
      </c>
      <c r="K15" s="33">
        <f>IF(DaB!O15&gt;0,DaB!O15-DaB!N15+1,0)</f>
        <v>0</v>
      </c>
      <c r="L15" s="32">
        <f>IF(K15=0,0,IF(DaB!Q15&gt;0,DaB!Q15-DaB!P15+1,0))</f>
        <v>0</v>
      </c>
      <c r="M15" s="30">
        <f>IF(K15=0,0,IF(DaB!R15&gt;0,DaB!R15-MAX(DaB!O15:Q15),0))</f>
        <v>0</v>
      </c>
      <c r="N15" s="31">
        <f>IF(P15=0,0,MIN(DaB!$T15:$U15)-SUM($C15:M15))</f>
        <v>0</v>
      </c>
      <c r="O15" s="29">
        <f>IF(P15=0,0,IF(DaB!T15&gt;0,DaB!U15-DaB!T15,0))</f>
        <v>0</v>
      </c>
      <c r="P15" s="33">
        <f>IF(DaB!V15&gt;0,DaB!V15-DaB!U15+1,0)</f>
        <v>0</v>
      </c>
      <c r="Q15" s="32">
        <f>IF(P15=0,0,IF(DaB!X15&gt;0,DaB!X15-DaB!W15+1,0))</f>
        <v>0</v>
      </c>
      <c r="R15" s="30">
        <f>IF(P15=0,0,IF(DaB!Y15&gt;0,DaB!Y15-MAX(DaB!V15:X15),0))</f>
        <v>0</v>
      </c>
      <c r="S15" s="34">
        <f>IF(U15=0,0,MIN(DaB!$AA15:$AB15)-SUM($C15:R15))</f>
        <v>0</v>
      </c>
      <c r="T15" s="29">
        <f>IF(U15=0,0,IF(DaB!AA15&gt;0,DaB!AB15-DaB!AA15,0))</f>
        <v>0</v>
      </c>
      <c r="U15" s="33">
        <f>IF(DaB!AC15&gt;0,DaB!AC15-DaB!AB15+1,0)</f>
        <v>0</v>
      </c>
      <c r="V15" s="32">
        <f>IF(U15=0,0,IF(DaB!AE15&gt;0,DaB!AE15-DaB!AD15+1,0))</f>
        <v>0</v>
      </c>
      <c r="W15" s="30">
        <f>IF(U15=0,0,IF(DaB!AF15&gt;0,DaB!AF15-MAX(DaB!AC15:AE15),0))</f>
        <v>0</v>
      </c>
      <c r="X15" s="34">
        <f>IF(Z15=0,0,MIN(DaB!$AH15:$AI15)-SUM($C15:W15))</f>
        <v>0</v>
      </c>
      <c r="Y15" s="29">
        <f>IF(Z15=0,0,IF(DaB!AH15&gt;0,DaB!AI15-DaB!AH15,0))</f>
        <v>0</v>
      </c>
      <c r="Z15" s="33">
        <f>IF(DaB!AJ15&gt;0,DaB!AJ15-DaB!AI15+1,0)</f>
        <v>0</v>
      </c>
      <c r="AA15" s="32">
        <f>IF(Z15=0,0,IF(DaB!AL15&gt;0,DaB!AL15-DaB!AK15+1,0))</f>
        <v>0</v>
      </c>
      <c r="AB15" s="30">
        <f>IF(Z15=0,0,IF(DaB!AM15&gt;0,DaB!AM15-MAX(DaB!AJ15:AL15),0))</f>
        <v>0</v>
      </c>
      <c r="AC15" s="34">
        <f>IF(AE15=0,0,MIN(DaB!$AO15:$AP15)-SUM($C15:AB15))</f>
        <v>0</v>
      </c>
      <c r="AD15" s="29">
        <f>IF(AE15=0,0,IF(DaB!AO15&gt;0,DaB!AP15-DaB!AO15,0))</f>
        <v>0</v>
      </c>
      <c r="AE15" s="33">
        <f>IF(DaB!AQ15&gt;0,DaB!AQ15-DaB!AP15+1,0)</f>
        <v>0</v>
      </c>
      <c r="AF15" s="32">
        <f>IF(AE15=0,0,IF(DaB!AS15&gt;0,DaB!AS15-DaB!AR15+1,0))</f>
        <v>0</v>
      </c>
      <c r="AG15" s="30">
        <f>IF(AE15=0,0,IF(DaB!AT15&gt;0,DaB!AT15-MAX(DaB!AQ15:AS15),0))</f>
        <v>0</v>
      </c>
      <c r="AH15" s="34">
        <f>IF(AJ15=0,0,MIN(DaB!$AV15:$AW15)-SUM($C15:AG15))</f>
        <v>0</v>
      </c>
      <c r="AI15" s="29">
        <f>IF(AJ15=0,0,IF(DaB!AV15&gt;0,DaB!AW15-DaB!AV15,0))</f>
        <v>0</v>
      </c>
      <c r="AJ15" s="33">
        <f>IF(DaB!AX15&gt;0,DaB!AX15-DaB!AW15+1,0)</f>
        <v>0</v>
      </c>
      <c r="AK15" s="32">
        <f>IF(AJ15=0,0,IF(DaB!AZ15&gt;0,DaB!AZ15-DaB!AY15+1,0))</f>
        <v>0</v>
      </c>
      <c r="AL15" s="30">
        <f>IF(AJ15=0,0,IF(DaB!BA15&gt;0,DaB!BA15-MAX(DaB!AX15:AZ15),0))</f>
        <v>0</v>
      </c>
      <c r="AM15" s="34">
        <f>IF(AO15=0,0,MIN(DaB!$BC15:$BD15)-SUM($C15:AL15))</f>
        <v>0</v>
      </c>
      <c r="AN15" s="29">
        <f>IF(AO15=0,0,IF(DaB!BC15&gt;0,DaB!BD15-DaB!BC15,0))</f>
        <v>0</v>
      </c>
      <c r="AO15" s="33">
        <f>IF(DaB!BE15&gt;0,DaB!BE15-DaB!BD15+1,0)</f>
        <v>0</v>
      </c>
      <c r="AP15" s="32">
        <f>IF(AO15=0,0,IF(DaB!BG15&gt;0,DaB!BG15-DaB!BF15+1,0))</f>
        <v>0</v>
      </c>
      <c r="AQ15" s="30">
        <f>IF(AO15=0,0,IF(DaB!BH15&gt;0,DaB!BH15-MAX(DaB!BE15:BG15),0))</f>
        <v>0</v>
      </c>
      <c r="AR15" s="34">
        <f>IF(AT15=0,0,MIN(DaB!$BJ15:$BK15)-SUM($C15:AQ15))</f>
        <v>0</v>
      </c>
      <c r="AS15" s="29">
        <f>IF(AT15=0,0,IF(DaB!BJ15&gt;0,DaB!BK15-DaB!BJ15,0))</f>
        <v>0</v>
      </c>
      <c r="AT15" s="33">
        <f>IF(DaB!BL15&gt;0,DaB!BL15-DaB!BK15+1,0)</f>
        <v>0</v>
      </c>
      <c r="AU15" s="32">
        <f>IF(AT15=0,0,IF(DaB!BN15&gt;0,DaB!BN15-DaB!BM15+1,0))</f>
        <v>0</v>
      </c>
      <c r="AV15" s="30">
        <f>IF(AT15=0,0,IF(DaB!BO15&gt;0,DaB!BO15-MAX(DaB!BL15:BN15),0))</f>
        <v>0</v>
      </c>
      <c r="AW15" s="34">
        <f>IF(AY15=0,0,MIN(DaB!$BQ15:$BR15)-SUM($C15:AV15))</f>
        <v>0</v>
      </c>
      <c r="AX15" s="29">
        <f>IF(AY15=0,0,IF(DaB!BQ15&gt;0,DaB!BR15-DaB!BQ15,0))</f>
        <v>0</v>
      </c>
      <c r="AY15" s="33">
        <f>IF(DaB!BS15&gt;0,DaB!BS15-DaB!BR15+1,0)</f>
        <v>0</v>
      </c>
      <c r="AZ15" s="32">
        <f>IF(AY15=0,0,IF(DaB!BU15&gt;0,DaB!BU15-DaB!BT15+1,0))</f>
        <v>0</v>
      </c>
      <c r="BA15" s="30">
        <f>IF(AY15=0,0,IF(DaB!BV15&gt;0,DaB!BV15-MAX(DaB!BS15:BU15),0))</f>
        <v>0</v>
      </c>
      <c r="BB15" s="34">
        <f>IF(BD15=0,0,MIN(DaB!$BX15:$BY15)-SUM($C15:BA15))</f>
        <v>0</v>
      </c>
      <c r="BC15" s="29">
        <f>IF(BD15=0,0,IF(DaB!BX15&gt;0,DaB!BY15-DaB!BX15,0))</f>
        <v>0</v>
      </c>
      <c r="BD15" s="33">
        <f>IF(DaB!BZ15&gt;0,DaB!BZ15-DaB!BY15+1,0)</f>
        <v>0</v>
      </c>
      <c r="BE15" s="32">
        <f>IF(BD15=0,0,IF(DaB!CB15&gt;0,DaB!CB15-DaB!CA15+1,0))</f>
        <v>0</v>
      </c>
      <c r="BF15" s="30">
        <f>IF(BD15=0,0,IF(DaB!CC15&gt;0,DaB!CC15-MAX(DaB!BZ15:CB15),0))</f>
        <v>0</v>
      </c>
      <c r="BG15" s="34">
        <f>IF(BI15=0,0,MIN(DaB!$CE15:$CF15)-SUM($C15:BF15))</f>
        <v>0</v>
      </c>
      <c r="BH15" s="29">
        <f>IF(BI15=0,0,IF(DaB!CE15&gt;0,DaB!CF15-DaB!CE15,0))</f>
        <v>0</v>
      </c>
      <c r="BI15" s="33">
        <f>IF(DaB!CG15&gt;0,DaB!CG15-DaB!CF15+1,0)</f>
        <v>0</v>
      </c>
      <c r="BJ15" s="32">
        <f>IF(BI15=0,0,IF(DaB!CI15&gt;0,DaB!CI15-DaB!CH15+1,0))</f>
        <v>0</v>
      </c>
      <c r="BK15" s="30">
        <f>IF(BI15=0,0,IF(DaB!CJ15&gt;0,DaB!CJ15-MAX(DaB!CG15:CI15),0))</f>
        <v>0</v>
      </c>
      <c r="BL15" s="34">
        <f>IF(BN15=0,0,MIN(DaB!$CL15:$CM15)-SUM($C15:BK15))</f>
        <v>0</v>
      </c>
      <c r="BM15" s="29">
        <f>IF(BN15=0,0,IF(DaB!CL15&gt;0,DaB!CM15-DaB!CL15,0))</f>
        <v>0</v>
      </c>
      <c r="BN15" s="33">
        <f>IF(DaB!CN15&gt;0,DaB!CN15-DaB!CM15+1,0)</f>
        <v>0</v>
      </c>
      <c r="BO15" s="32">
        <f>IF(BN15=0,0,IF(DaB!CP15&gt;0,DaB!CP15-DaB!CO15+1,0))</f>
        <v>0</v>
      </c>
      <c r="BP15" s="30">
        <f>IF(BN15=0,0,IF(DaB!CQ15&gt;0,DaB!CQ15-MAX(DaB!CN15:CP15),0))</f>
        <v>0</v>
      </c>
      <c r="BQ15" s="34">
        <f>IF(BS15=0,0,MIN(DaB!$CS15:$CT15)-SUM($C15:BP15))</f>
        <v>0</v>
      </c>
      <c r="BR15" s="29">
        <f>IF(BS15=0,0,IF(DaB!CS15&gt;0,DaB!CT15-DaB!CS15,0))</f>
        <v>0</v>
      </c>
      <c r="BS15" s="33">
        <f>IF(DaB!CU15&gt;0,DaB!CU15-DaB!CT15+1,0)</f>
        <v>0</v>
      </c>
      <c r="BT15" s="32">
        <f>IF(BS15=0,0,IF(DaB!CW15&gt;0,DaB!CW15-DaB!CV15+1,0))</f>
        <v>0</v>
      </c>
      <c r="BU15" s="30">
        <f>IF(BS15=0,0,IF(DaB!CX15&gt;0,DaB!CX15-MAX(DaB!CU15:CW15),0))</f>
        <v>0</v>
      </c>
      <c r="BV15" s="34">
        <f>IF(BX15=0,0,MIN(DaB!$CZ15:$DA15)-SUM($C15:BU15))</f>
        <v>0</v>
      </c>
      <c r="BW15" s="29">
        <f>IF(BX15=0,0,IF(DaB!CZ15&gt;0,DaB!DA15-DaB!CZ15,0))</f>
        <v>0</v>
      </c>
      <c r="BX15" s="33">
        <f>IF(DaB!DB15&gt;0,DaB!DB15-DaB!DA15+1,0)</f>
        <v>0</v>
      </c>
      <c r="BY15" s="32">
        <f>IF(BX15=0,0,IF(DaB!DD15&gt;0,DaB!DD15-DaB!DC15+1,0))</f>
        <v>0</v>
      </c>
      <c r="BZ15" s="30">
        <f>IF(BX15=0,0,IF(DaB!DE15&gt;0,DaB!DE15-MAX(DaB!DB15:DD15),0))</f>
        <v>0</v>
      </c>
      <c r="CA15" s="34">
        <f>IF(CC15=0,0,MIN(DaB!$DG15:$DH15)-SUM($C15:BZ15))</f>
        <v>0</v>
      </c>
      <c r="CB15" s="29">
        <f>IF(CC15=0,0,IF(DaB!DG15&gt;0,DaB!DH15-DaB!DG15,0))</f>
        <v>0</v>
      </c>
      <c r="CC15" s="33">
        <f>IF(DaB!DI15&gt;0,DaB!DI15-DaB!DH15+1,0)</f>
        <v>0</v>
      </c>
      <c r="CD15" s="32">
        <f>IF(CC15=0,0,IF(DaB!DK15&gt;0,DaB!DK15-DaB!DJ15+1,0))</f>
        <v>0</v>
      </c>
      <c r="CE15" s="30">
        <f>IF(CC15=0,0,IF(DaB!DL15&gt;0,DaB!DL15-MAX(DaB!DI15:DK15),0))</f>
        <v>0</v>
      </c>
      <c r="CF15" s="34">
        <f>IF(CH15=0,0,MIN(DaB!$DN15:$DO15)-SUM($C15:CE15))</f>
        <v>0</v>
      </c>
      <c r="CG15" s="29">
        <f>IF(CH15=0,0,IF(DaB!DN15&gt;0,DaB!DO15-DaB!DN15,0))</f>
        <v>0</v>
      </c>
      <c r="CH15" s="33">
        <f>IF(DaB!DP15&gt;0,DaB!DP15-DaB!DO15+1,0)</f>
        <v>0</v>
      </c>
      <c r="CI15" s="32">
        <f>IF(CH15=0,0,IF(DaB!DR15&gt;0,DaB!DR15-DaB!DQ15+1,0))</f>
        <v>0</v>
      </c>
      <c r="CJ15" s="30">
        <f>IF(CH15=0,0,IF(DaB!DS15&gt;0,DaB!DS15-MAX(DaB!DP15:DR15),0))</f>
        <v>0</v>
      </c>
      <c r="CK15" s="34">
        <f>IF(CM15=0,0,MIN(DaB!$DU15:$DV15)-SUM($C15:CJ15))</f>
        <v>0</v>
      </c>
      <c r="CL15" s="29">
        <f>IF(CM15=0,0,IF(DaB!DU15&gt;0,DaB!DV15-DaB!DU15,0))</f>
        <v>0</v>
      </c>
      <c r="CM15" s="33">
        <f>IF(DaB!DW15&gt;0,DaB!DW15-DaB!DV15+1,0)</f>
        <v>0</v>
      </c>
      <c r="CN15" s="32">
        <f>IF(CM15=0,0,IF(DaB!DY15&gt;0,DaB!DY15-DaB!DX15+1,0))</f>
        <v>0</v>
      </c>
      <c r="CO15" s="30">
        <f>IF(CM15=0,0,IF(DaB!DZ15&gt;0,DaB!DZ15-MAX(DaB!DW15:DY15),0))</f>
        <v>0</v>
      </c>
      <c r="CP15" s="34">
        <f>IF(CR15=0,0,MIN(DaB!$EB15:$EC15)-SUM($C15:CO15))</f>
        <v>0</v>
      </c>
      <c r="CQ15" s="29">
        <f>IF(CR15=0,0,IF(DaB!EB15&gt;0,DaB!EC15-DaB!EB15,0))</f>
        <v>0</v>
      </c>
      <c r="CR15" s="33">
        <f>IF(DaB!ED15&gt;0,DaB!ED15-DaB!EC15+1,0)</f>
        <v>0</v>
      </c>
      <c r="CS15" s="32">
        <f>IF(CR15=0,0,IF(DaB!EF15&gt;0,DaB!EF15-DaB!EE15+1,0))</f>
        <v>0</v>
      </c>
      <c r="CT15" s="30">
        <f>IF(CR15=0,0,IF(DaB!EG15&gt;0,DaB!EG15-MAX(DaB!ED15:EF15),0))</f>
        <v>0</v>
      </c>
      <c r="CU15" s="34">
        <f>IF(CW15=0,0,MIN(DaB!$EI15:$EJ15)-SUM($C15:CT15))</f>
        <v>0</v>
      </c>
      <c r="CV15" s="29">
        <f>IF(CW15=0,0,IF(DaB!EI15&gt;0,DaB!EJ15-DaB!EI15,0))</f>
        <v>0</v>
      </c>
      <c r="CW15" s="33">
        <f>IF(DaB!EK15&gt;0,DaB!EK15-DaB!EJ15+1,0)</f>
        <v>0</v>
      </c>
      <c r="CX15" s="32">
        <f>IF(CW15=0,0,IF(DaB!EM15&gt;0,DaB!EM15-DaB!EL15+1,0))</f>
        <v>0</v>
      </c>
      <c r="CY15" s="30">
        <f>IF(CW15=0,0,IF(DaB!EN15&gt;0,DaB!EN15-MAX(DaB!EK15:EM15),0))</f>
        <v>0</v>
      </c>
      <c r="DC15" s="49"/>
      <c r="DD15" s="183"/>
      <c r="DF15" s="2">
        <f t="shared" si="0"/>
        <v>45474</v>
      </c>
      <c r="DG15" s="28">
        <f>IF(MIN(DaB!EU15:EV15)=DF15,0,
IF(MIN(DaB!EU15:EV15)&gt;DF15,MIN(DaB!EU15:EV15)-DF15,0))</f>
        <v>0</v>
      </c>
      <c r="DH15" s="29">
        <f>DaB!EV15-SUM(DF15:DG15)</f>
        <v>-45474</v>
      </c>
      <c r="DI15" s="10"/>
      <c r="DJ15" s="10"/>
      <c r="DK15" s="11"/>
      <c r="DL15" s="11"/>
      <c r="DM15" s="30"/>
      <c r="DN15" s="28"/>
      <c r="DO15" s="29"/>
      <c r="DP15" s="10"/>
      <c r="DQ15" s="10"/>
      <c r="DR15" s="11"/>
      <c r="DS15" s="11"/>
      <c r="DT15" s="30"/>
      <c r="DU15" s="28"/>
      <c r="DV15" s="29"/>
      <c r="DW15" s="10"/>
      <c r="DX15" s="10"/>
      <c r="DY15" s="11"/>
      <c r="DZ15" s="11"/>
      <c r="EA15" s="30"/>
      <c r="EB15" s="28"/>
      <c r="EC15" s="29"/>
      <c r="ED15" s="10"/>
      <c r="EE15" s="10"/>
      <c r="EF15" s="11"/>
      <c r="EG15" s="11"/>
      <c r="EH15" s="30"/>
      <c r="EI15" s="34"/>
      <c r="EJ15" s="29"/>
      <c r="EK15" s="10"/>
      <c r="EL15" s="10"/>
      <c r="EM15" s="30"/>
      <c r="EN15" s="34"/>
      <c r="EO15" s="29"/>
      <c r="EP15" s="47"/>
      <c r="EQ15" s="47"/>
      <c r="ER15" s="30"/>
      <c r="ES15" s="34"/>
      <c r="ET15" s="29"/>
      <c r="EU15" s="47"/>
      <c r="EV15" s="47"/>
      <c r="EW15" s="30"/>
    </row>
    <row r="16" spans="1:153" x14ac:dyDescent="0.2">
      <c r="A16" s="2" t="str">
        <f>DaB!A16</f>
        <v>Calendar 6</v>
      </c>
      <c r="B16" s="2" t="str">
        <f t="shared" si="3"/>
        <v>.</v>
      </c>
      <c r="C16" s="27">
        <f t="shared" si="1"/>
        <v>45474</v>
      </c>
      <c r="D16" s="34">
        <f>IFERROR(MIN(DaB!F16:K16)-C16,0)</f>
        <v>-45474</v>
      </c>
      <c r="E16" s="29">
        <f>IF(F16=0,0,IF(DaB!F16&gt;0,DaB!G16-DaB!F16,0))</f>
        <v>0</v>
      </c>
      <c r="F16" s="33">
        <f>IF(DaB!G16&gt;MAX(DaB!EV16,DaB!FJ16),DaB!H16-DaB!G16+1,
IF(DaB!H16&gt;0,DaB!H16-DaB!G16,0))</f>
        <v>0</v>
      </c>
      <c r="G16" s="32">
        <f>IF(F16=0,0,IF(DaB!J16&gt;0,DaB!J16-DaB!I16+1,0))</f>
        <v>0</v>
      </c>
      <c r="H16" s="30">
        <f>IF(F16=0,0,IF(DaB!K16&gt;0,DaB!K16-MAX(DaB!H16:J16),0))</f>
        <v>0</v>
      </c>
      <c r="I16" s="34">
        <f>IF(K16=0,0,MIN(DaB!$M16:$N16)-SUM($C16:H16))</f>
        <v>0</v>
      </c>
      <c r="J16" s="29">
        <f>IF(K16=0,0,IF(DaB!M16&gt;0,DaB!N16-DaB!M16,0))</f>
        <v>0</v>
      </c>
      <c r="K16" s="33">
        <f>IF(DaB!O16&gt;0,DaB!O16-DaB!N16+1,0)</f>
        <v>0</v>
      </c>
      <c r="L16" s="32">
        <f>IF(K16=0,0,IF(DaB!Q16&gt;0,DaB!Q16-DaB!P16+1,0))</f>
        <v>0</v>
      </c>
      <c r="M16" s="30">
        <f>IF(K16=0,0,IF(DaB!R16&gt;0,DaB!R16-MAX(DaB!O16:Q16),0))</f>
        <v>0</v>
      </c>
      <c r="N16" s="31">
        <f>IF(P16=0,0,MIN(DaB!$T16:$U16)-SUM($C16:M16))</f>
        <v>0</v>
      </c>
      <c r="O16" s="29">
        <f>IF(P16=0,0,IF(DaB!T16&gt;0,DaB!U16-DaB!T16,0))</f>
        <v>0</v>
      </c>
      <c r="P16" s="33">
        <f>IF(DaB!V16&gt;0,DaB!V16-DaB!U16+1,0)</f>
        <v>0</v>
      </c>
      <c r="Q16" s="32">
        <f>IF(P16=0,0,IF(DaB!X16&gt;0,DaB!X16-DaB!W16+1,0))</f>
        <v>0</v>
      </c>
      <c r="R16" s="30">
        <f>IF(P16=0,0,IF(DaB!Y16&gt;0,DaB!Y16-MAX(DaB!V16:X16),0))</f>
        <v>0</v>
      </c>
      <c r="S16" s="34">
        <f>IF(U16=0,0,MIN(DaB!$AA16:$AB16)-SUM($C16:R16))</f>
        <v>0</v>
      </c>
      <c r="T16" s="29">
        <f>IF(U16=0,0,IF(DaB!AA16&gt;0,DaB!AB16-DaB!AA16,0))</f>
        <v>0</v>
      </c>
      <c r="U16" s="33">
        <f>IF(DaB!AC16&gt;0,DaB!AC16-DaB!AB16+1,0)</f>
        <v>0</v>
      </c>
      <c r="V16" s="32">
        <f>IF(U16=0,0,IF(DaB!AE16&gt;0,DaB!AE16-DaB!AD16+1,0))</f>
        <v>0</v>
      </c>
      <c r="W16" s="30">
        <f>IF(U16=0,0,IF(DaB!AF16&gt;0,DaB!AF16-MAX(DaB!AC16:AE16),0))</f>
        <v>0</v>
      </c>
      <c r="X16" s="34">
        <f>IF(Z16=0,0,MIN(DaB!$AH16:$AI16)-SUM($C16:W16))</f>
        <v>0</v>
      </c>
      <c r="Y16" s="29">
        <f>IF(Z16=0,0,IF(DaB!AH16&gt;0,DaB!AI16-DaB!AH16,0))</f>
        <v>0</v>
      </c>
      <c r="Z16" s="33">
        <f>IF(DaB!AJ16&gt;0,DaB!AJ16-DaB!AI16+1,0)</f>
        <v>0</v>
      </c>
      <c r="AA16" s="32">
        <f>IF(Z16=0,0,IF(DaB!AL16&gt;0,DaB!AL16-DaB!AK16+1,0))</f>
        <v>0</v>
      </c>
      <c r="AB16" s="30">
        <f>IF(Z16=0,0,IF(DaB!AM16&gt;0,DaB!AM16-MAX(DaB!AJ16:AL16),0))</f>
        <v>0</v>
      </c>
      <c r="AC16" s="34">
        <f>IF(AE16=0,0,MIN(DaB!$AO16:$AP16)-SUM($C16:AB16))</f>
        <v>0</v>
      </c>
      <c r="AD16" s="29">
        <f>IF(AE16=0,0,IF(DaB!AO16&gt;0,DaB!AP16-DaB!AO16,0))</f>
        <v>0</v>
      </c>
      <c r="AE16" s="33">
        <f>IF(DaB!AQ16&gt;0,DaB!AQ16-DaB!AP16+1,0)</f>
        <v>0</v>
      </c>
      <c r="AF16" s="32">
        <f>IF(AE16=0,0,IF(DaB!AS16&gt;0,DaB!AS16-DaB!AR16+1,0))</f>
        <v>0</v>
      </c>
      <c r="AG16" s="30">
        <f>IF(AE16=0,0,IF(DaB!AT16&gt;0,DaB!AT16-MAX(DaB!AQ16:AS16),0))</f>
        <v>0</v>
      </c>
      <c r="AH16" s="34">
        <f>IF(AJ16=0,0,MIN(DaB!$AV16:$AW16)-SUM($C16:AG16))</f>
        <v>0</v>
      </c>
      <c r="AI16" s="29">
        <f>IF(AJ16=0,0,IF(DaB!AV16&gt;0,DaB!AW16-DaB!AV16,0))</f>
        <v>0</v>
      </c>
      <c r="AJ16" s="33">
        <f>IF(DaB!AX16&gt;0,DaB!AX16-DaB!AW16+1,0)</f>
        <v>0</v>
      </c>
      <c r="AK16" s="32">
        <f>IF(AJ16=0,0,IF(DaB!AZ16&gt;0,DaB!AZ16-DaB!AY16+1,0))</f>
        <v>0</v>
      </c>
      <c r="AL16" s="30">
        <f>IF(AJ16=0,0,IF(DaB!BA16&gt;0,DaB!BA16-MAX(DaB!AX16:AZ16),0))</f>
        <v>0</v>
      </c>
      <c r="AM16" s="34">
        <f>IF(AO16=0,0,MIN(DaB!$BC16:$BD16)-SUM($C16:AL16))</f>
        <v>0</v>
      </c>
      <c r="AN16" s="29">
        <f>IF(AO16=0,0,IF(DaB!BC16&gt;0,DaB!BD16-DaB!BC16,0))</f>
        <v>0</v>
      </c>
      <c r="AO16" s="33">
        <f>IF(DaB!BE16&gt;0,DaB!BE16-DaB!BD16+1,0)</f>
        <v>0</v>
      </c>
      <c r="AP16" s="32">
        <f>IF(AO16=0,0,IF(DaB!BG16&gt;0,DaB!BG16-DaB!BF16+1,0))</f>
        <v>0</v>
      </c>
      <c r="AQ16" s="30">
        <f>IF(AO16=0,0,IF(DaB!BH16&gt;0,DaB!BH16-MAX(DaB!BE16:BG16),0))</f>
        <v>0</v>
      </c>
      <c r="AR16" s="34">
        <f>IF(AT16=0,0,MIN(DaB!$BJ16:$BK16)-SUM($C16:AQ16))</f>
        <v>0</v>
      </c>
      <c r="AS16" s="29">
        <f>IF(AT16=0,0,IF(DaB!BJ16&gt;0,DaB!BK16-DaB!BJ16,0))</f>
        <v>0</v>
      </c>
      <c r="AT16" s="33">
        <f>IF(DaB!BL16&gt;0,DaB!BL16-DaB!BK16+1,0)</f>
        <v>0</v>
      </c>
      <c r="AU16" s="32">
        <f>IF(AT16=0,0,IF(DaB!BN16&gt;0,DaB!BN16-DaB!BM16+1,0))</f>
        <v>0</v>
      </c>
      <c r="AV16" s="30">
        <f>IF(AT16=0,0,IF(DaB!BO16&gt;0,DaB!BO16-MAX(DaB!BL16:BN16),0))</f>
        <v>0</v>
      </c>
      <c r="AW16" s="34">
        <f>IF(AY16=0,0,MIN(DaB!$BQ16:$BR16)-SUM($C16:AV16))</f>
        <v>0</v>
      </c>
      <c r="AX16" s="29">
        <f>IF(AY16=0,0,IF(DaB!BQ16&gt;0,DaB!BR16-DaB!BQ16,0))</f>
        <v>0</v>
      </c>
      <c r="AY16" s="33">
        <f>IF(DaB!BS16&gt;0,DaB!BS16-DaB!BR16+1,0)</f>
        <v>0</v>
      </c>
      <c r="AZ16" s="32">
        <f>IF(AY16=0,0,IF(DaB!BU16&gt;0,DaB!BU16-DaB!BT16+1,0))</f>
        <v>0</v>
      </c>
      <c r="BA16" s="30">
        <f>IF(AY16=0,0,IF(DaB!BV16&gt;0,DaB!BV16-MAX(DaB!BS16:BU16),0))</f>
        <v>0</v>
      </c>
      <c r="BB16" s="34">
        <f>IF(BD16=0,0,MIN(DaB!$BX16:$BY16)-SUM($C16:BA16))</f>
        <v>0</v>
      </c>
      <c r="BC16" s="29">
        <f>IF(BD16=0,0,IF(DaB!BX16&gt;0,DaB!BY16-DaB!BX16,0))</f>
        <v>0</v>
      </c>
      <c r="BD16" s="33">
        <f>IF(DaB!BZ16&gt;0,DaB!BZ16-DaB!BY16+1,0)</f>
        <v>0</v>
      </c>
      <c r="BE16" s="32">
        <f>IF(BD16=0,0,IF(DaB!CB16&gt;0,DaB!CB16-DaB!CA16+1,0))</f>
        <v>0</v>
      </c>
      <c r="BF16" s="30">
        <f>IF(BD16=0,0,IF(DaB!CC16&gt;0,DaB!CC16-MAX(DaB!BZ16:CB16),0))</f>
        <v>0</v>
      </c>
      <c r="BG16" s="34">
        <f>IF(BI16=0,0,MIN(DaB!$CE16:$CF16)-SUM($C16:BF16))</f>
        <v>0</v>
      </c>
      <c r="BH16" s="29">
        <f>IF(BI16=0,0,IF(DaB!CE16&gt;0,DaB!CF16-DaB!CE16,0))</f>
        <v>0</v>
      </c>
      <c r="BI16" s="33">
        <f>IF(DaB!CG16&gt;0,DaB!CG16-DaB!CF16+1,0)</f>
        <v>0</v>
      </c>
      <c r="BJ16" s="32">
        <f>IF(BI16=0,0,IF(DaB!CI16&gt;0,DaB!CI16-DaB!CH16+1,0))</f>
        <v>0</v>
      </c>
      <c r="BK16" s="30">
        <f>IF(BI16=0,0,IF(DaB!CJ16&gt;0,DaB!CJ16-MAX(DaB!CG16:CI16),0))</f>
        <v>0</v>
      </c>
      <c r="BL16" s="34">
        <f>IF(BN16=0,0,MIN(DaB!$CL16:$CM16)-SUM($C16:BK16))</f>
        <v>0</v>
      </c>
      <c r="BM16" s="29">
        <f>IF(BN16=0,0,IF(DaB!CL16&gt;0,DaB!CM16-DaB!CL16,0))</f>
        <v>0</v>
      </c>
      <c r="BN16" s="33">
        <f>IF(DaB!CN16&gt;0,DaB!CN16-DaB!CM16+1,0)</f>
        <v>0</v>
      </c>
      <c r="BO16" s="32">
        <f>IF(BN16=0,0,IF(DaB!CP16&gt;0,DaB!CP16-DaB!CO16+1,0))</f>
        <v>0</v>
      </c>
      <c r="BP16" s="30">
        <f>IF(BN16=0,0,IF(DaB!CQ16&gt;0,DaB!CQ16-MAX(DaB!CN16:CP16),0))</f>
        <v>0</v>
      </c>
      <c r="BQ16" s="34">
        <f>IF(BS16=0,0,MIN(DaB!$CS16:$CT16)-SUM($C16:BP16))</f>
        <v>0</v>
      </c>
      <c r="BR16" s="29">
        <f>IF(BS16=0,0,IF(DaB!CS16&gt;0,DaB!CT16-DaB!CS16,0))</f>
        <v>0</v>
      </c>
      <c r="BS16" s="33">
        <f>IF(DaB!CU16&gt;0,DaB!CU16-DaB!CT16+1,0)</f>
        <v>0</v>
      </c>
      <c r="BT16" s="32">
        <f>IF(BS16=0,0,IF(DaB!CW16&gt;0,DaB!CW16-DaB!CV16+1,0))</f>
        <v>0</v>
      </c>
      <c r="BU16" s="30">
        <f>IF(BS16=0,0,IF(DaB!CX16&gt;0,DaB!CX16-MAX(DaB!CU16:CW16),0))</f>
        <v>0</v>
      </c>
      <c r="BV16" s="34">
        <f>IF(BX16=0,0,MIN(DaB!$CZ16:$DA16)-SUM($C16:BU16))</f>
        <v>0</v>
      </c>
      <c r="BW16" s="29">
        <f>IF(BX16=0,0,IF(DaB!CZ16&gt;0,DaB!DA16-DaB!CZ16,0))</f>
        <v>0</v>
      </c>
      <c r="BX16" s="33">
        <f>IF(DaB!DB16&gt;0,DaB!DB16-DaB!DA16+1,0)</f>
        <v>0</v>
      </c>
      <c r="BY16" s="32">
        <f>IF(BX16=0,0,IF(DaB!DD16&gt;0,DaB!DD16-DaB!DC16+1,0))</f>
        <v>0</v>
      </c>
      <c r="BZ16" s="30">
        <f>IF(BX16=0,0,IF(DaB!DE16&gt;0,DaB!DE16-MAX(DaB!DB16:DD16),0))</f>
        <v>0</v>
      </c>
      <c r="CA16" s="34">
        <f>IF(CC16=0,0,MIN(DaB!$DG16:$DH16)-SUM($C16:BZ16))</f>
        <v>0</v>
      </c>
      <c r="CB16" s="29">
        <f>IF(CC16=0,0,IF(DaB!DG16&gt;0,DaB!DH16-DaB!DG16,0))</f>
        <v>0</v>
      </c>
      <c r="CC16" s="33">
        <f>IF(DaB!DI16&gt;0,DaB!DI16-DaB!DH16+1,0)</f>
        <v>0</v>
      </c>
      <c r="CD16" s="32">
        <f>IF(CC16=0,0,IF(DaB!DK16&gt;0,DaB!DK16-DaB!DJ16+1,0))</f>
        <v>0</v>
      </c>
      <c r="CE16" s="30">
        <f>IF(CC16=0,0,IF(DaB!DL16&gt;0,DaB!DL16-MAX(DaB!DI16:DK16),0))</f>
        <v>0</v>
      </c>
      <c r="CF16" s="34">
        <f>IF(CH16=0,0,MIN(DaB!$DN16:$DO16)-SUM($C16:CE16))</f>
        <v>0</v>
      </c>
      <c r="CG16" s="29">
        <f>IF(CH16=0,0,IF(DaB!DN16&gt;0,DaB!DO16-DaB!DN16,0))</f>
        <v>0</v>
      </c>
      <c r="CH16" s="33">
        <f>IF(DaB!DP16&gt;0,DaB!DP16-DaB!DO16+1,0)</f>
        <v>0</v>
      </c>
      <c r="CI16" s="32">
        <f>IF(CH16=0,0,IF(DaB!DR16&gt;0,DaB!DR16-DaB!DQ16+1,0))</f>
        <v>0</v>
      </c>
      <c r="CJ16" s="30">
        <f>IF(CH16=0,0,IF(DaB!DS16&gt;0,DaB!DS16-MAX(DaB!DP16:DR16),0))</f>
        <v>0</v>
      </c>
      <c r="CK16" s="34">
        <f>IF(CM16=0,0,MIN(DaB!$DU16:$DV16)-SUM($C16:CJ16))</f>
        <v>0</v>
      </c>
      <c r="CL16" s="29">
        <f>IF(CM16=0,0,IF(DaB!DU16&gt;0,DaB!DV16-DaB!DU16,0))</f>
        <v>0</v>
      </c>
      <c r="CM16" s="33">
        <f>IF(DaB!DW16&gt;0,DaB!DW16-DaB!DV16+1,0)</f>
        <v>0</v>
      </c>
      <c r="CN16" s="32">
        <f>IF(CM16=0,0,IF(DaB!DY16&gt;0,DaB!DY16-DaB!DX16+1,0))</f>
        <v>0</v>
      </c>
      <c r="CO16" s="30">
        <f>IF(CM16=0,0,IF(DaB!DZ16&gt;0,DaB!DZ16-MAX(DaB!DW16:DY16),0))</f>
        <v>0</v>
      </c>
      <c r="CP16" s="34">
        <f>IF(CR16=0,0,MIN(DaB!$EB16:$EC16)-SUM($C16:CO16))</f>
        <v>0</v>
      </c>
      <c r="CQ16" s="29">
        <f>IF(CR16=0,0,IF(DaB!EB16&gt;0,DaB!EC16-DaB!EB16,0))</f>
        <v>0</v>
      </c>
      <c r="CR16" s="33">
        <f>IF(DaB!ED16&gt;0,DaB!ED16-DaB!EC16+1,0)</f>
        <v>0</v>
      </c>
      <c r="CS16" s="32">
        <f>IF(CR16=0,0,IF(DaB!EF16&gt;0,DaB!EF16-DaB!EE16+1,0))</f>
        <v>0</v>
      </c>
      <c r="CT16" s="30">
        <f>IF(CR16=0,0,IF(DaB!EG16&gt;0,DaB!EG16-MAX(DaB!ED16:EF16),0))</f>
        <v>0</v>
      </c>
      <c r="CU16" s="34">
        <f>IF(CW16=0,0,MIN(DaB!$EI16:$EJ16)-SUM($C16:CT16))</f>
        <v>0</v>
      </c>
      <c r="CV16" s="29">
        <f>IF(CW16=0,0,IF(DaB!EI16&gt;0,DaB!EJ16-DaB!EI16,0))</f>
        <v>0</v>
      </c>
      <c r="CW16" s="33">
        <f>IF(DaB!EK16&gt;0,DaB!EK16-DaB!EJ16+1,0)</f>
        <v>0</v>
      </c>
      <c r="CX16" s="32">
        <f>IF(CW16=0,0,IF(DaB!EM16&gt;0,DaB!EM16-DaB!EL16+1,0))</f>
        <v>0</v>
      </c>
      <c r="CY16" s="30">
        <f>IF(CW16=0,0,IF(DaB!EN16&gt;0,DaB!EN16-MAX(DaB!EK16:EM16),0))</f>
        <v>0</v>
      </c>
      <c r="DC16" s="49"/>
      <c r="DD16" s="183"/>
      <c r="DF16" s="2">
        <f t="shared" si="0"/>
        <v>45474</v>
      </c>
      <c r="DG16" s="28">
        <f>IF(MIN(DaB!EU16:EV16)=DF16,0,
IF(MIN(DaB!EU16:EV16)&gt;DF16,MIN(DaB!EU16:EV16)-DF16,0))</f>
        <v>0</v>
      </c>
      <c r="DH16" s="29">
        <f>DaB!EV16-SUM(DF16:DG16)</f>
        <v>-45474</v>
      </c>
      <c r="DI16" s="10"/>
      <c r="DJ16" s="10"/>
      <c r="DK16" s="11"/>
      <c r="DL16" s="11"/>
      <c r="DM16" s="30"/>
      <c r="DN16" s="28"/>
      <c r="DO16" s="29"/>
      <c r="DP16" s="10"/>
      <c r="DQ16" s="10"/>
      <c r="DR16" s="11"/>
      <c r="DS16" s="11"/>
      <c r="DT16" s="30"/>
      <c r="DU16" s="28"/>
      <c r="DV16" s="29"/>
      <c r="DW16" s="10"/>
      <c r="DX16" s="10"/>
      <c r="DY16" s="11"/>
      <c r="DZ16" s="11"/>
      <c r="EA16" s="30"/>
      <c r="EB16" s="28"/>
      <c r="EC16" s="29"/>
      <c r="ED16" s="10"/>
      <c r="EE16" s="10"/>
      <c r="EF16" s="11"/>
      <c r="EG16" s="11"/>
      <c r="EH16" s="30"/>
      <c r="EI16" s="34"/>
      <c r="EJ16" s="29"/>
      <c r="EK16" s="10"/>
      <c r="EL16" s="10"/>
      <c r="EM16" s="30"/>
      <c r="EN16" s="34"/>
      <c r="EO16" s="29"/>
      <c r="EP16" s="47"/>
      <c r="EQ16" s="47"/>
      <c r="ER16" s="30"/>
      <c r="ES16" s="34"/>
      <c r="ET16" s="29"/>
      <c r="EU16" s="47"/>
      <c r="EV16" s="47"/>
      <c r="EW16" s="30"/>
    </row>
    <row r="17" spans="1:153" x14ac:dyDescent="0.2">
      <c r="A17" s="2" t="str">
        <f>DaB!A17</f>
        <v>Calendar 6</v>
      </c>
      <c r="B17" s="2" t="str">
        <f t="shared" si="3"/>
        <v>.</v>
      </c>
      <c r="C17" s="27">
        <f t="shared" si="1"/>
        <v>45474</v>
      </c>
      <c r="D17" s="34">
        <f>IFERROR(MIN(DaB!F17:K17)-C17,0)</f>
        <v>-45474</v>
      </c>
      <c r="E17" s="29">
        <f>IF(F17=0,0,IF(DaB!F17&gt;0,DaB!G17-DaB!F17,0))</f>
        <v>0</v>
      </c>
      <c r="F17" s="33">
        <f>IF(DaB!G17&gt;MAX(DaB!EV17,DaB!FJ17),DaB!H17-DaB!G17+1,
IF(DaB!H17&gt;0,DaB!H17-DaB!G17,0))</f>
        <v>0</v>
      </c>
      <c r="G17" s="32">
        <f>IF(F17=0,0,IF(DaB!J17&gt;0,DaB!J17-DaB!I17+1,0))</f>
        <v>0</v>
      </c>
      <c r="H17" s="30">
        <f>IF(F17=0,0,IF(DaB!K17&gt;0,DaB!K17-MAX(DaB!H17:J17),0))</f>
        <v>0</v>
      </c>
      <c r="I17" s="34">
        <f>IF(K17=0,0,MIN(DaB!$M17:$N17)-SUM($C17:H17))</f>
        <v>0</v>
      </c>
      <c r="J17" s="29">
        <f>IF(K17=0,0,IF(DaB!M17&gt;0,DaB!N17-DaB!M17,0))</f>
        <v>0</v>
      </c>
      <c r="K17" s="33">
        <f>IF(DaB!O17&gt;0,DaB!O17-DaB!N17+1,0)</f>
        <v>0</v>
      </c>
      <c r="L17" s="32">
        <f>IF(K17=0,0,IF(DaB!Q17&gt;0,DaB!Q17-DaB!P17+1,0))</f>
        <v>0</v>
      </c>
      <c r="M17" s="30">
        <f>IF(K17=0,0,IF(DaB!R17&gt;0,DaB!R17-MAX(DaB!O17:Q17),0))</f>
        <v>0</v>
      </c>
      <c r="N17" s="31">
        <f>IF(P17=0,0,MIN(DaB!$T17:$U17)-SUM($C17:M17))</f>
        <v>0</v>
      </c>
      <c r="O17" s="29">
        <f>IF(P17=0,0,IF(DaB!T17&gt;0,DaB!U17-DaB!T17,0))</f>
        <v>0</v>
      </c>
      <c r="P17" s="33">
        <f>IF(DaB!V17&gt;0,DaB!V17-DaB!U17+1,0)</f>
        <v>0</v>
      </c>
      <c r="Q17" s="32">
        <f>IF(P17=0,0,IF(DaB!X17&gt;0,DaB!X17-DaB!W17+1,0))</f>
        <v>0</v>
      </c>
      <c r="R17" s="30">
        <f>IF(P17=0,0,IF(DaB!Y17&gt;0,DaB!Y17-MAX(DaB!V17:X17),0))</f>
        <v>0</v>
      </c>
      <c r="S17" s="34">
        <f>IF(U17=0,0,MIN(DaB!$AA17:$AB17)-SUM($C17:R17))</f>
        <v>0</v>
      </c>
      <c r="T17" s="29">
        <f>IF(U17=0,0,IF(DaB!AA17&gt;0,DaB!AB17-DaB!AA17,0))</f>
        <v>0</v>
      </c>
      <c r="U17" s="33">
        <f>IF(DaB!AC17&gt;0,DaB!AC17-DaB!AB17+1,0)</f>
        <v>0</v>
      </c>
      <c r="V17" s="32">
        <f>IF(U17=0,0,IF(DaB!AE17&gt;0,DaB!AE17-DaB!AD17+1,0))</f>
        <v>0</v>
      </c>
      <c r="W17" s="30">
        <f>IF(U17=0,0,IF(DaB!AF17&gt;0,DaB!AF17-MAX(DaB!AC17:AE17),0))</f>
        <v>0</v>
      </c>
      <c r="X17" s="34">
        <f>IF(Z17=0,0,MIN(DaB!$AH17:$AI17)-SUM($C17:W17))</f>
        <v>0</v>
      </c>
      <c r="Y17" s="29">
        <f>IF(Z17=0,0,IF(DaB!AH17&gt;0,DaB!AI17-DaB!AH17,0))</f>
        <v>0</v>
      </c>
      <c r="Z17" s="33">
        <f>IF(DaB!AJ17&gt;0,DaB!AJ17-DaB!AI17+1,0)</f>
        <v>0</v>
      </c>
      <c r="AA17" s="32">
        <f>IF(Z17=0,0,IF(DaB!AL17&gt;0,DaB!AL17-DaB!AK17+1,0))</f>
        <v>0</v>
      </c>
      <c r="AB17" s="30">
        <f>IF(Z17=0,0,IF(DaB!AM17&gt;0,DaB!AM17-MAX(DaB!AJ17:AL17),0))</f>
        <v>0</v>
      </c>
      <c r="AC17" s="34">
        <f>IF(AE17=0,0,MIN(DaB!$AO17:$AP17)-SUM($C17:AB17))</f>
        <v>0</v>
      </c>
      <c r="AD17" s="29">
        <f>IF(AE17=0,0,IF(DaB!AO17&gt;0,DaB!AP17-DaB!AO17,0))</f>
        <v>0</v>
      </c>
      <c r="AE17" s="33">
        <f>IF(DaB!AQ17&gt;0,DaB!AQ17-DaB!AP17+1,0)</f>
        <v>0</v>
      </c>
      <c r="AF17" s="32">
        <f>IF(AE17=0,0,IF(DaB!AS17&gt;0,DaB!AS17-DaB!AR17+1,0))</f>
        <v>0</v>
      </c>
      <c r="AG17" s="30">
        <f>IF(AE17=0,0,IF(DaB!AT17&gt;0,DaB!AT17-MAX(DaB!AQ17:AS17),0))</f>
        <v>0</v>
      </c>
      <c r="AH17" s="34">
        <f>IF(AJ17=0,0,MIN(DaB!$AV17:$AW17)-SUM($C17:AG17))</f>
        <v>0</v>
      </c>
      <c r="AI17" s="29">
        <f>IF(AJ17=0,0,IF(DaB!AV17&gt;0,DaB!AW17-DaB!AV17,0))</f>
        <v>0</v>
      </c>
      <c r="AJ17" s="33">
        <f>IF(DaB!AX17&gt;0,DaB!AX17-DaB!AW17+1,0)</f>
        <v>0</v>
      </c>
      <c r="AK17" s="32">
        <f>IF(AJ17=0,0,IF(DaB!AZ17&gt;0,DaB!AZ17-DaB!AY17+1,0))</f>
        <v>0</v>
      </c>
      <c r="AL17" s="30">
        <f>IF(AJ17=0,0,IF(DaB!BA17&gt;0,DaB!BA17-MAX(DaB!AX17:AZ17),0))</f>
        <v>0</v>
      </c>
      <c r="AM17" s="34">
        <f>IF(AO17=0,0,MIN(DaB!$BC17:$BD17)-SUM($C17:AL17))</f>
        <v>0</v>
      </c>
      <c r="AN17" s="29">
        <f>IF(AO17=0,0,IF(DaB!BC17&gt;0,DaB!BD17-DaB!BC17,0))</f>
        <v>0</v>
      </c>
      <c r="AO17" s="33">
        <f>IF(DaB!BE17&gt;0,DaB!BE17-DaB!BD17+1,0)</f>
        <v>0</v>
      </c>
      <c r="AP17" s="32">
        <f>IF(AO17=0,0,IF(DaB!BG17&gt;0,DaB!BG17-DaB!BF17+1,0))</f>
        <v>0</v>
      </c>
      <c r="AQ17" s="30">
        <f>IF(AO17=0,0,IF(DaB!BH17&gt;0,DaB!BH17-MAX(DaB!BE17:BG17),0))</f>
        <v>0</v>
      </c>
      <c r="AR17" s="34">
        <f>IF(AT17=0,0,MIN(DaB!$BJ17:$BK17)-SUM($C17:AQ17))</f>
        <v>0</v>
      </c>
      <c r="AS17" s="29">
        <f>IF(AT17=0,0,IF(DaB!BJ17&gt;0,DaB!BK17-DaB!BJ17,0))</f>
        <v>0</v>
      </c>
      <c r="AT17" s="33">
        <f>IF(DaB!BL17&gt;0,DaB!BL17-DaB!BK17+1,0)</f>
        <v>0</v>
      </c>
      <c r="AU17" s="32">
        <f>IF(AT17=0,0,IF(DaB!BN17&gt;0,DaB!BN17-DaB!BM17+1,0))</f>
        <v>0</v>
      </c>
      <c r="AV17" s="30">
        <f>IF(AT17=0,0,IF(DaB!BO17&gt;0,DaB!BO17-MAX(DaB!BL17:BN17),0))</f>
        <v>0</v>
      </c>
      <c r="AW17" s="34">
        <f>IF(AY17=0,0,MIN(DaB!$BQ17:$BR17)-SUM($C17:AV17))</f>
        <v>0</v>
      </c>
      <c r="AX17" s="29">
        <f>IF(AY17=0,0,IF(DaB!BQ17&gt;0,DaB!BR17-DaB!BQ17,0))</f>
        <v>0</v>
      </c>
      <c r="AY17" s="33">
        <f>IF(DaB!BS17&gt;0,DaB!BS17-DaB!BR17+1,0)</f>
        <v>0</v>
      </c>
      <c r="AZ17" s="32">
        <f>IF(AY17=0,0,IF(DaB!BU17&gt;0,DaB!BU17-DaB!BT17+1,0))</f>
        <v>0</v>
      </c>
      <c r="BA17" s="30">
        <f>IF(AY17=0,0,IF(DaB!BV17&gt;0,DaB!BV17-MAX(DaB!BS17:BU17),0))</f>
        <v>0</v>
      </c>
      <c r="BB17" s="34">
        <f>IF(BD17=0,0,MIN(DaB!$BX17:$BY17)-SUM($C17:BA17))</f>
        <v>0</v>
      </c>
      <c r="BC17" s="29">
        <f>IF(BD17=0,0,IF(DaB!BX17&gt;0,DaB!BY17-DaB!BX17,0))</f>
        <v>0</v>
      </c>
      <c r="BD17" s="33">
        <f>IF(DaB!BZ17&gt;0,DaB!BZ17-DaB!BY17+1,0)</f>
        <v>0</v>
      </c>
      <c r="BE17" s="32">
        <f>IF(BD17=0,0,IF(DaB!CB17&gt;0,DaB!CB17-DaB!CA17+1,0))</f>
        <v>0</v>
      </c>
      <c r="BF17" s="30">
        <f>IF(BD17=0,0,IF(DaB!CC17&gt;0,DaB!CC17-MAX(DaB!BZ17:CB17),0))</f>
        <v>0</v>
      </c>
      <c r="BG17" s="34">
        <f>IF(BI17=0,0,MIN(DaB!$CE17:$CF17)-SUM($C17:BF17))</f>
        <v>0</v>
      </c>
      <c r="BH17" s="29">
        <f>IF(BI17=0,0,IF(DaB!CE17&gt;0,DaB!CF17-DaB!CE17,0))</f>
        <v>0</v>
      </c>
      <c r="BI17" s="33">
        <f>IF(DaB!CG17&gt;0,DaB!CG17-DaB!CF17+1,0)</f>
        <v>0</v>
      </c>
      <c r="BJ17" s="32">
        <f>IF(BI17=0,0,IF(DaB!CI17&gt;0,DaB!CI17-DaB!CH17+1,0))</f>
        <v>0</v>
      </c>
      <c r="BK17" s="30">
        <f>IF(BI17=0,0,IF(DaB!CJ17&gt;0,DaB!CJ17-MAX(DaB!CG17:CI17),0))</f>
        <v>0</v>
      </c>
      <c r="BL17" s="34">
        <f>IF(BN17=0,0,MIN(DaB!$CL17:$CM17)-SUM($C17:BK17))</f>
        <v>0</v>
      </c>
      <c r="BM17" s="29">
        <f>IF(BN17=0,0,IF(DaB!CL17&gt;0,DaB!CM17-DaB!CL17,0))</f>
        <v>0</v>
      </c>
      <c r="BN17" s="33">
        <f>IF(DaB!CN17&gt;0,DaB!CN17-DaB!CM17+1,0)</f>
        <v>0</v>
      </c>
      <c r="BO17" s="32">
        <f>IF(BN17=0,0,IF(DaB!CP17&gt;0,DaB!CP17-DaB!CO17+1,0))</f>
        <v>0</v>
      </c>
      <c r="BP17" s="30">
        <f>IF(BN17=0,0,IF(DaB!CQ17&gt;0,DaB!CQ17-MAX(DaB!CN17:CP17),0))</f>
        <v>0</v>
      </c>
      <c r="BQ17" s="34">
        <f>IF(BS17=0,0,MIN(DaB!$CS17:$CT17)-SUM($C17:BP17))</f>
        <v>0</v>
      </c>
      <c r="BR17" s="29">
        <f>IF(BS17=0,0,IF(DaB!CS17&gt;0,DaB!CT17-DaB!CS17,0))</f>
        <v>0</v>
      </c>
      <c r="BS17" s="33">
        <f>IF(DaB!CU17&gt;0,DaB!CU17-DaB!CT17+1,0)</f>
        <v>0</v>
      </c>
      <c r="BT17" s="32">
        <f>IF(BS17=0,0,IF(DaB!CW17&gt;0,DaB!CW17-DaB!CV17+1,0))</f>
        <v>0</v>
      </c>
      <c r="BU17" s="30">
        <f>IF(BS17=0,0,IF(DaB!CX17&gt;0,DaB!CX17-MAX(DaB!CU17:CW17),0))</f>
        <v>0</v>
      </c>
      <c r="BV17" s="34">
        <f>IF(BX17=0,0,MIN(DaB!$CZ17:$DA17)-SUM($C17:BU17))</f>
        <v>0</v>
      </c>
      <c r="BW17" s="29">
        <f>IF(BX17=0,0,IF(DaB!CZ17&gt;0,DaB!DA17-DaB!CZ17,0))</f>
        <v>0</v>
      </c>
      <c r="BX17" s="33">
        <f>IF(DaB!DB17&gt;0,DaB!DB17-DaB!DA17+1,0)</f>
        <v>0</v>
      </c>
      <c r="BY17" s="32">
        <f>IF(BX17=0,0,IF(DaB!DD17&gt;0,DaB!DD17-DaB!DC17+1,0))</f>
        <v>0</v>
      </c>
      <c r="BZ17" s="30">
        <f>IF(BX17=0,0,IF(DaB!DE17&gt;0,DaB!DE17-MAX(DaB!DB17:DD17),0))</f>
        <v>0</v>
      </c>
      <c r="CA17" s="34">
        <f>IF(CC17=0,0,MIN(DaB!$DG17:$DH17)-SUM($C17:BZ17))</f>
        <v>0</v>
      </c>
      <c r="CB17" s="29">
        <f>IF(CC17=0,0,IF(DaB!DG17&gt;0,DaB!DH17-DaB!DG17,0))</f>
        <v>0</v>
      </c>
      <c r="CC17" s="33">
        <f>IF(DaB!DI17&gt;0,DaB!DI17-DaB!DH17+1,0)</f>
        <v>0</v>
      </c>
      <c r="CD17" s="32">
        <f>IF(CC17=0,0,IF(DaB!DK17&gt;0,DaB!DK17-DaB!DJ17+1,0))</f>
        <v>0</v>
      </c>
      <c r="CE17" s="30">
        <f>IF(CC17=0,0,IF(DaB!DL17&gt;0,DaB!DL17-MAX(DaB!DI17:DK17),0))</f>
        <v>0</v>
      </c>
      <c r="CF17" s="34">
        <f>IF(CH17=0,0,MIN(DaB!$DN17:$DO17)-SUM($C17:CE17))</f>
        <v>0</v>
      </c>
      <c r="CG17" s="29">
        <f>IF(CH17=0,0,IF(DaB!DN17&gt;0,DaB!DO17-DaB!DN17,0))</f>
        <v>0</v>
      </c>
      <c r="CH17" s="33">
        <f>IF(DaB!DP17&gt;0,DaB!DP17-DaB!DO17+1,0)</f>
        <v>0</v>
      </c>
      <c r="CI17" s="32">
        <f>IF(CH17=0,0,IF(DaB!DR17&gt;0,DaB!DR17-DaB!DQ17+1,0))</f>
        <v>0</v>
      </c>
      <c r="CJ17" s="30">
        <f>IF(CH17=0,0,IF(DaB!DS17&gt;0,DaB!DS17-MAX(DaB!DP17:DR17),0))</f>
        <v>0</v>
      </c>
      <c r="CK17" s="34">
        <f>IF(CM17=0,0,MIN(DaB!$DU17:$DV17)-SUM($C17:CJ17))</f>
        <v>0</v>
      </c>
      <c r="CL17" s="29">
        <f>IF(CM17=0,0,IF(DaB!DU17&gt;0,DaB!DV17-DaB!DU17,0))</f>
        <v>0</v>
      </c>
      <c r="CM17" s="33">
        <f>IF(DaB!DW17&gt;0,DaB!DW17-DaB!DV17+1,0)</f>
        <v>0</v>
      </c>
      <c r="CN17" s="32">
        <f>IF(CM17=0,0,IF(DaB!DY17&gt;0,DaB!DY17-DaB!DX17+1,0))</f>
        <v>0</v>
      </c>
      <c r="CO17" s="30">
        <f>IF(CM17=0,0,IF(DaB!DZ17&gt;0,DaB!DZ17-MAX(DaB!DW17:DY17),0))</f>
        <v>0</v>
      </c>
      <c r="CP17" s="34">
        <f>IF(CR17=0,0,MIN(DaB!$EB17:$EC17)-SUM($C17:CO17))</f>
        <v>0</v>
      </c>
      <c r="CQ17" s="29">
        <f>IF(CR17=0,0,IF(DaB!EB17&gt;0,DaB!EC17-DaB!EB17,0))</f>
        <v>0</v>
      </c>
      <c r="CR17" s="33">
        <f>IF(DaB!ED17&gt;0,DaB!ED17-DaB!EC17+1,0)</f>
        <v>0</v>
      </c>
      <c r="CS17" s="32">
        <f>IF(CR17=0,0,IF(DaB!EF17&gt;0,DaB!EF17-DaB!EE17+1,0))</f>
        <v>0</v>
      </c>
      <c r="CT17" s="30">
        <f>IF(CR17=0,0,IF(DaB!EG17&gt;0,DaB!EG17-MAX(DaB!ED17:EF17),0))</f>
        <v>0</v>
      </c>
      <c r="CU17" s="34">
        <f>IF(CW17=0,0,MIN(DaB!$EI17:$EJ17)-SUM($C17:CT17))</f>
        <v>0</v>
      </c>
      <c r="CV17" s="29">
        <f>IF(CW17=0,0,IF(DaB!EI17&gt;0,DaB!EJ17-DaB!EI17,0))</f>
        <v>0</v>
      </c>
      <c r="CW17" s="33">
        <f>IF(DaB!EK17&gt;0,DaB!EK17-DaB!EJ17+1,0)</f>
        <v>0</v>
      </c>
      <c r="CX17" s="32">
        <f>IF(CW17=0,0,IF(DaB!EM17&gt;0,DaB!EM17-DaB!EL17+1,0))</f>
        <v>0</v>
      </c>
      <c r="CY17" s="30">
        <f>IF(CW17=0,0,IF(DaB!EN17&gt;0,DaB!EN17-MAX(DaB!EK17:EM17),0))</f>
        <v>0</v>
      </c>
      <c r="DC17" s="49"/>
      <c r="DD17" s="183"/>
      <c r="DF17" s="2">
        <f t="shared" si="0"/>
        <v>45474</v>
      </c>
      <c r="DG17" s="28">
        <f>IF(MIN(DaB!EU17:EV17)=DF17,0,
IF(MIN(DaB!EU17:EV17)&gt;DF17,MIN(DaB!EU17:EV17)-DF17,0))</f>
        <v>0</v>
      </c>
      <c r="DH17" s="29">
        <f>DaB!EV17-SUM(DF17:DG17)</f>
        <v>-45474</v>
      </c>
      <c r="DI17" s="10"/>
      <c r="DJ17" s="10"/>
      <c r="DK17" s="11"/>
      <c r="DL17" s="11"/>
      <c r="DM17" s="30"/>
      <c r="DN17" s="28"/>
      <c r="DO17" s="29"/>
      <c r="DP17" s="10"/>
      <c r="DQ17" s="10"/>
      <c r="DR17" s="11"/>
      <c r="DS17" s="11"/>
      <c r="DT17" s="30"/>
      <c r="DU17" s="28"/>
      <c r="DV17" s="29"/>
      <c r="DW17" s="10"/>
      <c r="DX17" s="10"/>
      <c r="DY17" s="11"/>
      <c r="DZ17" s="11"/>
      <c r="EA17" s="30"/>
      <c r="EB17" s="28"/>
      <c r="EC17" s="29"/>
      <c r="ED17" s="10"/>
      <c r="EE17" s="10"/>
      <c r="EF17" s="11"/>
      <c r="EG17" s="11"/>
      <c r="EH17" s="30"/>
      <c r="EI17" s="34"/>
      <c r="EJ17" s="29"/>
      <c r="EK17" s="10"/>
      <c r="EL17" s="10"/>
      <c r="EM17" s="30"/>
      <c r="EN17" s="34"/>
      <c r="EO17" s="29"/>
      <c r="EP17" s="47"/>
      <c r="EQ17" s="47"/>
      <c r="ER17" s="30"/>
      <c r="ES17" s="34"/>
      <c r="ET17" s="29"/>
      <c r="EU17" s="47"/>
      <c r="EV17" s="47"/>
      <c r="EW17" s="30"/>
    </row>
    <row r="18" spans="1:153" x14ac:dyDescent="0.2">
      <c r="A18" s="2" t="str">
        <f>DaB!A18</f>
        <v>Calendar 7</v>
      </c>
      <c r="B18" s="2" t="str">
        <f t="shared" si="3"/>
        <v>.</v>
      </c>
      <c r="C18" s="27">
        <f t="shared" si="1"/>
        <v>45474</v>
      </c>
      <c r="D18" s="34">
        <f>IFERROR(MIN(DaB!F18:K18)-C18,0)</f>
        <v>-45474</v>
      </c>
      <c r="E18" s="29">
        <f>IF(F18=0,0,IF(DaB!F18&gt;0,DaB!G18-DaB!F18,0))</f>
        <v>0</v>
      </c>
      <c r="F18" s="33">
        <f>IF(DaB!G18&gt;MAX(DaB!EV18,DaB!FJ18),DaB!H18-DaB!G18+1,
IF(DaB!H18&gt;0,DaB!H18-DaB!G18,0))</f>
        <v>0</v>
      </c>
      <c r="G18" s="32">
        <f>IF(F18=0,0,IF(DaB!J18&gt;0,DaB!J18-DaB!I18+1,0))</f>
        <v>0</v>
      </c>
      <c r="H18" s="30">
        <f>IF(F18=0,0,IF(DaB!K18&gt;0,DaB!K18-MAX(DaB!H18:J18),0))</f>
        <v>0</v>
      </c>
      <c r="I18" s="34">
        <f>IF(K18=0,0,MIN(DaB!$M18:$N18)-SUM($C18:H18))</f>
        <v>0</v>
      </c>
      <c r="J18" s="29">
        <f>IF(K18=0,0,IF(DaB!M18&gt;0,DaB!N18-DaB!M18,0))</f>
        <v>0</v>
      </c>
      <c r="K18" s="33">
        <f>IF(DaB!O18&gt;0,DaB!O18-DaB!N18+1,0)</f>
        <v>0</v>
      </c>
      <c r="L18" s="32">
        <f>IF(K18=0,0,IF(DaB!Q18&gt;0,DaB!Q18-DaB!P18+1,0))</f>
        <v>0</v>
      </c>
      <c r="M18" s="30">
        <f>IF(K18=0,0,IF(DaB!R18&gt;0,DaB!R18-MAX(DaB!O18:Q18),0))</f>
        <v>0</v>
      </c>
      <c r="N18" s="31">
        <f>IF(P18=0,0,MIN(DaB!$T18:$U18)-SUM($C18:M18))</f>
        <v>0</v>
      </c>
      <c r="O18" s="29">
        <f>IF(P18=0,0,IF(DaB!T18&gt;0,DaB!U18-DaB!T18,0))</f>
        <v>0</v>
      </c>
      <c r="P18" s="33">
        <f>IF(DaB!V18&gt;0,DaB!V18-DaB!U18+1,0)</f>
        <v>0</v>
      </c>
      <c r="Q18" s="32">
        <f>IF(P18=0,0,IF(DaB!X18&gt;0,DaB!X18-DaB!W18+1,0))</f>
        <v>0</v>
      </c>
      <c r="R18" s="30">
        <f>IF(P18=0,0,IF(DaB!Y18&gt;0,DaB!Y18-MAX(DaB!V18:X18),0))</f>
        <v>0</v>
      </c>
      <c r="S18" s="34">
        <f>IF(U18=0,0,MIN(DaB!$AA18:$AB18)-SUM($C18:R18))</f>
        <v>0</v>
      </c>
      <c r="T18" s="29">
        <f>IF(U18=0,0,IF(DaB!AA18&gt;0,DaB!AB18-DaB!AA18,0))</f>
        <v>0</v>
      </c>
      <c r="U18" s="33">
        <f>IF(DaB!AC18&gt;0,DaB!AC18-DaB!AB18+1,0)</f>
        <v>0</v>
      </c>
      <c r="V18" s="32">
        <f>IF(U18=0,0,IF(DaB!AE18&gt;0,DaB!AE18-DaB!AD18+1,0))</f>
        <v>0</v>
      </c>
      <c r="W18" s="30">
        <f>IF(U18=0,0,IF(DaB!AF18&gt;0,DaB!AF18-MAX(DaB!AC18:AE18),0))</f>
        <v>0</v>
      </c>
      <c r="X18" s="34">
        <f>IF(Z18=0,0,MIN(DaB!$AH18:$AI18)-SUM($C18:W18))</f>
        <v>0</v>
      </c>
      <c r="Y18" s="29">
        <f>IF(Z18=0,0,IF(DaB!AH18&gt;0,DaB!AI18-DaB!AH18,0))</f>
        <v>0</v>
      </c>
      <c r="Z18" s="33">
        <f>IF(DaB!AJ18&gt;0,DaB!AJ18-DaB!AI18+1,0)</f>
        <v>0</v>
      </c>
      <c r="AA18" s="32">
        <f>IF(Z18=0,0,IF(DaB!AL18&gt;0,DaB!AL18-DaB!AK18+1,0))</f>
        <v>0</v>
      </c>
      <c r="AB18" s="30">
        <f>IF(Z18=0,0,IF(DaB!AM18&gt;0,DaB!AM18-MAX(DaB!AJ18:AL18),0))</f>
        <v>0</v>
      </c>
      <c r="AC18" s="34">
        <f>IF(AE18=0,0,MIN(DaB!$AO18:$AP18)-SUM($C18:AB18))</f>
        <v>0</v>
      </c>
      <c r="AD18" s="29">
        <f>IF(AE18=0,0,IF(DaB!AO18&gt;0,DaB!AP18-DaB!AO18,0))</f>
        <v>0</v>
      </c>
      <c r="AE18" s="33">
        <f>IF(DaB!AQ18&gt;0,DaB!AQ18-DaB!AP18+1,0)</f>
        <v>0</v>
      </c>
      <c r="AF18" s="32">
        <f>IF(AE18=0,0,IF(DaB!AS18&gt;0,DaB!AS18-DaB!AR18+1,0))</f>
        <v>0</v>
      </c>
      <c r="AG18" s="30">
        <f>IF(AE18=0,0,IF(DaB!AT18&gt;0,DaB!AT18-MAX(DaB!AQ18:AS18),0))</f>
        <v>0</v>
      </c>
      <c r="AH18" s="34">
        <f>IF(AJ18=0,0,MIN(DaB!$AV18:$AW18)-SUM($C18:AG18))</f>
        <v>0</v>
      </c>
      <c r="AI18" s="29">
        <f>IF(AJ18=0,0,IF(DaB!AV18&gt;0,DaB!AW18-DaB!AV18,0))</f>
        <v>0</v>
      </c>
      <c r="AJ18" s="33">
        <f>IF(DaB!AX18&gt;0,DaB!AX18-DaB!AW18+1,0)</f>
        <v>0</v>
      </c>
      <c r="AK18" s="32">
        <f>IF(AJ18=0,0,IF(DaB!AZ18&gt;0,DaB!AZ18-DaB!AY18+1,0))</f>
        <v>0</v>
      </c>
      <c r="AL18" s="30">
        <f>IF(AJ18=0,0,IF(DaB!BA18&gt;0,DaB!BA18-MAX(DaB!AX18:AZ18),0))</f>
        <v>0</v>
      </c>
      <c r="AM18" s="34">
        <f>IF(AO18=0,0,MIN(DaB!$BC18:$BD18)-SUM($C18:AL18))</f>
        <v>0</v>
      </c>
      <c r="AN18" s="29">
        <f>IF(AO18=0,0,IF(DaB!BC18&gt;0,DaB!BD18-DaB!BC18,0))</f>
        <v>0</v>
      </c>
      <c r="AO18" s="33">
        <f>IF(DaB!BE18&gt;0,DaB!BE18-DaB!BD18+1,0)</f>
        <v>0</v>
      </c>
      <c r="AP18" s="32">
        <f>IF(AO18=0,0,IF(DaB!BG18&gt;0,DaB!BG18-DaB!BF18+1,0))</f>
        <v>0</v>
      </c>
      <c r="AQ18" s="30">
        <f>IF(AO18=0,0,IF(DaB!BH18&gt;0,DaB!BH18-MAX(DaB!BE18:BG18),0))</f>
        <v>0</v>
      </c>
      <c r="AR18" s="34">
        <f>IF(AT18=0,0,MIN(DaB!$BJ18:$BK18)-SUM($C18:AQ18))</f>
        <v>0</v>
      </c>
      <c r="AS18" s="29">
        <f>IF(AT18=0,0,IF(DaB!BJ18&gt;0,DaB!BK18-DaB!BJ18,0))</f>
        <v>0</v>
      </c>
      <c r="AT18" s="33">
        <f>IF(DaB!BL18&gt;0,DaB!BL18-DaB!BK18+1,0)</f>
        <v>0</v>
      </c>
      <c r="AU18" s="32">
        <f>IF(AT18=0,0,IF(DaB!BN18&gt;0,DaB!BN18-DaB!BM18+1,0))</f>
        <v>0</v>
      </c>
      <c r="AV18" s="30">
        <f>IF(AT18=0,0,IF(DaB!BO18&gt;0,DaB!BO18-MAX(DaB!BL18:BN18),0))</f>
        <v>0</v>
      </c>
      <c r="AW18" s="34">
        <f>IF(AY18=0,0,MIN(DaB!$BQ18:$BR18)-SUM($C18:AV18))</f>
        <v>0</v>
      </c>
      <c r="AX18" s="29">
        <f>IF(AY18=0,0,IF(DaB!BQ18&gt;0,DaB!BR18-DaB!BQ18,0))</f>
        <v>0</v>
      </c>
      <c r="AY18" s="33">
        <f>IF(DaB!BS18&gt;0,DaB!BS18-DaB!BR18+1,0)</f>
        <v>0</v>
      </c>
      <c r="AZ18" s="32">
        <f>IF(AY18=0,0,IF(DaB!BU18&gt;0,DaB!BU18-DaB!BT18+1,0))</f>
        <v>0</v>
      </c>
      <c r="BA18" s="30">
        <f>IF(AY18=0,0,IF(DaB!BV18&gt;0,DaB!BV18-MAX(DaB!BS18:BU18),0))</f>
        <v>0</v>
      </c>
      <c r="BB18" s="34">
        <f>IF(BD18=0,0,MIN(DaB!$BX18:$BY18)-SUM($C18:BA18))</f>
        <v>0</v>
      </c>
      <c r="BC18" s="29">
        <f>IF(BD18=0,0,IF(DaB!BX18&gt;0,DaB!BY18-DaB!BX18,0))</f>
        <v>0</v>
      </c>
      <c r="BD18" s="33">
        <f>IF(DaB!BZ18&gt;0,DaB!BZ18-DaB!BY18+1,0)</f>
        <v>0</v>
      </c>
      <c r="BE18" s="32">
        <f>IF(BD18=0,0,IF(DaB!CB18&gt;0,DaB!CB18-DaB!CA18+1,0))</f>
        <v>0</v>
      </c>
      <c r="BF18" s="30">
        <f>IF(BD18=0,0,IF(DaB!CC18&gt;0,DaB!CC18-MAX(DaB!BZ18:CB18),0))</f>
        <v>0</v>
      </c>
      <c r="BG18" s="34">
        <f>IF(BI18=0,0,MIN(DaB!$CE18:$CF18)-SUM($C18:BF18))</f>
        <v>0</v>
      </c>
      <c r="BH18" s="29">
        <f>IF(BI18=0,0,IF(DaB!CE18&gt;0,DaB!CF18-DaB!CE18,0))</f>
        <v>0</v>
      </c>
      <c r="BI18" s="33">
        <f>IF(DaB!CG18&gt;0,DaB!CG18-DaB!CF18+1,0)</f>
        <v>0</v>
      </c>
      <c r="BJ18" s="32">
        <f>IF(BI18=0,0,IF(DaB!CI18&gt;0,DaB!CI18-DaB!CH18+1,0))</f>
        <v>0</v>
      </c>
      <c r="BK18" s="30">
        <f>IF(BI18=0,0,IF(DaB!CJ18&gt;0,DaB!CJ18-MAX(DaB!CG18:CI18),0))</f>
        <v>0</v>
      </c>
      <c r="BL18" s="34">
        <f>IF(BN18=0,0,MIN(DaB!$CL18:$CM18)-SUM($C18:BK18))</f>
        <v>0</v>
      </c>
      <c r="BM18" s="29">
        <f>IF(BN18=0,0,IF(DaB!CL18&gt;0,DaB!CM18-DaB!CL18,0))</f>
        <v>0</v>
      </c>
      <c r="BN18" s="33">
        <f>IF(DaB!CN18&gt;0,DaB!CN18-DaB!CM18+1,0)</f>
        <v>0</v>
      </c>
      <c r="BO18" s="32">
        <f>IF(BN18=0,0,IF(DaB!CP18&gt;0,DaB!CP18-DaB!CO18+1,0))</f>
        <v>0</v>
      </c>
      <c r="BP18" s="30">
        <f>IF(BN18=0,0,IF(DaB!CQ18&gt;0,DaB!CQ18-MAX(DaB!CN18:CP18),0))</f>
        <v>0</v>
      </c>
      <c r="BQ18" s="34">
        <f>IF(BS18=0,0,MIN(DaB!$CS18:$CT18)-SUM($C18:BP18))</f>
        <v>0</v>
      </c>
      <c r="BR18" s="29">
        <f>IF(BS18=0,0,IF(DaB!CS18&gt;0,DaB!CT18-DaB!CS18,0))</f>
        <v>0</v>
      </c>
      <c r="BS18" s="33">
        <f>IF(DaB!CU18&gt;0,DaB!CU18-DaB!CT18+1,0)</f>
        <v>0</v>
      </c>
      <c r="BT18" s="32">
        <f>IF(BS18=0,0,IF(DaB!CW18&gt;0,DaB!CW18-DaB!CV18+1,0))</f>
        <v>0</v>
      </c>
      <c r="BU18" s="30">
        <f>IF(BS18=0,0,IF(DaB!CX18&gt;0,DaB!CX18-MAX(DaB!CU18:CW18),0))</f>
        <v>0</v>
      </c>
      <c r="BV18" s="34">
        <f>IF(BX18=0,0,MIN(DaB!$CZ18:$DA18)-SUM($C18:BU18))</f>
        <v>0</v>
      </c>
      <c r="BW18" s="29">
        <f>IF(BX18=0,0,IF(DaB!CZ18&gt;0,DaB!DA18-DaB!CZ18,0))</f>
        <v>0</v>
      </c>
      <c r="BX18" s="33">
        <f>IF(DaB!DB18&gt;0,DaB!DB18-DaB!DA18+1,0)</f>
        <v>0</v>
      </c>
      <c r="BY18" s="32">
        <f>IF(BX18=0,0,IF(DaB!DD18&gt;0,DaB!DD18-DaB!DC18+1,0))</f>
        <v>0</v>
      </c>
      <c r="BZ18" s="30">
        <f>IF(BX18=0,0,IF(DaB!DE18&gt;0,DaB!DE18-MAX(DaB!DB18:DD18),0))</f>
        <v>0</v>
      </c>
      <c r="CA18" s="34">
        <f>IF(CC18=0,0,MIN(DaB!$DG18:$DH18)-SUM($C18:BZ18))</f>
        <v>0</v>
      </c>
      <c r="CB18" s="29">
        <f>IF(CC18=0,0,IF(DaB!DG18&gt;0,DaB!DH18-DaB!DG18,0))</f>
        <v>0</v>
      </c>
      <c r="CC18" s="33">
        <f>IF(DaB!DI18&gt;0,DaB!DI18-DaB!DH18+1,0)</f>
        <v>0</v>
      </c>
      <c r="CD18" s="32">
        <f>IF(CC18=0,0,IF(DaB!DK18&gt;0,DaB!DK18-DaB!DJ18+1,0))</f>
        <v>0</v>
      </c>
      <c r="CE18" s="30">
        <f>IF(CC18=0,0,IF(DaB!DL18&gt;0,DaB!DL18-MAX(DaB!DI18:DK18),0))</f>
        <v>0</v>
      </c>
      <c r="CF18" s="34">
        <f>IF(CH18=0,0,MIN(DaB!$DN18:$DO18)-SUM($C18:CE18))</f>
        <v>0</v>
      </c>
      <c r="CG18" s="29">
        <f>IF(CH18=0,0,IF(DaB!DN18&gt;0,DaB!DO18-DaB!DN18,0))</f>
        <v>0</v>
      </c>
      <c r="CH18" s="33">
        <f>IF(DaB!DP18&gt;0,DaB!DP18-DaB!DO18+1,0)</f>
        <v>0</v>
      </c>
      <c r="CI18" s="32">
        <f>IF(CH18=0,0,IF(DaB!DR18&gt;0,DaB!DR18-DaB!DQ18+1,0))</f>
        <v>0</v>
      </c>
      <c r="CJ18" s="30">
        <f>IF(CH18=0,0,IF(DaB!DS18&gt;0,DaB!DS18-MAX(DaB!DP18:DR18),0))</f>
        <v>0</v>
      </c>
      <c r="CK18" s="34">
        <f>IF(CM18=0,0,MIN(DaB!$DU18:$DV18)-SUM($C18:CJ18))</f>
        <v>0</v>
      </c>
      <c r="CL18" s="29">
        <f>IF(CM18=0,0,IF(DaB!DU18&gt;0,DaB!DV18-DaB!DU18,0))</f>
        <v>0</v>
      </c>
      <c r="CM18" s="33">
        <f>IF(DaB!DW18&gt;0,DaB!DW18-DaB!DV18+1,0)</f>
        <v>0</v>
      </c>
      <c r="CN18" s="32">
        <f>IF(CM18=0,0,IF(DaB!DY18&gt;0,DaB!DY18-DaB!DX18+1,0))</f>
        <v>0</v>
      </c>
      <c r="CO18" s="30">
        <f>IF(CM18=0,0,IF(DaB!DZ18&gt;0,DaB!DZ18-MAX(DaB!DW18:DY18),0))</f>
        <v>0</v>
      </c>
      <c r="CP18" s="34">
        <f>IF(CR18=0,0,MIN(DaB!$EB18:$EC18)-SUM($C18:CO18))</f>
        <v>0</v>
      </c>
      <c r="CQ18" s="29">
        <f>IF(CR18=0,0,IF(DaB!EB18&gt;0,DaB!EC18-DaB!EB18,0))</f>
        <v>0</v>
      </c>
      <c r="CR18" s="33">
        <f>IF(DaB!ED18&gt;0,DaB!ED18-DaB!EC18+1,0)</f>
        <v>0</v>
      </c>
      <c r="CS18" s="32">
        <f>IF(CR18=0,0,IF(DaB!EF18&gt;0,DaB!EF18-DaB!EE18+1,0))</f>
        <v>0</v>
      </c>
      <c r="CT18" s="30">
        <f>IF(CR18=0,0,IF(DaB!EG18&gt;0,DaB!EG18-MAX(DaB!ED18:EF18),0))</f>
        <v>0</v>
      </c>
      <c r="CU18" s="34">
        <f>IF(CW18=0,0,MIN(DaB!$EI18:$EJ18)-SUM($C18:CT18))</f>
        <v>0</v>
      </c>
      <c r="CV18" s="29">
        <f>IF(CW18=0,0,IF(DaB!EI18&gt;0,DaB!EJ18-DaB!EI18,0))</f>
        <v>0</v>
      </c>
      <c r="CW18" s="33">
        <f>IF(DaB!EK18&gt;0,DaB!EK18-DaB!EJ18+1,0)</f>
        <v>0</v>
      </c>
      <c r="CX18" s="32">
        <f>IF(CW18=0,0,IF(DaB!EM18&gt;0,DaB!EM18-DaB!EL18+1,0))</f>
        <v>0</v>
      </c>
      <c r="CY18" s="30">
        <f>IF(CW18=0,0,IF(DaB!EN18&gt;0,DaB!EN18-MAX(DaB!EK18:EM18),0))</f>
        <v>0</v>
      </c>
      <c r="DC18" s="49"/>
      <c r="DD18" s="183"/>
      <c r="DF18" s="2">
        <f t="shared" si="0"/>
        <v>45474</v>
      </c>
      <c r="DG18" s="28">
        <f>IF(MIN(DaB!EU18:EV18)=DF18,0,
IF(MIN(DaB!EU18:EV18)&gt;DF18,MIN(DaB!EU18:EV18)-DF18,0))</f>
        <v>0</v>
      </c>
      <c r="DH18" s="29">
        <f>DaB!EV18-SUM(DF18:DG18)</f>
        <v>-45474</v>
      </c>
      <c r="DI18" s="10"/>
      <c r="DJ18" s="10"/>
      <c r="DK18" s="11"/>
      <c r="DL18" s="11"/>
      <c r="DM18" s="30"/>
      <c r="DN18" s="28"/>
      <c r="DO18" s="29"/>
      <c r="DP18" s="10"/>
      <c r="DQ18" s="10"/>
      <c r="DR18" s="11"/>
      <c r="DS18" s="11"/>
      <c r="DT18" s="30"/>
      <c r="DU18" s="28"/>
      <c r="DV18" s="29"/>
      <c r="DW18" s="10"/>
      <c r="DX18" s="10"/>
      <c r="DY18" s="11"/>
      <c r="DZ18" s="11"/>
      <c r="EA18" s="30"/>
      <c r="EB18" s="28"/>
      <c r="EC18" s="29"/>
      <c r="ED18" s="10"/>
      <c r="EE18" s="10"/>
      <c r="EF18" s="11"/>
      <c r="EG18" s="11"/>
      <c r="EH18" s="30"/>
      <c r="EI18" s="34"/>
      <c r="EJ18" s="29"/>
      <c r="EK18" s="10"/>
      <c r="EL18" s="10"/>
      <c r="EM18" s="30"/>
      <c r="EN18" s="34"/>
      <c r="EO18" s="29"/>
      <c r="EP18" s="47"/>
      <c r="EQ18" s="47"/>
      <c r="ER18" s="30"/>
      <c r="ES18" s="34"/>
      <c r="ET18" s="29"/>
      <c r="EU18" s="47"/>
      <c r="EV18" s="47"/>
      <c r="EW18" s="30"/>
    </row>
    <row r="19" spans="1:153" x14ac:dyDescent="0.2">
      <c r="A19" s="2" t="str">
        <f>DaB!A19</f>
        <v>Calendar 7</v>
      </c>
      <c r="B19" s="2" t="str">
        <f t="shared" si="3"/>
        <v>.</v>
      </c>
      <c r="C19" s="27">
        <f t="shared" si="1"/>
        <v>45474</v>
      </c>
      <c r="D19" s="34">
        <f>IFERROR(MIN(DaB!F19:K19)-C19,0)</f>
        <v>-45474</v>
      </c>
      <c r="E19" s="29">
        <f>IF(F19=0,0,IF(DaB!F19&gt;0,DaB!G19-DaB!F19,0))</f>
        <v>0</v>
      </c>
      <c r="F19" s="33">
        <f>IF(DaB!G19&gt;MAX(DaB!EV19,DaB!FJ19),DaB!H19-DaB!G19+1,
IF(DaB!H19&gt;0,DaB!H19-DaB!G19,0))</f>
        <v>0</v>
      </c>
      <c r="G19" s="32">
        <f>IF(F19=0,0,IF(DaB!J19&gt;0,DaB!J19-DaB!I19+1,0))</f>
        <v>0</v>
      </c>
      <c r="H19" s="30">
        <f>IF(F19=0,0,IF(DaB!K19&gt;0,DaB!K19-MAX(DaB!H19:J19),0))</f>
        <v>0</v>
      </c>
      <c r="I19" s="34">
        <f>IF(K19=0,0,MIN(DaB!$M19:$N19)-SUM($C19:H19))</f>
        <v>0</v>
      </c>
      <c r="J19" s="29">
        <f>IF(K19=0,0,IF(DaB!M19&gt;0,DaB!N19-DaB!M19,0))</f>
        <v>0</v>
      </c>
      <c r="K19" s="33">
        <f>IF(DaB!O19&gt;0,DaB!O19-DaB!N19+1,0)</f>
        <v>0</v>
      </c>
      <c r="L19" s="32">
        <f>IF(K19=0,0,IF(DaB!Q19&gt;0,DaB!Q19-DaB!P19+1,0))</f>
        <v>0</v>
      </c>
      <c r="M19" s="30">
        <f>IF(K19=0,0,IF(DaB!R19&gt;0,DaB!R19-MAX(DaB!O19:Q19),0))</f>
        <v>0</v>
      </c>
      <c r="N19" s="31">
        <f>IF(P19=0,0,MIN(DaB!$T19:$U19)-SUM($C19:M19))</f>
        <v>0</v>
      </c>
      <c r="O19" s="29">
        <f>IF(P19=0,0,IF(DaB!T19&gt;0,DaB!U19-DaB!T19,0))</f>
        <v>0</v>
      </c>
      <c r="P19" s="33">
        <f>IF(DaB!V19&gt;0,DaB!V19-DaB!U19+1,0)</f>
        <v>0</v>
      </c>
      <c r="Q19" s="32">
        <f>IF(P19=0,0,IF(DaB!X19&gt;0,DaB!X19-DaB!W19+1,0))</f>
        <v>0</v>
      </c>
      <c r="R19" s="30">
        <f>IF(P19=0,0,IF(DaB!Y19&gt;0,DaB!Y19-MAX(DaB!V19:X19),0))</f>
        <v>0</v>
      </c>
      <c r="S19" s="34">
        <f>IF(U19=0,0,MIN(DaB!$AA19:$AB19)-SUM($C19:R19))</f>
        <v>0</v>
      </c>
      <c r="T19" s="29">
        <f>IF(U19=0,0,IF(DaB!AA19&gt;0,DaB!AB19-DaB!AA19,0))</f>
        <v>0</v>
      </c>
      <c r="U19" s="33">
        <f>IF(DaB!AC19&gt;0,DaB!AC19-DaB!AB19+1,0)</f>
        <v>0</v>
      </c>
      <c r="V19" s="32">
        <f>IF(U19=0,0,IF(DaB!AE19&gt;0,DaB!AE19-DaB!AD19+1,0))</f>
        <v>0</v>
      </c>
      <c r="W19" s="30">
        <f>IF(U19=0,0,IF(DaB!AF19&gt;0,DaB!AF19-MAX(DaB!AC19:AE19),0))</f>
        <v>0</v>
      </c>
      <c r="X19" s="34">
        <f>IF(Z19=0,0,MIN(DaB!$AH19:$AI19)-SUM($C19:W19))</f>
        <v>0</v>
      </c>
      <c r="Y19" s="29">
        <f>IF(Z19=0,0,IF(DaB!AH19&gt;0,DaB!AI19-DaB!AH19,0))</f>
        <v>0</v>
      </c>
      <c r="Z19" s="33">
        <f>IF(DaB!AJ19&gt;0,DaB!AJ19-DaB!AI19+1,0)</f>
        <v>0</v>
      </c>
      <c r="AA19" s="32">
        <f>IF(Z19=0,0,IF(DaB!AL19&gt;0,DaB!AL19-DaB!AK19+1,0))</f>
        <v>0</v>
      </c>
      <c r="AB19" s="30">
        <f>IF(Z19=0,0,IF(DaB!AM19&gt;0,DaB!AM19-MAX(DaB!AJ19:AL19),0))</f>
        <v>0</v>
      </c>
      <c r="AC19" s="34">
        <f>IF(AE19=0,0,MIN(DaB!$AO19:$AP19)-SUM($C19:AB19))</f>
        <v>0</v>
      </c>
      <c r="AD19" s="29">
        <f>IF(AE19=0,0,IF(DaB!AO19&gt;0,DaB!AP19-DaB!AO19,0))</f>
        <v>0</v>
      </c>
      <c r="AE19" s="33">
        <f>IF(DaB!AQ19&gt;0,DaB!AQ19-DaB!AP19+1,0)</f>
        <v>0</v>
      </c>
      <c r="AF19" s="32">
        <f>IF(AE19=0,0,IF(DaB!AS19&gt;0,DaB!AS19-DaB!AR19+1,0))</f>
        <v>0</v>
      </c>
      <c r="AG19" s="30">
        <f>IF(AE19=0,0,IF(DaB!AT19&gt;0,DaB!AT19-MAX(DaB!AQ19:AS19),0))</f>
        <v>0</v>
      </c>
      <c r="AH19" s="34">
        <f>IF(AJ19=0,0,MIN(DaB!$AV19:$AW19)-SUM($C19:AG19))</f>
        <v>0</v>
      </c>
      <c r="AI19" s="29">
        <f>IF(AJ19=0,0,IF(DaB!AV19&gt;0,DaB!AW19-DaB!AV19,0))</f>
        <v>0</v>
      </c>
      <c r="AJ19" s="33">
        <f>IF(DaB!AX19&gt;0,DaB!AX19-DaB!AW19+1,0)</f>
        <v>0</v>
      </c>
      <c r="AK19" s="32">
        <f>IF(AJ19=0,0,IF(DaB!AZ19&gt;0,DaB!AZ19-DaB!AY19+1,0))</f>
        <v>0</v>
      </c>
      <c r="AL19" s="30">
        <f>IF(AJ19=0,0,IF(DaB!BA19&gt;0,DaB!BA19-MAX(DaB!AX19:AZ19),0))</f>
        <v>0</v>
      </c>
      <c r="AM19" s="34">
        <f>IF(AO19=0,0,MIN(DaB!$BC19:$BD19)-SUM($C19:AL19))</f>
        <v>0</v>
      </c>
      <c r="AN19" s="29">
        <f>IF(AO19=0,0,IF(DaB!BC19&gt;0,DaB!BD19-DaB!BC19,0))</f>
        <v>0</v>
      </c>
      <c r="AO19" s="33">
        <f>IF(DaB!BE19&gt;0,DaB!BE19-DaB!BD19+1,0)</f>
        <v>0</v>
      </c>
      <c r="AP19" s="32">
        <f>IF(AO19=0,0,IF(DaB!BG19&gt;0,DaB!BG19-DaB!BF19+1,0))</f>
        <v>0</v>
      </c>
      <c r="AQ19" s="30">
        <f>IF(AO19=0,0,IF(DaB!BH19&gt;0,DaB!BH19-MAX(DaB!BE19:BG19),0))</f>
        <v>0</v>
      </c>
      <c r="AR19" s="34">
        <f>IF(AT19=0,0,MIN(DaB!$BJ19:$BK19)-SUM($C19:AQ19))</f>
        <v>0</v>
      </c>
      <c r="AS19" s="29">
        <f>IF(AT19=0,0,IF(DaB!BJ19&gt;0,DaB!BK19-DaB!BJ19,0))</f>
        <v>0</v>
      </c>
      <c r="AT19" s="33">
        <f>IF(DaB!BL19&gt;0,DaB!BL19-DaB!BK19+1,0)</f>
        <v>0</v>
      </c>
      <c r="AU19" s="32">
        <f>IF(AT19=0,0,IF(DaB!BN19&gt;0,DaB!BN19-DaB!BM19+1,0))</f>
        <v>0</v>
      </c>
      <c r="AV19" s="30">
        <f>IF(AT19=0,0,IF(DaB!BO19&gt;0,DaB!BO19-MAX(DaB!BL19:BN19),0))</f>
        <v>0</v>
      </c>
      <c r="AW19" s="34">
        <f>IF(AY19=0,0,MIN(DaB!$BQ19:$BR19)-SUM($C19:AV19))</f>
        <v>0</v>
      </c>
      <c r="AX19" s="29">
        <f>IF(AY19=0,0,IF(DaB!BQ19&gt;0,DaB!BR19-DaB!BQ19,0))</f>
        <v>0</v>
      </c>
      <c r="AY19" s="33">
        <f>IF(DaB!BS19&gt;0,DaB!BS19-DaB!BR19+1,0)</f>
        <v>0</v>
      </c>
      <c r="AZ19" s="32">
        <f>IF(AY19=0,0,IF(DaB!BU19&gt;0,DaB!BU19-DaB!BT19+1,0))</f>
        <v>0</v>
      </c>
      <c r="BA19" s="30">
        <f>IF(AY19=0,0,IF(DaB!BV19&gt;0,DaB!BV19-MAX(DaB!BS19:BU19),0))</f>
        <v>0</v>
      </c>
      <c r="BB19" s="34">
        <f>IF(BD19=0,0,MIN(DaB!$BX19:$BY19)-SUM($C19:BA19))</f>
        <v>0</v>
      </c>
      <c r="BC19" s="29">
        <f>IF(BD19=0,0,IF(DaB!BX19&gt;0,DaB!BY19-DaB!BX19,0))</f>
        <v>0</v>
      </c>
      <c r="BD19" s="33">
        <f>IF(DaB!BZ19&gt;0,DaB!BZ19-DaB!BY19+1,0)</f>
        <v>0</v>
      </c>
      <c r="BE19" s="32">
        <f>IF(BD19=0,0,IF(DaB!CB19&gt;0,DaB!CB19-DaB!CA19+1,0))</f>
        <v>0</v>
      </c>
      <c r="BF19" s="30">
        <f>IF(BD19=0,0,IF(DaB!CC19&gt;0,DaB!CC19-MAX(DaB!BZ19:CB19),0))</f>
        <v>0</v>
      </c>
      <c r="BG19" s="34">
        <f>IF(BI19=0,0,MIN(DaB!$CE19:$CF19)-SUM($C19:BF19))</f>
        <v>0</v>
      </c>
      <c r="BH19" s="29">
        <f>IF(BI19=0,0,IF(DaB!CE19&gt;0,DaB!CF19-DaB!CE19,0))</f>
        <v>0</v>
      </c>
      <c r="BI19" s="33">
        <f>IF(DaB!CG19&gt;0,DaB!CG19-DaB!CF19+1,0)</f>
        <v>0</v>
      </c>
      <c r="BJ19" s="32">
        <f>IF(BI19=0,0,IF(DaB!CI19&gt;0,DaB!CI19-DaB!CH19+1,0))</f>
        <v>0</v>
      </c>
      <c r="BK19" s="30">
        <f>IF(BI19=0,0,IF(DaB!CJ19&gt;0,DaB!CJ19-MAX(DaB!CG19:CI19),0))</f>
        <v>0</v>
      </c>
      <c r="BL19" s="34">
        <f>IF(BN19=0,0,MIN(DaB!$CL19:$CM19)-SUM($C19:BK19))</f>
        <v>0</v>
      </c>
      <c r="BM19" s="29">
        <f>IF(BN19=0,0,IF(DaB!CL19&gt;0,DaB!CM19-DaB!CL19,0))</f>
        <v>0</v>
      </c>
      <c r="BN19" s="33">
        <f>IF(DaB!CN19&gt;0,DaB!CN19-DaB!CM19+1,0)</f>
        <v>0</v>
      </c>
      <c r="BO19" s="32">
        <f>IF(BN19=0,0,IF(DaB!CP19&gt;0,DaB!CP19-DaB!CO19+1,0))</f>
        <v>0</v>
      </c>
      <c r="BP19" s="30">
        <f>IF(BN19=0,0,IF(DaB!CQ19&gt;0,DaB!CQ19-MAX(DaB!CN19:CP19),0))</f>
        <v>0</v>
      </c>
      <c r="BQ19" s="34">
        <f>IF(BS19=0,0,MIN(DaB!$CS19:$CT19)-SUM($C19:BP19))</f>
        <v>0</v>
      </c>
      <c r="BR19" s="29">
        <f>IF(BS19=0,0,IF(DaB!CS19&gt;0,DaB!CT19-DaB!CS19,0))</f>
        <v>0</v>
      </c>
      <c r="BS19" s="33">
        <f>IF(DaB!CU19&gt;0,DaB!CU19-DaB!CT19+1,0)</f>
        <v>0</v>
      </c>
      <c r="BT19" s="32">
        <f>IF(BS19=0,0,IF(DaB!CW19&gt;0,DaB!CW19-DaB!CV19+1,0))</f>
        <v>0</v>
      </c>
      <c r="BU19" s="30">
        <f>IF(BS19=0,0,IF(DaB!CX19&gt;0,DaB!CX19-MAX(DaB!CU19:CW19),0))</f>
        <v>0</v>
      </c>
      <c r="BV19" s="34">
        <f>IF(BX19=0,0,MIN(DaB!$CZ19:$DA19)-SUM($C19:BU19))</f>
        <v>0</v>
      </c>
      <c r="BW19" s="29">
        <f>IF(BX19=0,0,IF(DaB!CZ19&gt;0,DaB!DA19-DaB!CZ19,0))</f>
        <v>0</v>
      </c>
      <c r="BX19" s="33">
        <f>IF(DaB!DB19&gt;0,DaB!DB19-DaB!DA19+1,0)</f>
        <v>0</v>
      </c>
      <c r="BY19" s="32">
        <f>IF(BX19=0,0,IF(DaB!DD19&gt;0,DaB!DD19-DaB!DC19+1,0))</f>
        <v>0</v>
      </c>
      <c r="BZ19" s="30">
        <f>IF(BX19=0,0,IF(DaB!DE19&gt;0,DaB!DE19-MAX(DaB!DB19:DD19),0))</f>
        <v>0</v>
      </c>
      <c r="CA19" s="34">
        <f>IF(CC19=0,0,MIN(DaB!$DG19:$DH19)-SUM($C19:BZ19))</f>
        <v>0</v>
      </c>
      <c r="CB19" s="29">
        <f>IF(CC19=0,0,IF(DaB!DG19&gt;0,DaB!DH19-DaB!DG19,0))</f>
        <v>0</v>
      </c>
      <c r="CC19" s="33">
        <f>IF(DaB!DI19&gt;0,DaB!DI19-DaB!DH19+1,0)</f>
        <v>0</v>
      </c>
      <c r="CD19" s="32">
        <f>IF(CC19=0,0,IF(DaB!DK19&gt;0,DaB!DK19-DaB!DJ19+1,0))</f>
        <v>0</v>
      </c>
      <c r="CE19" s="30">
        <f>IF(CC19=0,0,IF(DaB!DL19&gt;0,DaB!DL19-MAX(DaB!DI19:DK19),0))</f>
        <v>0</v>
      </c>
      <c r="CF19" s="34">
        <f>IF(CH19=0,0,MIN(DaB!$DN19:$DO19)-SUM($C19:CE19))</f>
        <v>0</v>
      </c>
      <c r="CG19" s="29">
        <f>IF(CH19=0,0,IF(DaB!DN19&gt;0,DaB!DO19-DaB!DN19,0))</f>
        <v>0</v>
      </c>
      <c r="CH19" s="33">
        <f>IF(DaB!DP19&gt;0,DaB!DP19-DaB!DO19+1,0)</f>
        <v>0</v>
      </c>
      <c r="CI19" s="32">
        <f>IF(CH19=0,0,IF(DaB!DR19&gt;0,DaB!DR19-DaB!DQ19+1,0))</f>
        <v>0</v>
      </c>
      <c r="CJ19" s="30">
        <f>IF(CH19=0,0,IF(DaB!DS19&gt;0,DaB!DS19-MAX(DaB!DP19:DR19),0))</f>
        <v>0</v>
      </c>
      <c r="CK19" s="34">
        <f>IF(CM19=0,0,MIN(DaB!$DU19:$DV19)-SUM($C19:CJ19))</f>
        <v>0</v>
      </c>
      <c r="CL19" s="29">
        <f>IF(CM19=0,0,IF(DaB!DU19&gt;0,DaB!DV19-DaB!DU19,0))</f>
        <v>0</v>
      </c>
      <c r="CM19" s="33">
        <f>IF(DaB!DW19&gt;0,DaB!DW19-DaB!DV19+1,0)</f>
        <v>0</v>
      </c>
      <c r="CN19" s="32">
        <f>IF(CM19=0,0,IF(DaB!DY19&gt;0,DaB!DY19-DaB!DX19+1,0))</f>
        <v>0</v>
      </c>
      <c r="CO19" s="30">
        <f>IF(CM19=0,0,IF(DaB!DZ19&gt;0,DaB!DZ19-MAX(DaB!DW19:DY19),0))</f>
        <v>0</v>
      </c>
      <c r="CP19" s="34">
        <f>IF(CR19=0,0,MIN(DaB!$EB19:$EC19)-SUM($C19:CO19))</f>
        <v>0</v>
      </c>
      <c r="CQ19" s="29">
        <f>IF(CR19=0,0,IF(DaB!EB19&gt;0,DaB!EC19-DaB!EB19,0))</f>
        <v>0</v>
      </c>
      <c r="CR19" s="33">
        <f>IF(DaB!ED19&gt;0,DaB!ED19-DaB!EC19+1,0)</f>
        <v>0</v>
      </c>
      <c r="CS19" s="32">
        <f>IF(CR19=0,0,IF(DaB!EF19&gt;0,DaB!EF19-DaB!EE19+1,0))</f>
        <v>0</v>
      </c>
      <c r="CT19" s="30">
        <f>IF(CR19=0,0,IF(DaB!EG19&gt;0,DaB!EG19-MAX(DaB!ED19:EF19),0))</f>
        <v>0</v>
      </c>
      <c r="CU19" s="34">
        <f>IF(CW19=0,0,MIN(DaB!$EI19:$EJ19)-SUM($C19:CT19))</f>
        <v>0</v>
      </c>
      <c r="CV19" s="29">
        <f>IF(CW19=0,0,IF(DaB!EI19&gt;0,DaB!EJ19-DaB!EI19,0))</f>
        <v>0</v>
      </c>
      <c r="CW19" s="33">
        <f>IF(DaB!EK19&gt;0,DaB!EK19-DaB!EJ19+1,0)</f>
        <v>0</v>
      </c>
      <c r="CX19" s="32">
        <f>IF(CW19=0,0,IF(DaB!EM19&gt;0,DaB!EM19-DaB!EL19+1,0))</f>
        <v>0</v>
      </c>
      <c r="CY19" s="30">
        <f>IF(CW19=0,0,IF(DaB!EN19&gt;0,DaB!EN19-MAX(DaB!EK19:EM19),0))</f>
        <v>0</v>
      </c>
      <c r="DC19" s="49"/>
      <c r="DD19" s="183"/>
      <c r="DF19" s="2">
        <f t="shared" si="0"/>
        <v>45474</v>
      </c>
      <c r="DG19" s="28">
        <f>IF(MIN(DaB!EU19:EV19)=DF19,0,
IF(MIN(DaB!EU19:EV19)&gt;DF19,MIN(DaB!EU19:EV19)-DF19,0))</f>
        <v>0</v>
      </c>
      <c r="DH19" s="29">
        <f>DaB!EV19-SUM(DF19:DG19)</f>
        <v>-45474</v>
      </c>
      <c r="DI19" s="10"/>
      <c r="DJ19" s="10"/>
      <c r="DK19" s="11"/>
      <c r="DL19" s="11"/>
      <c r="DM19" s="30"/>
      <c r="DN19" s="28"/>
      <c r="DO19" s="29"/>
      <c r="DP19" s="10"/>
      <c r="DQ19" s="10"/>
      <c r="DR19" s="11"/>
      <c r="DS19" s="11"/>
      <c r="DT19" s="30"/>
      <c r="DU19" s="28"/>
      <c r="DV19" s="29"/>
      <c r="DW19" s="10"/>
      <c r="DX19" s="10"/>
      <c r="DY19" s="11"/>
      <c r="DZ19" s="11"/>
      <c r="EA19" s="30"/>
      <c r="EB19" s="28"/>
      <c r="EC19" s="29"/>
      <c r="ED19" s="10"/>
      <c r="EE19" s="10"/>
      <c r="EF19" s="11"/>
      <c r="EG19" s="11"/>
      <c r="EH19" s="30"/>
      <c r="EI19" s="34"/>
      <c r="EJ19" s="29"/>
      <c r="EK19" s="10"/>
      <c r="EL19" s="10"/>
      <c r="EM19" s="30"/>
      <c r="EN19" s="34"/>
      <c r="EO19" s="29"/>
      <c r="EP19" s="47"/>
      <c r="EQ19" s="47"/>
      <c r="ER19" s="30"/>
      <c r="ES19" s="34"/>
      <c r="ET19" s="29"/>
      <c r="EU19" s="47"/>
      <c r="EV19" s="47"/>
      <c r="EW19" s="30"/>
    </row>
    <row r="20" spans="1:153" x14ac:dyDescent="0.2">
      <c r="A20" s="2" t="str">
        <f>DaB!A20</f>
        <v>Calendar 8</v>
      </c>
      <c r="B20" s="2" t="str">
        <f t="shared" si="3"/>
        <v>.</v>
      </c>
      <c r="C20" s="27">
        <f t="shared" si="1"/>
        <v>45474</v>
      </c>
      <c r="D20" s="34">
        <f>IFERROR(MIN(DaB!F20:K20)-C20,0)</f>
        <v>-45474</v>
      </c>
      <c r="E20" s="29">
        <f>IF(F20=0,0,IF(DaB!F20&gt;0,DaB!G20-DaB!F20,0))</f>
        <v>0</v>
      </c>
      <c r="F20" s="33">
        <f>IF(DaB!G20&gt;MAX(DaB!EV20,DaB!FJ20),DaB!H20-DaB!G20+1,
IF(DaB!H20&gt;0,DaB!H20-DaB!G20,0))</f>
        <v>0</v>
      </c>
      <c r="G20" s="32">
        <f>IF(F20=0,0,IF(DaB!J20&gt;0,DaB!J20-DaB!I20+1,0))</f>
        <v>0</v>
      </c>
      <c r="H20" s="30">
        <f>IF(F20=0,0,IF(DaB!K20&gt;0,DaB!K20-MAX(DaB!H20:J20),0))</f>
        <v>0</v>
      </c>
      <c r="I20" s="34">
        <f>IF(K20=0,0,MIN(DaB!$M20:$N20)-SUM($C20:H20))</f>
        <v>0</v>
      </c>
      <c r="J20" s="29">
        <f>IF(K20=0,0,IF(DaB!M20&gt;0,DaB!N20-DaB!M20,0))</f>
        <v>0</v>
      </c>
      <c r="K20" s="33">
        <f>IF(DaB!O20&gt;0,DaB!O20-DaB!N20+1,0)</f>
        <v>0</v>
      </c>
      <c r="L20" s="32">
        <f>IF(K20=0,0,IF(DaB!Q20&gt;0,DaB!Q20-DaB!P20+1,0))</f>
        <v>0</v>
      </c>
      <c r="M20" s="30">
        <f>IF(K20=0,0,IF(DaB!R20&gt;0,DaB!R20-MAX(DaB!O20:Q20),0))</f>
        <v>0</v>
      </c>
      <c r="N20" s="31">
        <f>IF(P20=0,0,MIN(DaB!$T20:$U20)-SUM($C20:M20))</f>
        <v>0</v>
      </c>
      <c r="O20" s="29">
        <f>IF(P20=0,0,IF(DaB!T20&gt;0,DaB!U20-DaB!T20,0))</f>
        <v>0</v>
      </c>
      <c r="P20" s="33">
        <f>IF(DaB!V20&gt;0,DaB!V20-DaB!U20+1,0)</f>
        <v>0</v>
      </c>
      <c r="Q20" s="32">
        <f>IF(P20=0,0,IF(DaB!X20&gt;0,DaB!X20-DaB!W20+1,0))</f>
        <v>0</v>
      </c>
      <c r="R20" s="30">
        <f>IF(P20=0,0,IF(DaB!Y20&gt;0,DaB!Y20-MAX(DaB!V20:X20),0))</f>
        <v>0</v>
      </c>
      <c r="S20" s="34">
        <f>IF(U20=0,0,MIN(DaB!$AA20:$AB20)-SUM($C20:R20))</f>
        <v>0</v>
      </c>
      <c r="T20" s="29">
        <f>IF(U20=0,0,IF(DaB!AA20&gt;0,DaB!AB20-DaB!AA20,0))</f>
        <v>0</v>
      </c>
      <c r="U20" s="33">
        <f>IF(DaB!AC20&gt;0,DaB!AC20-DaB!AB20+1,0)</f>
        <v>0</v>
      </c>
      <c r="V20" s="32">
        <f>IF(U20=0,0,IF(DaB!AE20&gt;0,DaB!AE20-DaB!AD20+1,0))</f>
        <v>0</v>
      </c>
      <c r="W20" s="30">
        <f>IF(U20=0,0,IF(DaB!AF20&gt;0,DaB!AF20-MAX(DaB!AC20:AE20),0))</f>
        <v>0</v>
      </c>
      <c r="X20" s="34">
        <f>IF(Z20=0,0,MIN(DaB!$AH20:$AI20)-SUM($C20:W20))</f>
        <v>0</v>
      </c>
      <c r="Y20" s="29">
        <f>IF(Z20=0,0,IF(DaB!AH20&gt;0,DaB!AI20-DaB!AH20,0))</f>
        <v>0</v>
      </c>
      <c r="Z20" s="33">
        <f>IF(DaB!AJ20&gt;0,DaB!AJ20-DaB!AI20+1,0)</f>
        <v>0</v>
      </c>
      <c r="AA20" s="32">
        <f>IF(Z20=0,0,IF(DaB!AL20&gt;0,DaB!AL20-DaB!AK20+1,0))</f>
        <v>0</v>
      </c>
      <c r="AB20" s="30">
        <f>IF(Z20=0,0,IF(DaB!AM20&gt;0,DaB!AM20-MAX(DaB!AJ20:AL20),0))</f>
        <v>0</v>
      </c>
      <c r="AC20" s="34">
        <f>IF(AE20=0,0,MIN(DaB!$AO20:$AP20)-SUM($C20:AB20))</f>
        <v>0</v>
      </c>
      <c r="AD20" s="29">
        <f>IF(AE20=0,0,IF(DaB!AO20&gt;0,DaB!AP20-DaB!AO20,0))</f>
        <v>0</v>
      </c>
      <c r="AE20" s="33">
        <f>IF(DaB!AQ20&gt;0,DaB!AQ20-DaB!AP20+1,0)</f>
        <v>0</v>
      </c>
      <c r="AF20" s="32">
        <f>IF(AE20=0,0,IF(DaB!AS20&gt;0,DaB!AS20-DaB!AR20+1,0))</f>
        <v>0</v>
      </c>
      <c r="AG20" s="30">
        <f>IF(AE20=0,0,IF(DaB!AT20&gt;0,DaB!AT20-MAX(DaB!AQ20:AS20),0))</f>
        <v>0</v>
      </c>
      <c r="AH20" s="34">
        <f>IF(AJ20=0,0,MIN(DaB!$AV20:$AW20)-SUM($C20:AG20))</f>
        <v>0</v>
      </c>
      <c r="AI20" s="29">
        <f>IF(AJ20=0,0,IF(DaB!AV20&gt;0,DaB!AW20-DaB!AV20,0))</f>
        <v>0</v>
      </c>
      <c r="AJ20" s="33">
        <f>IF(DaB!AX20&gt;0,DaB!AX20-DaB!AW20+1,0)</f>
        <v>0</v>
      </c>
      <c r="AK20" s="32">
        <f>IF(AJ20=0,0,IF(DaB!AZ20&gt;0,DaB!AZ20-DaB!AY20+1,0))</f>
        <v>0</v>
      </c>
      <c r="AL20" s="30">
        <f>IF(AJ20=0,0,IF(DaB!BA20&gt;0,DaB!BA20-MAX(DaB!AX20:AZ20),0))</f>
        <v>0</v>
      </c>
      <c r="AM20" s="34">
        <f>IF(AO20=0,0,MIN(DaB!$BC20:$BD20)-SUM($C20:AL20))</f>
        <v>0</v>
      </c>
      <c r="AN20" s="29">
        <f>IF(AO20=0,0,IF(DaB!BC20&gt;0,DaB!BD20-DaB!BC20,0))</f>
        <v>0</v>
      </c>
      <c r="AO20" s="33">
        <f>IF(DaB!BE20&gt;0,DaB!BE20-DaB!BD20+1,0)</f>
        <v>0</v>
      </c>
      <c r="AP20" s="32">
        <f>IF(AO20=0,0,IF(DaB!BG20&gt;0,DaB!BG20-DaB!BF20+1,0))</f>
        <v>0</v>
      </c>
      <c r="AQ20" s="30">
        <f>IF(AO20=0,0,IF(DaB!BH20&gt;0,DaB!BH20-MAX(DaB!BE20:BG20),0))</f>
        <v>0</v>
      </c>
      <c r="AR20" s="34">
        <f>IF(AT20=0,0,MIN(DaB!$BJ20:$BK20)-SUM($C20:AQ20))</f>
        <v>0</v>
      </c>
      <c r="AS20" s="29">
        <f>IF(AT20=0,0,IF(DaB!BJ20&gt;0,DaB!BK20-DaB!BJ20,0))</f>
        <v>0</v>
      </c>
      <c r="AT20" s="33">
        <f>IF(DaB!BL20&gt;0,DaB!BL20-DaB!BK20+1,0)</f>
        <v>0</v>
      </c>
      <c r="AU20" s="32">
        <f>IF(AT20=0,0,IF(DaB!BN20&gt;0,DaB!BN20-DaB!BM20+1,0))</f>
        <v>0</v>
      </c>
      <c r="AV20" s="30">
        <f>IF(AT20=0,0,IF(DaB!BO20&gt;0,DaB!BO20-MAX(DaB!BL20:BN20),0))</f>
        <v>0</v>
      </c>
      <c r="AW20" s="34">
        <f>IF(AY20=0,0,MIN(DaB!$BQ20:$BR20)-SUM($C20:AV20))</f>
        <v>0</v>
      </c>
      <c r="AX20" s="29">
        <f>IF(AY20=0,0,IF(DaB!BQ20&gt;0,DaB!BR20-DaB!BQ20,0))</f>
        <v>0</v>
      </c>
      <c r="AY20" s="33">
        <f>IF(DaB!BS20&gt;0,DaB!BS20-DaB!BR20+1,0)</f>
        <v>0</v>
      </c>
      <c r="AZ20" s="32">
        <f>IF(AY20=0,0,IF(DaB!BU20&gt;0,DaB!BU20-DaB!BT20+1,0))</f>
        <v>0</v>
      </c>
      <c r="BA20" s="30">
        <f>IF(AY20=0,0,IF(DaB!BV20&gt;0,DaB!BV20-MAX(DaB!BS20:BU20),0))</f>
        <v>0</v>
      </c>
      <c r="BB20" s="34">
        <f>IF(BD20=0,0,MIN(DaB!$BX20:$BY20)-SUM($C20:BA20))</f>
        <v>0</v>
      </c>
      <c r="BC20" s="29">
        <f>IF(BD20=0,0,IF(DaB!BX20&gt;0,DaB!BY20-DaB!BX20,0))</f>
        <v>0</v>
      </c>
      <c r="BD20" s="33">
        <f>IF(DaB!BZ20&gt;0,DaB!BZ20-DaB!BY20+1,0)</f>
        <v>0</v>
      </c>
      <c r="BE20" s="32">
        <f>IF(BD20=0,0,IF(DaB!CB20&gt;0,DaB!CB20-DaB!CA20+1,0))</f>
        <v>0</v>
      </c>
      <c r="BF20" s="30">
        <f>IF(BD20=0,0,IF(DaB!CC20&gt;0,DaB!CC20-MAX(DaB!BZ20:CB20),0))</f>
        <v>0</v>
      </c>
      <c r="BG20" s="34">
        <f>IF(BI20=0,0,MIN(DaB!$CE20:$CF20)-SUM($C20:BF20))</f>
        <v>0</v>
      </c>
      <c r="BH20" s="29">
        <f>IF(BI20=0,0,IF(DaB!CE20&gt;0,DaB!CF20-DaB!CE20,0))</f>
        <v>0</v>
      </c>
      <c r="BI20" s="33">
        <f>IF(DaB!CG20&gt;0,DaB!CG20-DaB!CF20+1,0)</f>
        <v>0</v>
      </c>
      <c r="BJ20" s="32">
        <f>IF(BI20=0,0,IF(DaB!CI20&gt;0,DaB!CI20-DaB!CH20+1,0))</f>
        <v>0</v>
      </c>
      <c r="BK20" s="30">
        <f>IF(BI20=0,0,IF(DaB!CJ20&gt;0,DaB!CJ20-MAX(DaB!CG20:CI20),0))</f>
        <v>0</v>
      </c>
      <c r="BL20" s="34">
        <f>IF(BN20=0,0,MIN(DaB!$CL20:$CM20)-SUM($C20:BK20))</f>
        <v>0</v>
      </c>
      <c r="BM20" s="29">
        <f>IF(BN20=0,0,IF(DaB!CL20&gt;0,DaB!CM20-DaB!CL20,0))</f>
        <v>0</v>
      </c>
      <c r="BN20" s="33">
        <f>IF(DaB!CN20&gt;0,DaB!CN20-DaB!CM20+1,0)</f>
        <v>0</v>
      </c>
      <c r="BO20" s="32">
        <f>IF(BN20=0,0,IF(DaB!CP20&gt;0,DaB!CP20-DaB!CO20+1,0))</f>
        <v>0</v>
      </c>
      <c r="BP20" s="30">
        <f>IF(BN20=0,0,IF(DaB!CQ20&gt;0,DaB!CQ20-MAX(DaB!CN20:CP20),0))</f>
        <v>0</v>
      </c>
      <c r="BQ20" s="34">
        <f>IF(BS20=0,0,MIN(DaB!$CS20:$CT20)-SUM($C20:BP20))</f>
        <v>0</v>
      </c>
      <c r="BR20" s="29">
        <f>IF(BS20=0,0,IF(DaB!CS20&gt;0,DaB!CT20-DaB!CS20,0))</f>
        <v>0</v>
      </c>
      <c r="BS20" s="33">
        <f>IF(DaB!CU20&gt;0,DaB!CU20-DaB!CT20+1,0)</f>
        <v>0</v>
      </c>
      <c r="BT20" s="32">
        <f>IF(BS20=0,0,IF(DaB!CW20&gt;0,DaB!CW20-DaB!CV20+1,0))</f>
        <v>0</v>
      </c>
      <c r="BU20" s="30">
        <f>IF(BS20=0,0,IF(DaB!CX20&gt;0,DaB!CX20-MAX(DaB!CU20:CW20),0))</f>
        <v>0</v>
      </c>
      <c r="BV20" s="34">
        <f>IF(BX20=0,0,MIN(DaB!$CZ20:$DA20)-SUM($C20:BU20))</f>
        <v>0</v>
      </c>
      <c r="BW20" s="29">
        <f>IF(BX20=0,0,IF(DaB!CZ20&gt;0,DaB!DA20-DaB!CZ20,0))</f>
        <v>0</v>
      </c>
      <c r="BX20" s="33">
        <f>IF(DaB!DB20&gt;0,DaB!DB20-DaB!DA20+1,0)</f>
        <v>0</v>
      </c>
      <c r="BY20" s="32">
        <f>IF(BX20=0,0,IF(DaB!DD20&gt;0,DaB!DD20-DaB!DC20+1,0))</f>
        <v>0</v>
      </c>
      <c r="BZ20" s="30">
        <f>IF(BX20=0,0,IF(DaB!DE20&gt;0,DaB!DE20-MAX(DaB!DB20:DD20),0))</f>
        <v>0</v>
      </c>
      <c r="CA20" s="34">
        <f>IF(CC20=0,0,MIN(DaB!$DG20:$DH20)-SUM($C20:BZ20))</f>
        <v>0</v>
      </c>
      <c r="CB20" s="29">
        <f>IF(CC20=0,0,IF(DaB!DG20&gt;0,DaB!DH20-DaB!DG20,0))</f>
        <v>0</v>
      </c>
      <c r="CC20" s="33">
        <f>IF(DaB!DI20&gt;0,DaB!DI20-DaB!DH20+1,0)</f>
        <v>0</v>
      </c>
      <c r="CD20" s="32">
        <f>IF(CC20=0,0,IF(DaB!DK20&gt;0,DaB!DK20-DaB!DJ20+1,0))</f>
        <v>0</v>
      </c>
      <c r="CE20" s="30">
        <f>IF(CC20=0,0,IF(DaB!DL20&gt;0,DaB!DL20-MAX(DaB!DI20:DK20),0))</f>
        <v>0</v>
      </c>
      <c r="CF20" s="34">
        <f>IF(CH20=0,0,MIN(DaB!$DN20:$DO20)-SUM($C20:CE20))</f>
        <v>0</v>
      </c>
      <c r="CG20" s="29">
        <f>IF(CH20=0,0,IF(DaB!DN20&gt;0,DaB!DO20-DaB!DN20,0))</f>
        <v>0</v>
      </c>
      <c r="CH20" s="33">
        <f>IF(DaB!DP20&gt;0,DaB!DP20-DaB!DO20+1,0)</f>
        <v>0</v>
      </c>
      <c r="CI20" s="32">
        <f>IF(CH20=0,0,IF(DaB!DR20&gt;0,DaB!DR20-DaB!DQ20+1,0))</f>
        <v>0</v>
      </c>
      <c r="CJ20" s="30">
        <f>IF(CH20=0,0,IF(DaB!DS20&gt;0,DaB!DS20-MAX(DaB!DP20:DR20),0))</f>
        <v>0</v>
      </c>
      <c r="CK20" s="34">
        <f>IF(CM20=0,0,MIN(DaB!$DU20:$DV20)-SUM($C20:CJ20))</f>
        <v>0</v>
      </c>
      <c r="CL20" s="29">
        <f>IF(CM20=0,0,IF(DaB!DU20&gt;0,DaB!DV20-DaB!DU20,0))</f>
        <v>0</v>
      </c>
      <c r="CM20" s="33">
        <f>IF(DaB!DW20&gt;0,DaB!DW20-DaB!DV20+1,0)</f>
        <v>0</v>
      </c>
      <c r="CN20" s="32">
        <f>IF(CM20=0,0,IF(DaB!DY20&gt;0,DaB!DY20-DaB!DX20+1,0))</f>
        <v>0</v>
      </c>
      <c r="CO20" s="30">
        <f>IF(CM20=0,0,IF(DaB!DZ20&gt;0,DaB!DZ20-MAX(DaB!DW20:DY20),0))</f>
        <v>0</v>
      </c>
      <c r="CP20" s="34">
        <f>IF(CR20=0,0,MIN(DaB!$EB20:$EC20)-SUM($C20:CO20))</f>
        <v>0</v>
      </c>
      <c r="CQ20" s="29">
        <f>IF(CR20=0,0,IF(DaB!EB20&gt;0,DaB!EC20-DaB!EB20,0))</f>
        <v>0</v>
      </c>
      <c r="CR20" s="33">
        <f>IF(DaB!ED20&gt;0,DaB!ED20-DaB!EC20+1,0)</f>
        <v>0</v>
      </c>
      <c r="CS20" s="32">
        <f>IF(CR20=0,0,IF(DaB!EF20&gt;0,DaB!EF20-DaB!EE20+1,0))</f>
        <v>0</v>
      </c>
      <c r="CT20" s="30">
        <f>IF(CR20=0,0,IF(DaB!EG20&gt;0,DaB!EG20-MAX(DaB!ED20:EF20),0))</f>
        <v>0</v>
      </c>
      <c r="CU20" s="34">
        <f>IF(CW20=0,0,MIN(DaB!$EI20:$EJ20)-SUM($C20:CT20))</f>
        <v>0</v>
      </c>
      <c r="CV20" s="29">
        <f>IF(CW20=0,0,IF(DaB!EI20&gt;0,DaB!EJ20-DaB!EI20,0))</f>
        <v>0</v>
      </c>
      <c r="CW20" s="33">
        <f>IF(DaB!EK20&gt;0,DaB!EK20-DaB!EJ20+1,0)</f>
        <v>0</v>
      </c>
      <c r="CX20" s="32">
        <f>IF(CW20=0,0,IF(DaB!EM20&gt;0,DaB!EM20-DaB!EL20+1,0))</f>
        <v>0</v>
      </c>
      <c r="CY20" s="30">
        <f>IF(CW20=0,0,IF(DaB!EN20&gt;0,DaB!EN20-MAX(DaB!EK20:EM20),0))</f>
        <v>0</v>
      </c>
      <c r="DC20" s="49"/>
      <c r="DD20" s="183"/>
      <c r="DF20" s="2">
        <f t="shared" si="0"/>
        <v>45474</v>
      </c>
      <c r="DG20" s="28">
        <f>IF(MIN(DaB!EU20:EV20)=DF20,0,
IF(MIN(DaB!EU20:EV20)&gt;DF20,MIN(DaB!EU20:EV20)-DF20,0))</f>
        <v>0</v>
      </c>
      <c r="DH20" s="29">
        <f>DaB!EV20-SUM(DF20:DG20)</f>
        <v>-45474</v>
      </c>
      <c r="DI20" s="10"/>
      <c r="DJ20" s="10"/>
      <c r="DK20" s="11"/>
      <c r="DL20" s="11"/>
      <c r="DM20" s="30"/>
      <c r="DN20" s="28"/>
      <c r="DO20" s="29"/>
      <c r="DP20" s="10"/>
      <c r="DQ20" s="10"/>
      <c r="DR20" s="11"/>
      <c r="DS20" s="11"/>
      <c r="DT20" s="30"/>
      <c r="DU20" s="28"/>
      <c r="DV20" s="29"/>
      <c r="DW20" s="10"/>
      <c r="DX20" s="10"/>
      <c r="DY20" s="11"/>
      <c r="DZ20" s="11"/>
      <c r="EA20" s="30"/>
      <c r="EB20" s="28"/>
      <c r="EC20" s="29"/>
      <c r="ED20" s="10"/>
      <c r="EE20" s="10"/>
      <c r="EF20" s="11"/>
      <c r="EG20" s="11"/>
      <c r="EH20" s="30"/>
      <c r="EI20" s="34"/>
      <c r="EJ20" s="29"/>
      <c r="EK20" s="10"/>
      <c r="EL20" s="10"/>
      <c r="EM20" s="30"/>
      <c r="EN20" s="34"/>
      <c r="EO20" s="29"/>
      <c r="EP20" s="47"/>
      <c r="EQ20" s="47"/>
      <c r="ER20" s="30"/>
      <c r="ES20" s="34"/>
      <c r="ET20" s="29"/>
      <c r="EU20" s="47"/>
      <c r="EV20" s="47"/>
      <c r="EW20" s="30"/>
    </row>
    <row r="21" spans="1:153" x14ac:dyDescent="0.2">
      <c r="A21" s="2" t="str">
        <f>DaB!A21</f>
        <v xml:space="preserve">Calendar 8 </v>
      </c>
      <c r="B21" s="2" t="str">
        <f t="shared" si="3"/>
        <v>.</v>
      </c>
      <c r="C21" s="27">
        <f t="shared" si="1"/>
        <v>45474</v>
      </c>
      <c r="D21" s="34">
        <f>IFERROR(MIN(DaB!F21:K21)-C21,0)</f>
        <v>-45474</v>
      </c>
      <c r="E21" s="29">
        <f>IF(F21=0,0,IF(DaB!F21&gt;0,DaB!G21-DaB!F21,0))</f>
        <v>0</v>
      </c>
      <c r="F21" s="33">
        <f>IF(DaB!G21&gt;MAX(DaB!EV21,DaB!FJ21),DaB!H21-DaB!G21+1,
IF(DaB!H21&gt;0,DaB!H21-DaB!G21,0))</f>
        <v>0</v>
      </c>
      <c r="G21" s="32">
        <f>IF(F21=0,0,IF(DaB!J21&gt;0,DaB!J21-DaB!I21+1,0))</f>
        <v>0</v>
      </c>
      <c r="H21" s="30">
        <f>IF(F21=0,0,IF(DaB!K21&gt;0,DaB!K21-MAX(DaB!H21:J21),0))</f>
        <v>0</v>
      </c>
      <c r="I21" s="34">
        <f>IF(K21=0,0,MIN(DaB!$M21:$N21)-SUM($C21:H21))</f>
        <v>0</v>
      </c>
      <c r="J21" s="29">
        <f>IF(K21=0,0,IF(DaB!M21&gt;0,DaB!N21-DaB!M21,0))</f>
        <v>0</v>
      </c>
      <c r="K21" s="33">
        <f>IF(DaB!O21&gt;0,DaB!O21-DaB!N21+1,0)</f>
        <v>0</v>
      </c>
      <c r="L21" s="32">
        <f>IF(K21=0,0,IF(DaB!Q21&gt;0,DaB!Q21-DaB!P21+1,0))</f>
        <v>0</v>
      </c>
      <c r="M21" s="30">
        <f>IF(K21=0,0,IF(DaB!R21&gt;0,DaB!R21-MAX(DaB!O21:Q21),0))</f>
        <v>0</v>
      </c>
      <c r="N21" s="31">
        <f>IF(P21=0,0,MIN(DaB!$T21:$U21)-SUM($C21:M21))</f>
        <v>0</v>
      </c>
      <c r="O21" s="29">
        <f>IF(P21=0,0,IF(DaB!T21&gt;0,DaB!U21-DaB!T21,0))</f>
        <v>0</v>
      </c>
      <c r="P21" s="33">
        <f>IF(DaB!V21&gt;0,DaB!V21-DaB!U21+1,0)</f>
        <v>0</v>
      </c>
      <c r="Q21" s="32">
        <f>IF(P21=0,0,IF(DaB!X21&gt;0,DaB!X21-DaB!W21+1,0))</f>
        <v>0</v>
      </c>
      <c r="R21" s="30">
        <f>IF(P21=0,0,IF(DaB!Y21&gt;0,DaB!Y21-MAX(DaB!V21:X21),0))</f>
        <v>0</v>
      </c>
      <c r="S21" s="34">
        <f>IF(U21=0,0,MIN(DaB!$AA21:$AB21)-SUM($C21:R21))</f>
        <v>0</v>
      </c>
      <c r="T21" s="29">
        <f>IF(U21=0,0,IF(DaB!AA21&gt;0,DaB!AB21-DaB!AA21,0))</f>
        <v>0</v>
      </c>
      <c r="U21" s="33">
        <f>IF(DaB!AC21&gt;0,DaB!AC21-DaB!AB21+1,0)</f>
        <v>0</v>
      </c>
      <c r="V21" s="32">
        <f>IF(U21=0,0,IF(DaB!AE21&gt;0,DaB!AE21-DaB!AD21+1,0))</f>
        <v>0</v>
      </c>
      <c r="W21" s="30">
        <f>IF(U21=0,0,IF(DaB!AF21&gt;0,DaB!AF21-MAX(DaB!AC21:AE21),0))</f>
        <v>0</v>
      </c>
      <c r="X21" s="34">
        <f>IF(Z21=0,0,MIN(DaB!$AH21:$AI21)-SUM($C21:W21))</f>
        <v>0</v>
      </c>
      <c r="Y21" s="29">
        <f>IF(Z21=0,0,IF(DaB!AH21&gt;0,DaB!AI21-DaB!AH21,0))</f>
        <v>0</v>
      </c>
      <c r="Z21" s="33">
        <f>IF(DaB!AJ21&gt;0,DaB!AJ21-DaB!AI21+1,0)</f>
        <v>0</v>
      </c>
      <c r="AA21" s="32">
        <f>IF(Z21=0,0,IF(DaB!AL21&gt;0,DaB!AL21-DaB!AK21+1,0))</f>
        <v>0</v>
      </c>
      <c r="AB21" s="30">
        <f>IF(Z21=0,0,IF(DaB!AM21&gt;0,DaB!AM21-MAX(DaB!AJ21:AL21),0))</f>
        <v>0</v>
      </c>
      <c r="AC21" s="34">
        <f>IF(AE21=0,0,MIN(DaB!$AO21:$AP21)-SUM($C21:AB21))</f>
        <v>0</v>
      </c>
      <c r="AD21" s="29">
        <f>IF(AE21=0,0,IF(DaB!AO21&gt;0,DaB!AP21-DaB!AO21,0))</f>
        <v>0</v>
      </c>
      <c r="AE21" s="33">
        <f>IF(DaB!AQ21&gt;0,DaB!AQ21-DaB!AP21+1,0)</f>
        <v>0</v>
      </c>
      <c r="AF21" s="32">
        <f>IF(AE21=0,0,IF(DaB!AS21&gt;0,DaB!AS21-DaB!AR21+1,0))</f>
        <v>0</v>
      </c>
      <c r="AG21" s="30">
        <f>IF(AE21=0,0,IF(DaB!AT21&gt;0,DaB!AT21-MAX(DaB!AQ21:AS21),0))</f>
        <v>0</v>
      </c>
      <c r="AH21" s="34">
        <f>IF(AJ21=0,0,MIN(DaB!$AV21:$AW21)-SUM($C21:AG21))</f>
        <v>0</v>
      </c>
      <c r="AI21" s="29">
        <f>IF(AJ21=0,0,IF(DaB!AV21&gt;0,DaB!AW21-DaB!AV21,0))</f>
        <v>0</v>
      </c>
      <c r="AJ21" s="33">
        <f>IF(DaB!AX21&gt;0,DaB!AX21-DaB!AW21+1,0)</f>
        <v>0</v>
      </c>
      <c r="AK21" s="32">
        <f>IF(AJ21=0,0,IF(DaB!AZ21&gt;0,DaB!AZ21-DaB!AY21+1,0))</f>
        <v>0</v>
      </c>
      <c r="AL21" s="30">
        <f>IF(AJ21=0,0,IF(DaB!BA21&gt;0,DaB!BA21-MAX(DaB!AX21:AZ21),0))</f>
        <v>0</v>
      </c>
      <c r="AM21" s="34">
        <f>IF(AO21=0,0,MIN(DaB!$BC21:$BD21)-SUM($C21:AL21))</f>
        <v>0</v>
      </c>
      <c r="AN21" s="29">
        <f>IF(AO21=0,0,IF(DaB!BC21&gt;0,DaB!BD21-DaB!BC21,0))</f>
        <v>0</v>
      </c>
      <c r="AO21" s="33">
        <f>IF(DaB!BE21&gt;0,DaB!BE21-DaB!BD21+1,0)</f>
        <v>0</v>
      </c>
      <c r="AP21" s="32">
        <f>IF(AO21=0,0,IF(DaB!BG21&gt;0,DaB!BG21-DaB!BF21+1,0))</f>
        <v>0</v>
      </c>
      <c r="AQ21" s="30">
        <f>IF(AO21=0,0,IF(DaB!BH21&gt;0,DaB!BH21-MAX(DaB!BE21:BG21),0))</f>
        <v>0</v>
      </c>
      <c r="AR21" s="34">
        <f>IF(AT21=0,0,MIN(DaB!$BJ21:$BK21)-SUM($C21:AQ21))</f>
        <v>0</v>
      </c>
      <c r="AS21" s="29">
        <f>IF(AT21=0,0,IF(DaB!BJ21&gt;0,DaB!BK21-DaB!BJ21,0))</f>
        <v>0</v>
      </c>
      <c r="AT21" s="33">
        <f>IF(DaB!BL21&gt;0,DaB!BL21-DaB!BK21+1,0)</f>
        <v>0</v>
      </c>
      <c r="AU21" s="32">
        <f>IF(AT21=0,0,IF(DaB!BN21&gt;0,DaB!BN21-DaB!BM21+1,0))</f>
        <v>0</v>
      </c>
      <c r="AV21" s="30">
        <f>IF(AT21=0,0,IF(DaB!BO21&gt;0,DaB!BO21-MAX(DaB!BL21:BN21),0))</f>
        <v>0</v>
      </c>
      <c r="AW21" s="34">
        <f>IF(AY21=0,0,MIN(DaB!$BQ21:$BR21)-SUM($C21:AV21))</f>
        <v>0</v>
      </c>
      <c r="AX21" s="29">
        <f>IF(AY21=0,0,IF(DaB!BQ21&gt;0,DaB!BR21-DaB!BQ21,0))</f>
        <v>0</v>
      </c>
      <c r="AY21" s="33">
        <f>IF(DaB!BS21&gt;0,DaB!BS21-DaB!BR21+1,0)</f>
        <v>0</v>
      </c>
      <c r="AZ21" s="32">
        <f>IF(AY21=0,0,IF(DaB!BU21&gt;0,DaB!BU21-DaB!BT21+1,0))</f>
        <v>0</v>
      </c>
      <c r="BA21" s="30">
        <f>IF(AY21=0,0,IF(DaB!BV21&gt;0,DaB!BV21-MAX(DaB!BS21:BU21),0))</f>
        <v>0</v>
      </c>
      <c r="BB21" s="34">
        <f>IF(BD21=0,0,MIN(DaB!$BX21:$BY21)-SUM($C21:BA21))</f>
        <v>0</v>
      </c>
      <c r="BC21" s="29">
        <f>IF(BD21=0,0,IF(DaB!BX21&gt;0,DaB!BY21-DaB!BX21,0))</f>
        <v>0</v>
      </c>
      <c r="BD21" s="33">
        <f>IF(DaB!BZ21&gt;0,DaB!BZ21-DaB!BY21+1,0)</f>
        <v>0</v>
      </c>
      <c r="BE21" s="32">
        <f>IF(BD21=0,0,IF(DaB!CB21&gt;0,DaB!CB21-DaB!CA21+1,0))</f>
        <v>0</v>
      </c>
      <c r="BF21" s="30">
        <f>IF(BD21=0,0,IF(DaB!CC21&gt;0,DaB!CC21-MAX(DaB!BZ21:CB21),0))</f>
        <v>0</v>
      </c>
      <c r="BG21" s="34">
        <f>IF(BI21=0,0,MIN(DaB!$CE21:$CF21)-SUM($C21:BF21))</f>
        <v>0</v>
      </c>
      <c r="BH21" s="29">
        <f>IF(BI21=0,0,IF(DaB!CE21&gt;0,DaB!CF21-DaB!CE21,0))</f>
        <v>0</v>
      </c>
      <c r="BI21" s="33">
        <f>IF(DaB!CG21&gt;0,DaB!CG21-DaB!CF21+1,0)</f>
        <v>0</v>
      </c>
      <c r="BJ21" s="32">
        <f>IF(BI21=0,0,IF(DaB!CI21&gt;0,DaB!CI21-DaB!CH21+1,0))</f>
        <v>0</v>
      </c>
      <c r="BK21" s="30">
        <f>IF(BI21=0,0,IF(DaB!CJ21&gt;0,DaB!CJ21-MAX(DaB!CG21:CI21),0))</f>
        <v>0</v>
      </c>
      <c r="BL21" s="34">
        <f>IF(BN21=0,0,MIN(DaB!$CL21:$CM21)-SUM($C21:BK21))</f>
        <v>0</v>
      </c>
      <c r="BM21" s="29">
        <f>IF(BN21=0,0,IF(DaB!CL21&gt;0,DaB!CM21-DaB!CL21,0))</f>
        <v>0</v>
      </c>
      <c r="BN21" s="33">
        <f>IF(DaB!CN21&gt;0,DaB!CN21-DaB!CM21+1,0)</f>
        <v>0</v>
      </c>
      <c r="BO21" s="32">
        <f>IF(BN21=0,0,IF(DaB!CP21&gt;0,DaB!CP21-DaB!CO21+1,0))</f>
        <v>0</v>
      </c>
      <c r="BP21" s="30">
        <f>IF(BN21=0,0,IF(DaB!CQ21&gt;0,DaB!CQ21-MAX(DaB!CN21:CP21),0))</f>
        <v>0</v>
      </c>
      <c r="BQ21" s="34">
        <f>IF(BS21=0,0,MIN(DaB!$CS21:$CT21)-SUM($C21:BP21))</f>
        <v>0</v>
      </c>
      <c r="BR21" s="29">
        <f>IF(BS21=0,0,IF(DaB!CS21&gt;0,DaB!CT21-DaB!CS21,0))</f>
        <v>0</v>
      </c>
      <c r="BS21" s="33">
        <f>IF(DaB!CU21&gt;0,DaB!CU21-DaB!CT21+1,0)</f>
        <v>0</v>
      </c>
      <c r="BT21" s="32">
        <f>IF(BS21=0,0,IF(DaB!CW21&gt;0,DaB!CW21-DaB!CV21+1,0))</f>
        <v>0</v>
      </c>
      <c r="BU21" s="30">
        <f>IF(BS21=0,0,IF(DaB!CX21&gt;0,DaB!CX21-MAX(DaB!CU21:CW21),0))</f>
        <v>0</v>
      </c>
      <c r="BV21" s="34">
        <f>IF(BX21=0,0,MIN(DaB!$CZ21:$DA21)-SUM($C21:BU21))</f>
        <v>0</v>
      </c>
      <c r="BW21" s="29">
        <f>IF(BX21=0,0,IF(DaB!CZ21&gt;0,DaB!DA21-DaB!CZ21,0))</f>
        <v>0</v>
      </c>
      <c r="BX21" s="33">
        <f>IF(DaB!DB21&gt;0,DaB!DB21-DaB!DA21+1,0)</f>
        <v>0</v>
      </c>
      <c r="BY21" s="32">
        <f>IF(BX21=0,0,IF(DaB!DD21&gt;0,DaB!DD21-DaB!DC21+1,0))</f>
        <v>0</v>
      </c>
      <c r="BZ21" s="30">
        <f>IF(BX21=0,0,IF(DaB!DE21&gt;0,DaB!DE21-MAX(DaB!DB21:DD21),0))</f>
        <v>0</v>
      </c>
      <c r="CA21" s="34">
        <f>IF(CC21=0,0,MIN(DaB!$DG21:$DH21)-SUM($C21:BZ21))</f>
        <v>0</v>
      </c>
      <c r="CB21" s="29">
        <f>IF(CC21=0,0,IF(DaB!DG21&gt;0,DaB!DH21-DaB!DG21,0))</f>
        <v>0</v>
      </c>
      <c r="CC21" s="33">
        <f>IF(DaB!DI21&gt;0,DaB!DI21-DaB!DH21+1,0)</f>
        <v>0</v>
      </c>
      <c r="CD21" s="32">
        <f>IF(CC21=0,0,IF(DaB!DK21&gt;0,DaB!DK21-DaB!DJ21+1,0))</f>
        <v>0</v>
      </c>
      <c r="CE21" s="30">
        <f>IF(CC21=0,0,IF(DaB!DL21&gt;0,DaB!DL21-MAX(DaB!DI21:DK21),0))</f>
        <v>0</v>
      </c>
      <c r="CF21" s="34">
        <f>IF(CH21=0,0,MIN(DaB!$DN21:$DO21)-SUM($C21:CE21))</f>
        <v>0</v>
      </c>
      <c r="CG21" s="29">
        <f>IF(CH21=0,0,IF(DaB!DN21&gt;0,DaB!DO21-DaB!DN21,0))</f>
        <v>0</v>
      </c>
      <c r="CH21" s="33">
        <f>IF(DaB!DP21&gt;0,DaB!DP21-DaB!DO21+1,0)</f>
        <v>0</v>
      </c>
      <c r="CI21" s="32">
        <f>IF(CH21=0,0,IF(DaB!DR21&gt;0,DaB!DR21-DaB!DQ21+1,0))</f>
        <v>0</v>
      </c>
      <c r="CJ21" s="30">
        <f>IF(CH21=0,0,IF(DaB!DS21&gt;0,DaB!DS21-MAX(DaB!DP21:DR21),0))</f>
        <v>0</v>
      </c>
      <c r="CK21" s="34">
        <f>IF(CM21=0,0,MIN(DaB!$DU21:$DV21)-SUM($C21:CJ21))</f>
        <v>0</v>
      </c>
      <c r="CL21" s="29">
        <f>IF(CM21=0,0,IF(DaB!DU21&gt;0,DaB!DV21-DaB!DU21,0))</f>
        <v>0</v>
      </c>
      <c r="CM21" s="33">
        <f>IF(DaB!DW21&gt;0,DaB!DW21-DaB!DV21+1,0)</f>
        <v>0</v>
      </c>
      <c r="CN21" s="32">
        <f>IF(CM21=0,0,IF(DaB!DY21&gt;0,DaB!DY21-DaB!DX21+1,0))</f>
        <v>0</v>
      </c>
      <c r="CO21" s="30">
        <f>IF(CM21=0,0,IF(DaB!DZ21&gt;0,DaB!DZ21-MAX(DaB!DW21:DY21),0))</f>
        <v>0</v>
      </c>
      <c r="CP21" s="34">
        <f>IF(CR21=0,0,MIN(DaB!$EB21:$EC21)-SUM($C21:CO21))</f>
        <v>0</v>
      </c>
      <c r="CQ21" s="29">
        <f>IF(CR21=0,0,IF(DaB!EB21&gt;0,DaB!EC21-DaB!EB21,0))</f>
        <v>0</v>
      </c>
      <c r="CR21" s="33">
        <f>IF(DaB!ED21&gt;0,DaB!ED21-DaB!EC21+1,0)</f>
        <v>0</v>
      </c>
      <c r="CS21" s="32">
        <f>IF(CR21=0,0,IF(DaB!EF21&gt;0,DaB!EF21-DaB!EE21+1,0))</f>
        <v>0</v>
      </c>
      <c r="CT21" s="30">
        <f>IF(CR21=0,0,IF(DaB!EG21&gt;0,DaB!EG21-MAX(DaB!ED21:EF21),0))</f>
        <v>0</v>
      </c>
      <c r="CU21" s="34">
        <f>IF(CW21=0,0,MIN(DaB!$EI21:$EJ21)-SUM($C21:CT21))</f>
        <v>0</v>
      </c>
      <c r="CV21" s="29">
        <f>IF(CW21=0,0,IF(DaB!EI21&gt;0,DaB!EJ21-DaB!EI21,0))</f>
        <v>0</v>
      </c>
      <c r="CW21" s="33">
        <f>IF(DaB!EK21&gt;0,DaB!EK21-DaB!EJ21+1,0)</f>
        <v>0</v>
      </c>
      <c r="CX21" s="32">
        <f>IF(CW21=0,0,IF(DaB!EM21&gt;0,DaB!EM21-DaB!EL21+1,0))</f>
        <v>0</v>
      </c>
      <c r="CY21" s="30">
        <f>IF(CW21=0,0,IF(DaB!EN21&gt;0,DaB!EN21-MAX(DaB!EK21:EM21),0))</f>
        <v>0</v>
      </c>
      <c r="DC21" s="49"/>
      <c r="DD21" s="183"/>
      <c r="DF21" s="2">
        <f t="shared" si="0"/>
        <v>45474</v>
      </c>
      <c r="DG21" s="28">
        <f>IF(MIN(DaB!EU21:EV21)=DF21,0,
IF(MIN(DaB!EU21:EV21)&gt;DF21,MIN(DaB!EU21:EV21)-DF21,0))</f>
        <v>0</v>
      </c>
      <c r="DH21" s="29"/>
      <c r="DI21" s="10"/>
      <c r="DJ21" s="10"/>
      <c r="DK21" s="11"/>
      <c r="DL21" s="11"/>
      <c r="DM21" s="30"/>
      <c r="DN21" s="28"/>
      <c r="DO21" s="29"/>
      <c r="DP21" s="10"/>
      <c r="DQ21" s="10"/>
      <c r="DR21" s="11"/>
      <c r="DS21" s="11"/>
      <c r="DT21" s="30"/>
      <c r="DU21" s="28"/>
      <c r="DV21" s="29"/>
      <c r="DW21" s="10"/>
      <c r="DX21" s="10"/>
      <c r="DY21" s="11"/>
      <c r="DZ21" s="11"/>
      <c r="EA21" s="30"/>
      <c r="EB21" s="28"/>
      <c r="EC21" s="29"/>
      <c r="ED21" s="10"/>
      <c r="EE21" s="10"/>
      <c r="EF21" s="11"/>
      <c r="EG21" s="11"/>
      <c r="EH21" s="30"/>
      <c r="EI21" s="34"/>
      <c r="EJ21" s="29"/>
      <c r="EK21" s="10"/>
      <c r="EL21" s="10"/>
      <c r="EM21" s="30"/>
      <c r="EN21" s="34"/>
      <c r="EO21" s="29"/>
      <c r="EP21" s="47"/>
      <c r="EQ21" s="47"/>
      <c r="ER21" s="30"/>
      <c r="ES21" s="34"/>
      <c r="ET21" s="29"/>
      <c r="EU21" s="47"/>
      <c r="EV21" s="47"/>
      <c r="EW21" s="30"/>
    </row>
    <row r="22" spans="1:153" x14ac:dyDescent="0.2">
      <c r="A22" s="2" t="str">
        <f>DaB!A22</f>
        <v>Calendar 9</v>
      </c>
      <c r="B22" s="2" t="str">
        <f t="shared" si="3"/>
        <v>.</v>
      </c>
      <c r="C22" s="27">
        <f t="shared" si="1"/>
        <v>45474</v>
      </c>
      <c r="D22" s="34">
        <f>IFERROR(MIN(DaB!F22:K22)-C22,0)</f>
        <v>-45474</v>
      </c>
      <c r="E22" s="29">
        <f>IF(F22=0,0,IF(DaB!F22&gt;0,DaB!G22-DaB!F22,0))</f>
        <v>0</v>
      </c>
      <c r="F22" s="33">
        <f>IF(DaB!G22&gt;MAX(DaB!EV22,DaB!FJ22),DaB!H22-DaB!G22+1,
IF(DaB!H22&gt;0,DaB!H22-DaB!G22,0))</f>
        <v>0</v>
      </c>
      <c r="G22" s="32">
        <f>IF(F22=0,0,IF(DaB!J22&gt;0,DaB!J22-DaB!I22+1,0))</f>
        <v>0</v>
      </c>
      <c r="H22" s="30">
        <f>IF(F22=0,0,IF(DaB!K22&gt;0,DaB!K22-MAX(DaB!H22:J22),0))</f>
        <v>0</v>
      </c>
      <c r="I22" s="34">
        <f>IF(K22=0,0,MIN(DaB!$M22:$N22)-SUM($C22:H22))</f>
        <v>0</v>
      </c>
      <c r="J22" s="29">
        <f>IF(K22=0,0,IF(DaB!M22&gt;0,DaB!N22-DaB!M22,0))</f>
        <v>0</v>
      </c>
      <c r="K22" s="33">
        <f>IF(DaB!O22&gt;0,DaB!O22-DaB!N22+1,0)</f>
        <v>0</v>
      </c>
      <c r="L22" s="32">
        <f>IF(K22=0,0,IF(DaB!Q22&gt;0,DaB!Q22-DaB!P22+1,0))</f>
        <v>0</v>
      </c>
      <c r="M22" s="30">
        <f>IF(K22=0,0,IF(DaB!R22&gt;0,DaB!R22-MAX(DaB!O22:Q22),0))</f>
        <v>0</v>
      </c>
      <c r="N22" s="31">
        <f>IF(P22=0,0,MIN(DaB!$T22:$U22)-SUM($C22:M22))</f>
        <v>0</v>
      </c>
      <c r="O22" s="29">
        <f>IF(P22=0,0,IF(DaB!T22&gt;0,DaB!U22-DaB!T22,0))</f>
        <v>0</v>
      </c>
      <c r="P22" s="33">
        <f>IF(DaB!V22&gt;0,DaB!V22-DaB!U22+1,0)</f>
        <v>0</v>
      </c>
      <c r="Q22" s="32">
        <f>IF(P22=0,0,IF(DaB!X22&gt;0,DaB!X22-DaB!W22+1,0))</f>
        <v>0</v>
      </c>
      <c r="R22" s="30">
        <f>IF(P22=0,0,IF(DaB!Y22&gt;0,DaB!Y22-MAX(DaB!V22:X22),0))</f>
        <v>0</v>
      </c>
      <c r="S22" s="34">
        <f>IF(U22=0,0,MIN(DaB!$AA22:$AB22)-SUM($C22:R22))</f>
        <v>0</v>
      </c>
      <c r="T22" s="29">
        <f>IF(U22=0,0,IF(DaB!AA22&gt;0,DaB!AB22-DaB!AA22,0))</f>
        <v>0</v>
      </c>
      <c r="U22" s="33">
        <f>IF(DaB!AC22&gt;0,DaB!AC22-DaB!AB22+1,0)</f>
        <v>0</v>
      </c>
      <c r="V22" s="32">
        <f>IF(U22=0,0,IF(DaB!AE22&gt;0,DaB!AE22-DaB!AD22+1,0))</f>
        <v>0</v>
      </c>
      <c r="W22" s="30">
        <f>IF(U22=0,0,IF(DaB!AF22&gt;0,DaB!AF22-MAX(DaB!AC22:AE22),0))</f>
        <v>0</v>
      </c>
      <c r="X22" s="34">
        <f>IF(Z22=0,0,MIN(DaB!$AH22:$AI22)-SUM($C22:W22))</f>
        <v>0</v>
      </c>
      <c r="Y22" s="29">
        <f>IF(Z22=0,0,IF(DaB!AH22&gt;0,DaB!AI22-DaB!AH22,0))</f>
        <v>0</v>
      </c>
      <c r="Z22" s="33">
        <f>IF(DaB!AJ22&gt;0,DaB!AJ22-DaB!AI22+1,0)</f>
        <v>0</v>
      </c>
      <c r="AA22" s="32">
        <f>IF(Z22=0,0,IF(DaB!AL22&gt;0,DaB!AL22-DaB!AK22+1,0))</f>
        <v>0</v>
      </c>
      <c r="AB22" s="30">
        <f>IF(Z22=0,0,IF(DaB!AM22&gt;0,DaB!AM22-MAX(DaB!AJ22:AL22),0))</f>
        <v>0</v>
      </c>
      <c r="AC22" s="34">
        <f>IF(AE22=0,0,MIN(DaB!$AO22:$AP22)-SUM($C22:AB22))</f>
        <v>0</v>
      </c>
      <c r="AD22" s="29">
        <f>IF(AE22=0,0,IF(DaB!AO22&gt;0,DaB!AP22-DaB!AO22,0))</f>
        <v>0</v>
      </c>
      <c r="AE22" s="33">
        <f>IF(DaB!AQ22&gt;0,DaB!AQ22-DaB!AP22+1,0)</f>
        <v>0</v>
      </c>
      <c r="AF22" s="32">
        <f>IF(AE22=0,0,IF(DaB!AS22&gt;0,DaB!AS22-DaB!AR22+1,0))</f>
        <v>0</v>
      </c>
      <c r="AG22" s="30">
        <f>IF(AE22=0,0,IF(DaB!AT22&gt;0,DaB!AT22-MAX(DaB!AQ22:AS22),0))</f>
        <v>0</v>
      </c>
      <c r="AH22" s="34">
        <f>IF(AJ22=0,0,MIN(DaB!$AV22:$AW22)-SUM($C22:AG22))</f>
        <v>0</v>
      </c>
      <c r="AI22" s="29">
        <f>IF(AJ22=0,0,IF(DaB!AV22&gt;0,DaB!AW22-DaB!AV22,0))</f>
        <v>0</v>
      </c>
      <c r="AJ22" s="33">
        <f>IF(DaB!AX22&gt;0,DaB!AX22-DaB!AW22+1,0)</f>
        <v>0</v>
      </c>
      <c r="AK22" s="32">
        <f>IF(AJ22=0,0,IF(DaB!AZ22&gt;0,DaB!AZ22-DaB!AY22+1,0))</f>
        <v>0</v>
      </c>
      <c r="AL22" s="30">
        <f>IF(AJ22=0,0,IF(DaB!BA22&gt;0,DaB!BA22-MAX(DaB!AX22:AZ22),0))</f>
        <v>0</v>
      </c>
      <c r="AM22" s="34">
        <f>IF(AO22=0,0,MIN(DaB!$BC22:$BD22)-SUM($C22:AL22))</f>
        <v>0</v>
      </c>
      <c r="AN22" s="29">
        <f>IF(AO22=0,0,IF(DaB!BC22&gt;0,DaB!BD22-DaB!BC22,0))</f>
        <v>0</v>
      </c>
      <c r="AO22" s="33">
        <f>IF(DaB!BE22&gt;0,DaB!BE22-DaB!BD22+1,0)</f>
        <v>0</v>
      </c>
      <c r="AP22" s="32">
        <f>IF(AO22=0,0,IF(DaB!BG22&gt;0,DaB!BG22-DaB!BF22+1,0))</f>
        <v>0</v>
      </c>
      <c r="AQ22" s="30">
        <f>IF(AO22=0,0,IF(DaB!BH22&gt;0,DaB!BH22-MAX(DaB!BE22:BG22),0))</f>
        <v>0</v>
      </c>
      <c r="AR22" s="34">
        <f>IF(AT22=0,0,MIN(DaB!$BJ22:$BK22)-SUM($C22:AQ22))</f>
        <v>0</v>
      </c>
      <c r="AS22" s="29">
        <f>IF(AT22=0,0,IF(DaB!BJ22&gt;0,DaB!BK22-DaB!BJ22,0))</f>
        <v>0</v>
      </c>
      <c r="AT22" s="33">
        <f>IF(DaB!BL22&gt;0,DaB!BL22-DaB!BK22+1,0)</f>
        <v>0</v>
      </c>
      <c r="AU22" s="32">
        <f>IF(AT22=0,0,IF(DaB!BN22&gt;0,DaB!BN22-DaB!BM22+1,0))</f>
        <v>0</v>
      </c>
      <c r="AV22" s="30">
        <f>IF(AT22=0,0,IF(DaB!BO22&gt;0,DaB!BO22-MAX(DaB!BL22:BN22),0))</f>
        <v>0</v>
      </c>
      <c r="AW22" s="34">
        <f>IF(AY22=0,0,MIN(DaB!$BQ22:$BR22)-SUM($C22:AV22))</f>
        <v>0</v>
      </c>
      <c r="AX22" s="29">
        <f>IF(AY22=0,0,IF(DaB!BQ22&gt;0,DaB!BR22-DaB!BQ22,0))</f>
        <v>0</v>
      </c>
      <c r="AY22" s="33">
        <f>IF(DaB!BS22&gt;0,DaB!BS22-DaB!BR22+1,0)</f>
        <v>0</v>
      </c>
      <c r="AZ22" s="32">
        <f>IF(AY22=0,0,IF(DaB!BU22&gt;0,DaB!BU22-DaB!BT22+1,0))</f>
        <v>0</v>
      </c>
      <c r="BA22" s="30">
        <f>IF(AY22=0,0,IF(DaB!BV22&gt;0,DaB!BV22-MAX(DaB!BS22:BU22),0))</f>
        <v>0</v>
      </c>
      <c r="BB22" s="34">
        <f>IF(BD22=0,0,MIN(DaB!$BX22:$BY22)-SUM($C22:BA22))</f>
        <v>0</v>
      </c>
      <c r="BC22" s="29">
        <f>IF(BD22=0,0,IF(DaB!BX22&gt;0,DaB!BY22-DaB!BX22,0))</f>
        <v>0</v>
      </c>
      <c r="BD22" s="33">
        <f>IF(DaB!BZ22&gt;0,DaB!BZ22-DaB!BY22+1,0)</f>
        <v>0</v>
      </c>
      <c r="BE22" s="32">
        <f>IF(BD22=0,0,IF(DaB!CB22&gt;0,DaB!CB22-DaB!CA22+1,0))</f>
        <v>0</v>
      </c>
      <c r="BF22" s="30">
        <f>IF(BD22=0,0,IF(DaB!CC22&gt;0,DaB!CC22-MAX(DaB!BZ22:CB22),0))</f>
        <v>0</v>
      </c>
      <c r="BG22" s="34">
        <f>IF(BI22=0,0,MIN(DaB!$CE22:$CF22)-SUM($C22:BF22))</f>
        <v>0</v>
      </c>
      <c r="BH22" s="29">
        <f>IF(BI22=0,0,IF(DaB!CE22&gt;0,DaB!CF22-DaB!CE22,0))</f>
        <v>0</v>
      </c>
      <c r="BI22" s="33">
        <f>IF(DaB!CG22&gt;0,DaB!CG22-DaB!CF22+1,0)</f>
        <v>0</v>
      </c>
      <c r="BJ22" s="32">
        <f>IF(BI22=0,0,IF(DaB!CI22&gt;0,DaB!CI22-DaB!CH22+1,0))</f>
        <v>0</v>
      </c>
      <c r="BK22" s="30">
        <f>IF(BI22=0,0,IF(DaB!CJ22&gt;0,DaB!CJ22-MAX(DaB!CG22:CI22),0))</f>
        <v>0</v>
      </c>
      <c r="BL22" s="34">
        <f>IF(BN22=0,0,MIN(DaB!$CL22:$CM22)-SUM($C22:BK22))</f>
        <v>0</v>
      </c>
      <c r="BM22" s="29">
        <f>IF(BN22=0,0,IF(DaB!CL22&gt;0,DaB!CM22-DaB!CL22,0))</f>
        <v>0</v>
      </c>
      <c r="BN22" s="33">
        <f>IF(DaB!CN22&gt;0,DaB!CN22-DaB!CM22+1,0)</f>
        <v>0</v>
      </c>
      <c r="BO22" s="32">
        <f>IF(BN22=0,0,IF(DaB!CP22&gt;0,DaB!CP22-DaB!CO22+1,0))</f>
        <v>0</v>
      </c>
      <c r="BP22" s="30">
        <f>IF(BN22=0,0,IF(DaB!CQ22&gt;0,DaB!CQ22-MAX(DaB!CN22:CP22),0))</f>
        <v>0</v>
      </c>
      <c r="BQ22" s="34">
        <f>IF(BS22=0,0,MIN(DaB!$CS22:$CT22)-SUM($C22:BP22))</f>
        <v>0</v>
      </c>
      <c r="BR22" s="29">
        <f>IF(BS22=0,0,IF(DaB!CS22&gt;0,DaB!CT22-DaB!CS22,0))</f>
        <v>0</v>
      </c>
      <c r="BS22" s="33">
        <f>IF(DaB!CU22&gt;0,DaB!CU22-DaB!CT22+1,0)</f>
        <v>0</v>
      </c>
      <c r="BT22" s="32">
        <f>IF(BS22=0,0,IF(DaB!CW22&gt;0,DaB!CW22-DaB!CV22+1,0))</f>
        <v>0</v>
      </c>
      <c r="BU22" s="30">
        <f>IF(BS22=0,0,IF(DaB!CX22&gt;0,DaB!CX22-MAX(DaB!CU22:CW22),0))</f>
        <v>0</v>
      </c>
      <c r="BV22" s="34">
        <f>IF(BX22=0,0,MIN(DaB!$CZ22:$DA22)-SUM($C22:BU22))</f>
        <v>0</v>
      </c>
      <c r="BW22" s="29">
        <f>IF(BX22=0,0,IF(DaB!CZ22&gt;0,DaB!DA22-DaB!CZ22,0))</f>
        <v>0</v>
      </c>
      <c r="BX22" s="33">
        <f>IF(DaB!DB22&gt;0,DaB!DB22-DaB!DA22+1,0)</f>
        <v>0</v>
      </c>
      <c r="BY22" s="32">
        <f>IF(BX22=0,0,IF(DaB!DD22&gt;0,DaB!DD22-DaB!DC22+1,0))</f>
        <v>0</v>
      </c>
      <c r="BZ22" s="30">
        <f>IF(BX22=0,0,IF(DaB!DE22&gt;0,DaB!DE22-MAX(DaB!DB22:DD22),0))</f>
        <v>0</v>
      </c>
      <c r="CA22" s="34">
        <f>IF(CC22=0,0,MIN(DaB!$DG22:$DH22)-SUM($C22:BZ22))</f>
        <v>0</v>
      </c>
      <c r="CB22" s="29">
        <f>IF(CC22=0,0,IF(DaB!DG22&gt;0,DaB!DH22-DaB!DG22,0))</f>
        <v>0</v>
      </c>
      <c r="CC22" s="33">
        <f>IF(DaB!DI22&gt;0,DaB!DI22-DaB!DH22+1,0)</f>
        <v>0</v>
      </c>
      <c r="CD22" s="32">
        <f>IF(CC22=0,0,IF(DaB!DK22&gt;0,DaB!DK22-DaB!DJ22+1,0))</f>
        <v>0</v>
      </c>
      <c r="CE22" s="30">
        <f>IF(CC22=0,0,IF(DaB!DL22&gt;0,DaB!DL22-MAX(DaB!DI22:DK22),0))</f>
        <v>0</v>
      </c>
      <c r="CF22" s="34">
        <f>IF(CH22=0,0,MIN(DaB!$DN22:$DO22)-SUM($C22:CE22))</f>
        <v>0</v>
      </c>
      <c r="CG22" s="29">
        <f>IF(CH22=0,0,IF(DaB!DN22&gt;0,DaB!DO22-DaB!DN22,0))</f>
        <v>0</v>
      </c>
      <c r="CH22" s="33">
        <f>IF(DaB!DP22&gt;0,DaB!DP22-DaB!DO22+1,0)</f>
        <v>0</v>
      </c>
      <c r="CI22" s="32">
        <f>IF(CH22=0,0,IF(DaB!DR22&gt;0,DaB!DR22-DaB!DQ22+1,0))</f>
        <v>0</v>
      </c>
      <c r="CJ22" s="30">
        <f>IF(CH22=0,0,IF(DaB!DS22&gt;0,DaB!DS22-MAX(DaB!DP22:DR22),0))</f>
        <v>0</v>
      </c>
      <c r="CK22" s="34">
        <f>IF(CM22=0,0,MIN(DaB!$DU22:$DV22)-SUM($C22:CJ22))</f>
        <v>0</v>
      </c>
      <c r="CL22" s="29">
        <f>IF(CM22=0,0,IF(DaB!DU22&gt;0,DaB!DV22-DaB!DU22,0))</f>
        <v>0</v>
      </c>
      <c r="CM22" s="33">
        <f>IF(DaB!DW22&gt;0,DaB!DW22-DaB!DV22+1,0)</f>
        <v>0</v>
      </c>
      <c r="CN22" s="32">
        <f>IF(CM22=0,0,IF(DaB!DY22&gt;0,DaB!DY22-DaB!DX22+1,0))</f>
        <v>0</v>
      </c>
      <c r="CO22" s="30">
        <f>IF(CM22=0,0,IF(DaB!DZ22&gt;0,DaB!DZ22-MAX(DaB!DW22:DY22),0))</f>
        <v>0</v>
      </c>
      <c r="CP22" s="34">
        <f>IF(CR22=0,0,MIN(DaB!$EB22:$EC22)-SUM($C22:CO22))</f>
        <v>0</v>
      </c>
      <c r="CQ22" s="29">
        <f>IF(CR22=0,0,IF(DaB!EB22&gt;0,DaB!EC22-DaB!EB22,0))</f>
        <v>0</v>
      </c>
      <c r="CR22" s="33">
        <f>IF(DaB!ED22&gt;0,DaB!ED22-DaB!EC22+1,0)</f>
        <v>0</v>
      </c>
      <c r="CS22" s="32">
        <f>IF(CR22=0,0,IF(DaB!EF22&gt;0,DaB!EF22-DaB!EE22+1,0))</f>
        <v>0</v>
      </c>
      <c r="CT22" s="30">
        <f>IF(CR22=0,0,IF(DaB!EG22&gt;0,DaB!EG22-MAX(DaB!ED22:EF22),0))</f>
        <v>0</v>
      </c>
      <c r="CU22" s="34">
        <f>IF(CW22=0,0,MIN(DaB!$EI22:$EJ22)-SUM($C22:CT22))</f>
        <v>0</v>
      </c>
      <c r="CV22" s="29">
        <f>IF(CW22=0,0,IF(DaB!EI22&gt;0,DaB!EJ22-DaB!EI22,0))</f>
        <v>0</v>
      </c>
      <c r="CW22" s="33">
        <f>IF(DaB!EK22&gt;0,DaB!EK22-DaB!EJ22+1,0)</f>
        <v>0</v>
      </c>
      <c r="CX22" s="32">
        <f>IF(CW22=0,0,IF(DaB!EM22&gt;0,DaB!EM22-DaB!EL22+1,0))</f>
        <v>0</v>
      </c>
      <c r="CY22" s="30">
        <f>IF(CW22=0,0,IF(DaB!EN22&gt;0,DaB!EN22-MAX(DaB!EK22:EM22),0))</f>
        <v>0</v>
      </c>
      <c r="DF22" s="2">
        <f t="shared" si="0"/>
        <v>45474</v>
      </c>
      <c r="DG22" s="28">
        <f>IF(MIN(DaB!EU22:EV22)=DF22,0,
IF(MIN(DaB!EU22:EV22)&gt;DF22,MIN(DaB!EU22:EV22)-DF22,0))</f>
        <v>0</v>
      </c>
      <c r="DH22" s="29"/>
      <c r="DI22" s="10"/>
      <c r="DJ22" s="10"/>
      <c r="DK22" s="11"/>
      <c r="DL22" s="11"/>
      <c r="DM22" s="30"/>
      <c r="DN22" s="28"/>
      <c r="DO22" s="29"/>
      <c r="DP22" s="10"/>
      <c r="DQ22" s="10"/>
      <c r="DR22" s="11"/>
      <c r="DS22" s="11"/>
      <c r="DT22" s="30"/>
      <c r="DU22" s="28"/>
      <c r="DV22" s="29"/>
      <c r="DW22" s="10"/>
      <c r="DX22" s="10"/>
      <c r="DY22" s="11"/>
      <c r="DZ22" s="11"/>
      <c r="EA22" s="30"/>
      <c r="EB22" s="28"/>
      <c r="EC22" s="29"/>
      <c r="ED22" s="10"/>
      <c r="EE22" s="10"/>
      <c r="EF22" s="11"/>
      <c r="EG22" s="11"/>
      <c r="EH22" s="30"/>
      <c r="EI22" s="34"/>
      <c r="EJ22" s="29"/>
      <c r="EK22" s="10"/>
      <c r="EL22" s="10"/>
      <c r="EM22" s="30"/>
      <c r="EN22" s="34"/>
      <c r="EO22" s="29"/>
      <c r="EP22" s="47"/>
      <c r="EQ22" s="47"/>
      <c r="ER22" s="30"/>
      <c r="ES22" s="34"/>
      <c r="ET22" s="29"/>
      <c r="EU22" s="47"/>
      <c r="EV22" s="47"/>
      <c r="EW22" s="30"/>
    </row>
    <row r="23" spans="1:153" x14ac:dyDescent="0.2">
      <c r="A23" s="2" t="str">
        <f>DaB!A23</f>
        <v xml:space="preserve">Calendar 9 </v>
      </c>
      <c r="B23" s="2" t="str">
        <f t="shared" si="3"/>
        <v>.</v>
      </c>
      <c r="C23" s="27">
        <f t="shared" si="1"/>
        <v>45474</v>
      </c>
      <c r="D23" s="34">
        <f>IFERROR(MIN(DaB!F23:K23)-C23,0)</f>
        <v>-45474</v>
      </c>
      <c r="E23" s="29">
        <f>IF(F23=0,0,IF(DaB!F23&gt;0,DaB!G23-DaB!F23,0))</f>
        <v>0</v>
      </c>
      <c r="F23" s="33">
        <f>IF(DaB!G23&gt;MAX(DaB!EV23,DaB!FJ23),DaB!H23-DaB!G23+1,
IF(DaB!H23&gt;0,DaB!H23-DaB!G23,0))</f>
        <v>0</v>
      </c>
      <c r="G23" s="32">
        <f>IF(F23=0,0,IF(DaB!J23&gt;0,DaB!J23-DaB!I23+1,0))</f>
        <v>0</v>
      </c>
      <c r="H23" s="30">
        <f>IF(F23=0,0,IF(DaB!K23&gt;0,DaB!K23-MAX(DaB!H23:J23),0))</f>
        <v>0</v>
      </c>
      <c r="I23" s="34">
        <f>IF(K23=0,0,MIN(DaB!$M23:$N23)-SUM($C23:H23))</f>
        <v>0</v>
      </c>
      <c r="J23" s="29">
        <f>IF(K23=0,0,IF(DaB!M23&gt;0,DaB!N23-DaB!M23,0))</f>
        <v>0</v>
      </c>
      <c r="K23" s="33">
        <f>IF(DaB!O23&gt;0,DaB!O23-DaB!N23+1,0)</f>
        <v>0</v>
      </c>
      <c r="L23" s="32">
        <f>IF(K23=0,0,IF(DaB!Q23&gt;0,DaB!Q23-DaB!P23+1,0))</f>
        <v>0</v>
      </c>
      <c r="M23" s="30">
        <f>IF(K23=0,0,IF(DaB!R23&gt;0,DaB!R23-MAX(DaB!O23:Q23),0))</f>
        <v>0</v>
      </c>
      <c r="N23" s="31">
        <f>IF(P23=0,0,MIN(DaB!$T23:$U23)-SUM($C23:M23))</f>
        <v>0</v>
      </c>
      <c r="O23" s="29">
        <f>IF(P23=0,0,IF(DaB!T23&gt;0,DaB!U23-DaB!T23,0))</f>
        <v>0</v>
      </c>
      <c r="P23" s="33">
        <f>IF(DaB!V23&gt;0,DaB!V23-DaB!U23+1,0)</f>
        <v>0</v>
      </c>
      <c r="Q23" s="32">
        <f>IF(P23=0,0,IF(DaB!X23&gt;0,DaB!X23-DaB!W23+1,0))</f>
        <v>0</v>
      </c>
      <c r="R23" s="30">
        <f>IF(P23=0,0,IF(DaB!Y23&gt;0,DaB!Y23-MAX(DaB!V23:X23),0))</f>
        <v>0</v>
      </c>
      <c r="S23" s="34">
        <f>IF(U23=0,0,MIN(DaB!$AA23:$AB23)-SUM($C23:R23))</f>
        <v>0</v>
      </c>
      <c r="T23" s="29">
        <f>IF(U23=0,0,IF(DaB!AA23&gt;0,DaB!AB23-DaB!AA23,0))</f>
        <v>0</v>
      </c>
      <c r="U23" s="33">
        <f>IF(DaB!AC23&gt;0,DaB!AC23-DaB!AB23+1,0)</f>
        <v>0</v>
      </c>
      <c r="V23" s="32">
        <f>IF(U23=0,0,IF(DaB!AE23&gt;0,DaB!AE23-DaB!AD23+1,0))</f>
        <v>0</v>
      </c>
      <c r="W23" s="30">
        <f>IF(U23=0,0,IF(DaB!AF23&gt;0,DaB!AF23-MAX(DaB!AC23:AE23),0))</f>
        <v>0</v>
      </c>
      <c r="X23" s="34">
        <f>IF(Z23=0,0,MIN(DaB!$AH23:$AI23)-SUM($C23:W23))</f>
        <v>0</v>
      </c>
      <c r="Y23" s="29">
        <f>IF(Z23=0,0,IF(DaB!AH23&gt;0,DaB!AI23-DaB!AH23,0))</f>
        <v>0</v>
      </c>
      <c r="Z23" s="33">
        <f>IF(DaB!AJ23&gt;0,DaB!AJ23-DaB!AI23+1,0)</f>
        <v>0</v>
      </c>
      <c r="AA23" s="32">
        <f>IF(Z23=0,0,IF(DaB!AL23&gt;0,DaB!AL23-DaB!AK23+1,0))</f>
        <v>0</v>
      </c>
      <c r="AB23" s="30">
        <f>IF(Z23=0,0,IF(DaB!AM23&gt;0,DaB!AM23-MAX(DaB!AJ23:AL23),0))</f>
        <v>0</v>
      </c>
      <c r="AC23" s="34">
        <f>IF(AE23=0,0,MIN(DaB!$AO23:$AP23)-SUM($C23:AB23))</f>
        <v>0</v>
      </c>
      <c r="AD23" s="29">
        <f>IF(AE23=0,0,IF(DaB!AO23&gt;0,DaB!AP23-DaB!AO23,0))</f>
        <v>0</v>
      </c>
      <c r="AE23" s="33">
        <f>IF(DaB!AQ23&gt;0,DaB!AQ23-DaB!AP23+1,0)</f>
        <v>0</v>
      </c>
      <c r="AF23" s="32">
        <f>IF(AE23=0,0,IF(DaB!AS23&gt;0,DaB!AS23-DaB!AR23+1,0))</f>
        <v>0</v>
      </c>
      <c r="AG23" s="30">
        <f>IF(AE23=0,0,IF(DaB!AT23&gt;0,DaB!AT23-MAX(DaB!AQ23:AS23),0))</f>
        <v>0</v>
      </c>
      <c r="AH23" s="34">
        <f>IF(AJ23=0,0,MIN(DaB!$AV23:$AW23)-SUM($C23:AG23))</f>
        <v>0</v>
      </c>
      <c r="AI23" s="29">
        <f>IF(AJ23=0,0,IF(DaB!AV23&gt;0,DaB!AW23-DaB!AV23,0))</f>
        <v>0</v>
      </c>
      <c r="AJ23" s="33">
        <f>IF(DaB!AX23&gt;0,DaB!AX23-DaB!AW23+1,0)</f>
        <v>0</v>
      </c>
      <c r="AK23" s="32">
        <f>IF(AJ23=0,0,IF(DaB!AZ23&gt;0,DaB!AZ23-DaB!AY23+1,0))</f>
        <v>0</v>
      </c>
      <c r="AL23" s="30">
        <f>IF(AJ23=0,0,IF(DaB!BA23&gt;0,DaB!BA23-MAX(DaB!AX23:AZ23),0))</f>
        <v>0</v>
      </c>
      <c r="AM23" s="34">
        <f>IF(AO23=0,0,MIN(DaB!$BC23:$BD23)-SUM($C23:AL23))</f>
        <v>0</v>
      </c>
      <c r="AN23" s="29">
        <f>IF(AO23=0,0,IF(DaB!BC23&gt;0,DaB!BD23-DaB!BC23,0))</f>
        <v>0</v>
      </c>
      <c r="AO23" s="33">
        <f>IF(DaB!BE23&gt;0,DaB!BE23-DaB!BD23+1,0)</f>
        <v>0</v>
      </c>
      <c r="AP23" s="32">
        <f>IF(AO23=0,0,IF(DaB!BG23&gt;0,DaB!BG23-DaB!BF23+1,0))</f>
        <v>0</v>
      </c>
      <c r="AQ23" s="30">
        <f>IF(AO23=0,0,IF(DaB!BH23&gt;0,DaB!BH23-MAX(DaB!BE23:BG23),0))</f>
        <v>0</v>
      </c>
      <c r="AR23" s="34">
        <f>IF(AT23=0,0,MIN(DaB!$BJ23:$BK23)-SUM($C23:AQ23))</f>
        <v>0</v>
      </c>
      <c r="AS23" s="29">
        <f>IF(AT23=0,0,IF(DaB!BJ23&gt;0,DaB!BK23-DaB!BJ23,0))</f>
        <v>0</v>
      </c>
      <c r="AT23" s="33">
        <f>IF(DaB!BL23&gt;0,DaB!BL23-DaB!BK23+1,0)</f>
        <v>0</v>
      </c>
      <c r="AU23" s="32">
        <f>IF(AT23=0,0,IF(DaB!BN23&gt;0,DaB!BN23-DaB!BM23+1,0))</f>
        <v>0</v>
      </c>
      <c r="AV23" s="30">
        <f>IF(AT23=0,0,IF(DaB!BO23&gt;0,DaB!BO23-MAX(DaB!BL23:BN23),0))</f>
        <v>0</v>
      </c>
      <c r="AW23" s="34">
        <f>IF(AY23=0,0,MIN(DaB!$BQ23:$BR23)-SUM($C23:AV23))</f>
        <v>0</v>
      </c>
      <c r="AX23" s="29">
        <f>IF(AY23=0,0,IF(DaB!BQ23&gt;0,DaB!BR23-DaB!BQ23,0))</f>
        <v>0</v>
      </c>
      <c r="AY23" s="33">
        <f>IF(DaB!BS23&gt;0,DaB!BS23-DaB!BR23+1,0)</f>
        <v>0</v>
      </c>
      <c r="AZ23" s="32">
        <f>IF(AY23=0,0,IF(DaB!BU23&gt;0,DaB!BU23-DaB!BT23+1,0))</f>
        <v>0</v>
      </c>
      <c r="BA23" s="30">
        <f>IF(AY23=0,0,IF(DaB!BV23&gt;0,DaB!BV23-MAX(DaB!BS23:BU23),0))</f>
        <v>0</v>
      </c>
      <c r="BB23" s="34">
        <f>IF(BD23=0,0,MIN(DaB!$BX23:$BY23)-SUM($C23:BA23))</f>
        <v>0</v>
      </c>
      <c r="BC23" s="29">
        <f>IF(BD23=0,0,IF(DaB!BX23&gt;0,DaB!BY23-DaB!BX23,0))</f>
        <v>0</v>
      </c>
      <c r="BD23" s="33">
        <f>IF(DaB!BZ23&gt;0,DaB!BZ23-DaB!BY23+1,0)</f>
        <v>0</v>
      </c>
      <c r="BE23" s="32">
        <f>IF(BD23=0,0,IF(DaB!CB23&gt;0,DaB!CB23-DaB!CA23+1,0))</f>
        <v>0</v>
      </c>
      <c r="BF23" s="30">
        <f>IF(BD23=0,0,IF(DaB!CC23&gt;0,DaB!CC23-MAX(DaB!BZ23:CB23),0))</f>
        <v>0</v>
      </c>
      <c r="BG23" s="34">
        <f>IF(BI23=0,0,MIN(DaB!$CE23:$CF23)-SUM($C23:BF23))</f>
        <v>0</v>
      </c>
      <c r="BH23" s="29">
        <f>IF(BI23=0,0,IF(DaB!CE23&gt;0,DaB!CF23-DaB!CE23,0))</f>
        <v>0</v>
      </c>
      <c r="BI23" s="33">
        <f>IF(DaB!CG23&gt;0,DaB!CG23-DaB!CF23+1,0)</f>
        <v>0</v>
      </c>
      <c r="BJ23" s="32">
        <f>IF(BI23=0,0,IF(DaB!CI23&gt;0,DaB!CI23-DaB!CH23+1,0))</f>
        <v>0</v>
      </c>
      <c r="BK23" s="30">
        <f>IF(BI23=0,0,IF(DaB!CJ23&gt;0,DaB!CJ23-MAX(DaB!CG23:CI23),0))</f>
        <v>0</v>
      </c>
      <c r="BL23" s="34">
        <f>IF(BN23=0,0,MIN(DaB!$CL23:$CM23)-SUM($C23:BK23))</f>
        <v>0</v>
      </c>
      <c r="BM23" s="29">
        <f>IF(BN23=0,0,IF(DaB!CL23&gt;0,DaB!CM23-DaB!CL23,0))</f>
        <v>0</v>
      </c>
      <c r="BN23" s="33">
        <f>IF(DaB!CN23&gt;0,DaB!CN23-DaB!CM23+1,0)</f>
        <v>0</v>
      </c>
      <c r="BO23" s="32">
        <f>IF(BN23=0,0,IF(DaB!CP23&gt;0,DaB!CP23-DaB!CO23+1,0))</f>
        <v>0</v>
      </c>
      <c r="BP23" s="30">
        <f>IF(BN23=0,0,IF(DaB!CQ23&gt;0,DaB!CQ23-MAX(DaB!CN23:CP23),0))</f>
        <v>0</v>
      </c>
      <c r="BQ23" s="34">
        <f>IF(BS23=0,0,MIN(DaB!$CS23:$CT23)-SUM($C23:BP23))</f>
        <v>0</v>
      </c>
      <c r="BR23" s="29">
        <f>IF(BS23=0,0,IF(DaB!CS23&gt;0,DaB!CT23-DaB!CS23,0))</f>
        <v>0</v>
      </c>
      <c r="BS23" s="33">
        <f>IF(DaB!CU23&gt;0,DaB!CU23-DaB!CT23+1,0)</f>
        <v>0</v>
      </c>
      <c r="BT23" s="32">
        <f>IF(BS23=0,0,IF(DaB!CW23&gt;0,DaB!CW23-DaB!CV23+1,0))</f>
        <v>0</v>
      </c>
      <c r="BU23" s="30">
        <f>IF(BS23=0,0,IF(DaB!CX23&gt;0,DaB!CX23-MAX(DaB!CU23:CW23),0))</f>
        <v>0</v>
      </c>
      <c r="BV23" s="34">
        <f>IF(BX23=0,0,MIN(DaB!$CZ23:$DA23)-SUM($C23:BU23))</f>
        <v>0</v>
      </c>
      <c r="BW23" s="29">
        <f>IF(BX23=0,0,IF(DaB!CZ23&gt;0,DaB!DA23-DaB!CZ23,0))</f>
        <v>0</v>
      </c>
      <c r="BX23" s="33">
        <f>IF(DaB!DB23&gt;0,DaB!DB23-DaB!DA23+1,0)</f>
        <v>0</v>
      </c>
      <c r="BY23" s="32">
        <f>IF(BX23=0,0,IF(DaB!DD23&gt;0,DaB!DD23-DaB!DC23+1,0))</f>
        <v>0</v>
      </c>
      <c r="BZ23" s="30">
        <f>IF(BX23=0,0,IF(DaB!DE23&gt;0,DaB!DE23-MAX(DaB!DB23:DD23),0))</f>
        <v>0</v>
      </c>
      <c r="CA23" s="34">
        <f>IF(CC23=0,0,MIN(DaB!$DG23:$DH23)-SUM($C23:BZ23))</f>
        <v>0</v>
      </c>
      <c r="CB23" s="29">
        <f>IF(CC23=0,0,IF(DaB!DG23&gt;0,DaB!DH23-DaB!DG23,0))</f>
        <v>0</v>
      </c>
      <c r="CC23" s="33">
        <f>IF(DaB!DI23&gt;0,DaB!DI23-DaB!DH23+1,0)</f>
        <v>0</v>
      </c>
      <c r="CD23" s="32">
        <f>IF(CC23=0,0,IF(DaB!DK23&gt;0,DaB!DK23-DaB!DJ23+1,0))</f>
        <v>0</v>
      </c>
      <c r="CE23" s="30">
        <f>IF(CC23=0,0,IF(DaB!DL23&gt;0,DaB!DL23-MAX(DaB!DI23:DK23),0))</f>
        <v>0</v>
      </c>
      <c r="CF23" s="34">
        <f>IF(CH23=0,0,MIN(DaB!$DN23:$DO23)-SUM($C23:CE23))</f>
        <v>0</v>
      </c>
      <c r="CG23" s="29">
        <f>IF(CH23=0,0,IF(DaB!DN23&gt;0,DaB!DO23-DaB!DN23,0))</f>
        <v>0</v>
      </c>
      <c r="CH23" s="33">
        <f>IF(DaB!DP23&gt;0,DaB!DP23-DaB!DO23+1,0)</f>
        <v>0</v>
      </c>
      <c r="CI23" s="32">
        <f>IF(CH23=0,0,IF(DaB!DR23&gt;0,DaB!DR23-DaB!DQ23+1,0))</f>
        <v>0</v>
      </c>
      <c r="CJ23" s="30">
        <f>IF(CH23=0,0,IF(DaB!DS23&gt;0,DaB!DS23-MAX(DaB!DP23:DR23),0))</f>
        <v>0</v>
      </c>
      <c r="CK23" s="34">
        <f>IF(CM23=0,0,MIN(DaB!$DU23:$DV23)-SUM($C23:CJ23))</f>
        <v>0</v>
      </c>
      <c r="CL23" s="29">
        <f>IF(CM23=0,0,IF(DaB!DU23&gt;0,DaB!DV23-DaB!DU23,0))</f>
        <v>0</v>
      </c>
      <c r="CM23" s="33">
        <f>IF(DaB!DW23&gt;0,DaB!DW23-DaB!DV23+1,0)</f>
        <v>0</v>
      </c>
      <c r="CN23" s="32">
        <f>IF(CM23=0,0,IF(DaB!DY23&gt;0,DaB!DY23-DaB!DX23+1,0))</f>
        <v>0</v>
      </c>
      <c r="CO23" s="30">
        <f>IF(CM23=0,0,IF(DaB!DZ23&gt;0,DaB!DZ23-MAX(DaB!DW23:DY23),0))</f>
        <v>0</v>
      </c>
      <c r="CP23" s="34">
        <f>IF(CR23=0,0,MIN(DaB!$EB23:$EC23)-SUM($C23:CO23))</f>
        <v>0</v>
      </c>
      <c r="CQ23" s="29">
        <f>IF(CR23=0,0,IF(DaB!EB23&gt;0,DaB!EC23-DaB!EB23,0))</f>
        <v>0</v>
      </c>
      <c r="CR23" s="33">
        <f>IF(DaB!ED23&gt;0,DaB!ED23-DaB!EC23+1,0)</f>
        <v>0</v>
      </c>
      <c r="CS23" s="32">
        <f>IF(CR23=0,0,IF(DaB!EF23&gt;0,DaB!EF23-DaB!EE23+1,0))</f>
        <v>0</v>
      </c>
      <c r="CT23" s="30">
        <f>IF(CR23=0,0,IF(DaB!EG23&gt;0,DaB!EG23-MAX(DaB!ED23:EF23),0))</f>
        <v>0</v>
      </c>
      <c r="CU23" s="34">
        <f>IF(CW23=0,0,MIN(DaB!$EI23:$EJ23)-SUM($C23:CT23))</f>
        <v>0</v>
      </c>
      <c r="CV23" s="29">
        <f>IF(CW23=0,0,IF(DaB!EI23&gt;0,DaB!EJ23-DaB!EI23,0))</f>
        <v>0</v>
      </c>
      <c r="CW23" s="33">
        <f>IF(DaB!EK23&gt;0,DaB!EK23-DaB!EJ23+1,0)</f>
        <v>0</v>
      </c>
      <c r="CX23" s="32">
        <f>IF(CW23=0,0,IF(DaB!EM23&gt;0,DaB!EM23-DaB!EL23+1,0))</f>
        <v>0</v>
      </c>
      <c r="CY23" s="30">
        <f>IF(CW23=0,0,IF(DaB!EN23&gt;0,DaB!EN23-MAX(DaB!EK23:EM23),0))</f>
        <v>0</v>
      </c>
      <c r="DF23" s="2">
        <f t="shared" si="0"/>
        <v>45474</v>
      </c>
      <c r="DG23" s="28">
        <f>IF(MIN(DaB!EU23:EV23)=DF23,0,
IF(MIN(DaB!EU23:EV23)&gt;DF23,MIN(DaB!EU23:EV23)-DF23,0))</f>
        <v>0</v>
      </c>
      <c r="DH23" s="29"/>
      <c r="DI23" s="10"/>
      <c r="DJ23" s="10"/>
      <c r="DK23" s="11"/>
      <c r="DL23" s="11"/>
      <c r="DM23" s="30"/>
      <c r="DN23" s="28"/>
      <c r="DO23" s="29"/>
      <c r="DP23" s="10"/>
      <c r="DQ23" s="10"/>
      <c r="DR23" s="11"/>
      <c r="DS23" s="11"/>
      <c r="DT23" s="30"/>
      <c r="DU23" s="28"/>
      <c r="DV23" s="29"/>
      <c r="DW23" s="10"/>
      <c r="DX23" s="10"/>
      <c r="DY23" s="11"/>
      <c r="DZ23" s="11"/>
      <c r="EA23" s="30"/>
      <c r="EB23" s="28"/>
      <c r="EC23" s="29"/>
      <c r="ED23" s="10"/>
      <c r="EE23" s="10"/>
      <c r="EF23" s="11"/>
      <c r="EG23" s="11"/>
      <c r="EH23" s="30"/>
      <c r="EI23" s="34"/>
      <c r="EJ23" s="29"/>
      <c r="EK23" s="10"/>
      <c r="EL23" s="10"/>
      <c r="EM23" s="30"/>
      <c r="EN23" s="34"/>
      <c r="EO23" s="29"/>
      <c r="EP23" s="47"/>
      <c r="EQ23" s="47"/>
      <c r="ER23" s="30"/>
      <c r="ES23" s="34"/>
      <c r="ET23" s="29"/>
      <c r="EU23" s="47"/>
      <c r="EV23" s="47"/>
      <c r="EW23" s="30"/>
    </row>
    <row r="24" spans="1:153" x14ac:dyDescent="0.2">
      <c r="A24" s="2" t="str">
        <f>DaB!A24</f>
        <v>Calendar 10</v>
      </c>
      <c r="B24" s="2" t="str">
        <f t="shared" si="3"/>
        <v>.</v>
      </c>
      <c r="C24" s="27">
        <f t="shared" si="1"/>
        <v>45474</v>
      </c>
      <c r="D24" s="34">
        <f>IFERROR(MIN(DaB!F24:K24)-C24,0)</f>
        <v>-45474</v>
      </c>
      <c r="E24" s="29">
        <f>IF(F24=0,0,IF(DaB!F24&gt;0,DaB!G24-DaB!F24,0))</f>
        <v>0</v>
      </c>
      <c r="F24" s="33">
        <f>IF(DaB!G24&gt;MAX(DaB!EV24,DaB!FJ24),DaB!H24-DaB!G24+1,
IF(DaB!H24&gt;0,DaB!H24-DaB!G24,0))</f>
        <v>0</v>
      </c>
      <c r="G24" s="32">
        <f>IF(F24=0,0,IF(DaB!J24&gt;0,DaB!J24-DaB!I24+1,0))</f>
        <v>0</v>
      </c>
      <c r="H24" s="30">
        <f>IF(F24=0,0,IF(DaB!K24&gt;0,DaB!K24-MAX(DaB!H24:J24),0))</f>
        <v>0</v>
      </c>
      <c r="I24" s="34">
        <f>IF(K24=0,0,MIN(DaB!$M24:$N24)-SUM($C24:H24))</f>
        <v>0</v>
      </c>
      <c r="J24" s="29">
        <f>IF(K24=0,0,IF(DaB!M24&gt;0,DaB!N24-DaB!M24,0))</f>
        <v>0</v>
      </c>
      <c r="K24" s="33">
        <f>IF(DaB!O24&gt;0,DaB!O24-DaB!N24+1,0)</f>
        <v>0</v>
      </c>
      <c r="L24" s="32">
        <f>IF(K24=0,0,IF(DaB!Q24&gt;0,DaB!Q24-DaB!P24+1,0))</f>
        <v>0</v>
      </c>
      <c r="M24" s="30">
        <f>IF(K24=0,0,IF(DaB!R24&gt;0,DaB!R24-MAX(DaB!O24:Q24),0))</f>
        <v>0</v>
      </c>
      <c r="N24" s="31">
        <f>IF(P24=0,0,MIN(DaB!$T24:$U24)-SUM($C24:M24))</f>
        <v>0</v>
      </c>
      <c r="O24" s="29">
        <f>IF(P24=0,0,IF(DaB!T24&gt;0,DaB!U24-DaB!T24,0))</f>
        <v>0</v>
      </c>
      <c r="P24" s="33">
        <f>IF(DaB!V24&gt;0,DaB!V24-DaB!U24+1,0)</f>
        <v>0</v>
      </c>
      <c r="Q24" s="32">
        <f>IF(P24=0,0,IF(DaB!X24&gt;0,DaB!X24-DaB!W24+1,0))</f>
        <v>0</v>
      </c>
      <c r="R24" s="30">
        <f>IF(P24=0,0,IF(DaB!Y24&gt;0,DaB!Y24-MAX(DaB!V24:X24),0))</f>
        <v>0</v>
      </c>
      <c r="S24" s="34">
        <f>IF(U24=0,0,MIN(DaB!$AA24:$AB24)-SUM($C24:R24))</f>
        <v>0</v>
      </c>
      <c r="T24" s="29">
        <f>IF(U24=0,0,IF(DaB!AA24&gt;0,DaB!AB24-DaB!AA24,0))</f>
        <v>0</v>
      </c>
      <c r="U24" s="33">
        <f>IF(DaB!AC24&gt;0,DaB!AC24-DaB!AB24+1,0)</f>
        <v>0</v>
      </c>
      <c r="V24" s="32">
        <f>IF(U24=0,0,IF(DaB!AE24&gt;0,DaB!AE24-DaB!AD24+1,0))</f>
        <v>0</v>
      </c>
      <c r="W24" s="30">
        <f>IF(U24=0,0,IF(DaB!AF24&gt;0,DaB!AF24-MAX(DaB!AC24:AE24),0))</f>
        <v>0</v>
      </c>
      <c r="X24" s="34">
        <f>IF(Z24=0,0,MIN(DaB!$AH24:$AI24)-SUM($C24:W24))</f>
        <v>0</v>
      </c>
      <c r="Y24" s="29">
        <f>IF(Z24=0,0,IF(DaB!AH24&gt;0,DaB!AI24-DaB!AH24,0))</f>
        <v>0</v>
      </c>
      <c r="Z24" s="33">
        <f>IF(DaB!AJ24&gt;0,DaB!AJ24-DaB!AI24+1,0)</f>
        <v>0</v>
      </c>
      <c r="AA24" s="32">
        <f>IF(Z24=0,0,IF(DaB!AL24&gt;0,DaB!AL24-DaB!AK24+1,0))</f>
        <v>0</v>
      </c>
      <c r="AB24" s="30">
        <f>IF(Z24=0,0,IF(DaB!AM24&gt;0,DaB!AM24-MAX(DaB!AJ24:AL24),0))</f>
        <v>0</v>
      </c>
      <c r="AC24" s="34">
        <f>IF(AE24=0,0,MIN(DaB!$AO24:$AP24)-SUM($C24:AB24))</f>
        <v>0</v>
      </c>
      <c r="AD24" s="29">
        <f>IF(AE24=0,0,IF(DaB!AO24&gt;0,DaB!AP24-DaB!AO24,0))</f>
        <v>0</v>
      </c>
      <c r="AE24" s="33">
        <f>IF(DaB!AQ24&gt;0,DaB!AQ24-DaB!AP24+1,0)</f>
        <v>0</v>
      </c>
      <c r="AF24" s="32">
        <f>IF(AE24=0,0,IF(DaB!AS24&gt;0,DaB!AS24-DaB!AR24+1,0))</f>
        <v>0</v>
      </c>
      <c r="AG24" s="30">
        <f>IF(AE24=0,0,IF(DaB!AT24&gt;0,DaB!AT24-MAX(DaB!AQ24:AS24),0))</f>
        <v>0</v>
      </c>
      <c r="AH24" s="34">
        <f>IF(AJ24=0,0,MIN(DaB!$AV24:$AW24)-SUM($C24:AG24))</f>
        <v>0</v>
      </c>
      <c r="AI24" s="29">
        <f>IF(AJ24=0,0,IF(DaB!AV24&gt;0,DaB!AW24-DaB!AV24,0))</f>
        <v>0</v>
      </c>
      <c r="AJ24" s="33">
        <f>IF(DaB!AX24&gt;0,DaB!AX24-DaB!AW24+1,0)</f>
        <v>0</v>
      </c>
      <c r="AK24" s="32">
        <f>IF(AJ24=0,0,IF(DaB!AZ24&gt;0,DaB!AZ24-DaB!AY24+1,0))</f>
        <v>0</v>
      </c>
      <c r="AL24" s="30">
        <f>IF(AJ24=0,0,IF(DaB!BA24&gt;0,DaB!BA24-MAX(DaB!AX24:AZ24),0))</f>
        <v>0</v>
      </c>
      <c r="AM24" s="34">
        <f>IF(AO24=0,0,MIN(DaB!$BC24:$BD24)-SUM($C24:AL24))</f>
        <v>0</v>
      </c>
      <c r="AN24" s="29">
        <f>IF(AO24=0,0,IF(DaB!BC24&gt;0,DaB!BD24-DaB!BC24,0))</f>
        <v>0</v>
      </c>
      <c r="AO24" s="33">
        <f>IF(DaB!BE24&gt;0,DaB!BE24-DaB!BD24+1,0)</f>
        <v>0</v>
      </c>
      <c r="AP24" s="32">
        <f>IF(AO24=0,0,IF(DaB!BG24&gt;0,DaB!BG24-DaB!BF24+1,0))</f>
        <v>0</v>
      </c>
      <c r="AQ24" s="30">
        <f>IF(AO24=0,0,IF(DaB!BH24&gt;0,DaB!BH24-MAX(DaB!BE24:BG24),0))</f>
        <v>0</v>
      </c>
      <c r="AR24" s="34">
        <f>IF(AT24=0,0,MIN(DaB!$BJ24:$BK24)-SUM($C24:AQ24))</f>
        <v>0</v>
      </c>
      <c r="AS24" s="29">
        <f>IF(AT24=0,0,IF(DaB!BJ24&gt;0,DaB!BK24-DaB!BJ24,0))</f>
        <v>0</v>
      </c>
      <c r="AT24" s="33">
        <f>IF(DaB!BL24&gt;0,DaB!BL24-DaB!BK24+1,0)</f>
        <v>0</v>
      </c>
      <c r="AU24" s="32">
        <f>IF(AT24=0,0,IF(DaB!BN24&gt;0,DaB!BN24-DaB!BM24+1,0))</f>
        <v>0</v>
      </c>
      <c r="AV24" s="30">
        <f>IF(AT24=0,0,IF(DaB!BO24&gt;0,DaB!BO24-MAX(DaB!BL24:BN24),0))</f>
        <v>0</v>
      </c>
      <c r="AW24" s="34">
        <f>IF(AY24=0,0,MIN(DaB!$BQ24:$BR24)-SUM($C24:AV24))</f>
        <v>0</v>
      </c>
      <c r="AX24" s="29">
        <f>IF(AY24=0,0,IF(DaB!BQ24&gt;0,DaB!BR24-DaB!BQ24,0))</f>
        <v>0</v>
      </c>
      <c r="AY24" s="33">
        <f>IF(DaB!BS24&gt;0,DaB!BS24-DaB!BR24+1,0)</f>
        <v>0</v>
      </c>
      <c r="AZ24" s="32">
        <f>IF(AY24=0,0,IF(DaB!BU24&gt;0,DaB!BU24-DaB!BT24+1,0))</f>
        <v>0</v>
      </c>
      <c r="BA24" s="30">
        <f>IF(AY24=0,0,IF(DaB!BV24&gt;0,DaB!BV24-MAX(DaB!BS24:BU24),0))</f>
        <v>0</v>
      </c>
      <c r="BB24" s="34">
        <f>IF(BD24=0,0,MIN(DaB!$BX24:$BY24)-SUM($C24:BA24))</f>
        <v>0</v>
      </c>
      <c r="BC24" s="29">
        <f>IF(BD24=0,0,IF(DaB!BX24&gt;0,DaB!BY24-DaB!BX24,0))</f>
        <v>0</v>
      </c>
      <c r="BD24" s="33">
        <f>IF(DaB!BZ24&gt;0,DaB!BZ24-DaB!BY24+1,0)</f>
        <v>0</v>
      </c>
      <c r="BE24" s="32">
        <f>IF(BD24=0,0,IF(DaB!CB24&gt;0,DaB!CB24-DaB!CA24+1,0))</f>
        <v>0</v>
      </c>
      <c r="BF24" s="30">
        <f>IF(BD24=0,0,IF(DaB!CC24&gt;0,DaB!CC24-MAX(DaB!BZ24:CB24),0))</f>
        <v>0</v>
      </c>
      <c r="BG24" s="34">
        <f>IF(BI24=0,0,MIN(DaB!$CE24:$CF24)-SUM($C24:BF24))</f>
        <v>0</v>
      </c>
      <c r="BH24" s="29">
        <f>IF(BI24=0,0,IF(DaB!CE24&gt;0,DaB!CF24-DaB!CE24,0))</f>
        <v>0</v>
      </c>
      <c r="BI24" s="33">
        <f>IF(DaB!CG24&gt;0,DaB!CG24-DaB!CF24+1,0)</f>
        <v>0</v>
      </c>
      <c r="BJ24" s="32">
        <f>IF(BI24=0,0,IF(DaB!CI24&gt;0,DaB!CI24-DaB!CH24+1,0))</f>
        <v>0</v>
      </c>
      <c r="BK24" s="30">
        <f>IF(BI24=0,0,IF(DaB!CJ24&gt;0,DaB!CJ24-MAX(DaB!CG24:CI24),0))</f>
        <v>0</v>
      </c>
      <c r="BL24" s="34">
        <f>IF(BN24=0,0,MIN(DaB!$CL24:$CM24)-SUM($C24:BK24))</f>
        <v>0</v>
      </c>
      <c r="BM24" s="29">
        <f>IF(BN24=0,0,IF(DaB!CL24&gt;0,DaB!CM24-DaB!CL24,0))</f>
        <v>0</v>
      </c>
      <c r="BN24" s="33">
        <f>IF(DaB!CN24&gt;0,DaB!CN24-DaB!CM24+1,0)</f>
        <v>0</v>
      </c>
      <c r="BO24" s="32">
        <f>IF(BN24=0,0,IF(DaB!CP24&gt;0,DaB!CP24-DaB!CO24+1,0))</f>
        <v>0</v>
      </c>
      <c r="BP24" s="30">
        <f>IF(BN24=0,0,IF(DaB!CQ24&gt;0,DaB!CQ24-MAX(DaB!CN24:CP24),0))</f>
        <v>0</v>
      </c>
      <c r="BQ24" s="34">
        <f>IF(BS24=0,0,MIN(DaB!$CS24:$CT24)-SUM($C24:BP24))</f>
        <v>0</v>
      </c>
      <c r="BR24" s="29">
        <f>IF(BS24=0,0,IF(DaB!CS24&gt;0,DaB!CT24-DaB!CS24,0))</f>
        <v>0</v>
      </c>
      <c r="BS24" s="33">
        <f>IF(DaB!CU24&gt;0,DaB!CU24-DaB!CT24+1,0)</f>
        <v>0</v>
      </c>
      <c r="BT24" s="32">
        <f>IF(BS24=0,0,IF(DaB!CW24&gt;0,DaB!CW24-DaB!CV24+1,0))</f>
        <v>0</v>
      </c>
      <c r="BU24" s="30">
        <f>IF(BS24=0,0,IF(DaB!CX24&gt;0,DaB!CX24-MAX(DaB!CU24:CW24),0))</f>
        <v>0</v>
      </c>
      <c r="BV24" s="34">
        <f>IF(BX24=0,0,MIN(DaB!$CZ24:$DA24)-SUM($C24:BU24))</f>
        <v>0</v>
      </c>
      <c r="BW24" s="29">
        <f>IF(BX24=0,0,IF(DaB!CZ24&gt;0,DaB!DA24-DaB!CZ24,0))</f>
        <v>0</v>
      </c>
      <c r="BX24" s="33">
        <f>IF(DaB!DB24&gt;0,DaB!DB24-DaB!DA24+1,0)</f>
        <v>0</v>
      </c>
      <c r="BY24" s="32">
        <f>IF(BX24=0,0,IF(DaB!DD24&gt;0,DaB!DD24-DaB!DC24+1,0))</f>
        <v>0</v>
      </c>
      <c r="BZ24" s="30">
        <f>IF(BX24=0,0,IF(DaB!DE24&gt;0,DaB!DE24-MAX(DaB!DB24:DD24),0))</f>
        <v>0</v>
      </c>
      <c r="CA24" s="34">
        <f>IF(CC24=0,0,MIN(DaB!$DG24:$DH24)-SUM($C24:BZ24))</f>
        <v>0</v>
      </c>
      <c r="CB24" s="29">
        <f>IF(CC24=0,0,IF(DaB!DG24&gt;0,DaB!DH24-DaB!DG24,0))</f>
        <v>0</v>
      </c>
      <c r="CC24" s="33">
        <f>IF(DaB!DI24&gt;0,DaB!DI24-DaB!DH24+1,0)</f>
        <v>0</v>
      </c>
      <c r="CD24" s="32">
        <f>IF(CC24=0,0,IF(DaB!DK24&gt;0,DaB!DK24-DaB!DJ24+1,0))</f>
        <v>0</v>
      </c>
      <c r="CE24" s="30">
        <f>IF(CC24=0,0,IF(DaB!DL24&gt;0,DaB!DL24-MAX(DaB!DI24:DK24),0))</f>
        <v>0</v>
      </c>
      <c r="CF24" s="34">
        <f>IF(CH24=0,0,MIN(DaB!$DN24:$DO24)-SUM($C24:CE24))</f>
        <v>0</v>
      </c>
      <c r="CG24" s="29">
        <f>IF(CH24=0,0,IF(DaB!DN24&gt;0,DaB!DO24-DaB!DN24,0))</f>
        <v>0</v>
      </c>
      <c r="CH24" s="33">
        <f>IF(DaB!DP24&gt;0,DaB!DP24-DaB!DO24+1,0)</f>
        <v>0</v>
      </c>
      <c r="CI24" s="32">
        <f>IF(CH24=0,0,IF(DaB!DR24&gt;0,DaB!DR24-DaB!DQ24+1,0))</f>
        <v>0</v>
      </c>
      <c r="CJ24" s="30">
        <f>IF(CH24=0,0,IF(DaB!DS24&gt;0,DaB!DS24-MAX(DaB!DP24:DR24),0))</f>
        <v>0</v>
      </c>
      <c r="CK24" s="34">
        <f>IF(CM24=0,0,MIN(DaB!$DU24:$DV24)-SUM($C24:CJ24))</f>
        <v>0</v>
      </c>
      <c r="CL24" s="29">
        <f>IF(CM24=0,0,IF(DaB!DU24&gt;0,DaB!DV24-DaB!DU24,0))</f>
        <v>0</v>
      </c>
      <c r="CM24" s="33">
        <f>IF(DaB!DW24&gt;0,DaB!DW24-DaB!DV24+1,0)</f>
        <v>0</v>
      </c>
      <c r="CN24" s="32">
        <f>IF(CM24=0,0,IF(DaB!DY24&gt;0,DaB!DY24-DaB!DX24+1,0))</f>
        <v>0</v>
      </c>
      <c r="CO24" s="30">
        <f>IF(CM24=0,0,IF(DaB!DZ24&gt;0,DaB!DZ24-MAX(DaB!DW24:DY24),0))</f>
        <v>0</v>
      </c>
      <c r="CP24" s="34">
        <f>IF(CR24=0,0,MIN(DaB!$EB24:$EC24)-SUM($C24:CO24))</f>
        <v>0</v>
      </c>
      <c r="CQ24" s="29">
        <f>IF(CR24=0,0,IF(DaB!EB24&gt;0,DaB!EC24-DaB!EB24,0))</f>
        <v>0</v>
      </c>
      <c r="CR24" s="33">
        <f>IF(DaB!ED24&gt;0,DaB!ED24-DaB!EC24+1,0)</f>
        <v>0</v>
      </c>
      <c r="CS24" s="32">
        <f>IF(CR24=0,0,IF(DaB!EF24&gt;0,DaB!EF24-DaB!EE24+1,0))</f>
        <v>0</v>
      </c>
      <c r="CT24" s="30">
        <f>IF(CR24=0,0,IF(DaB!EG24&gt;0,DaB!EG24-MAX(DaB!ED24:EF24),0))</f>
        <v>0</v>
      </c>
      <c r="CU24" s="34">
        <f>IF(CW24=0,0,MIN(DaB!$EI24:$EJ24)-SUM($C24:CT24))</f>
        <v>0</v>
      </c>
      <c r="CV24" s="29">
        <f>IF(CW24=0,0,IF(DaB!EI24&gt;0,DaB!EJ24-DaB!EI24,0))</f>
        <v>0</v>
      </c>
      <c r="CW24" s="33">
        <f>IF(DaB!EK24&gt;0,DaB!EK24-DaB!EJ24+1,0)</f>
        <v>0</v>
      </c>
      <c r="CX24" s="32">
        <f>IF(CW24=0,0,IF(DaB!EM24&gt;0,DaB!EM24-DaB!EL24+1,0))</f>
        <v>0</v>
      </c>
      <c r="CY24" s="30">
        <f>IF(CW24=0,0,IF(DaB!EN24&gt;0,DaB!EN24-MAX(DaB!EK24:EM24),0))</f>
        <v>0</v>
      </c>
      <c r="DF24" s="2">
        <f t="shared" si="0"/>
        <v>45474</v>
      </c>
      <c r="DG24" s="28">
        <f>IF(MIN(DaB!EU24:EV24)=DF24,0,
IF(MIN(DaB!EU24:EV24)&gt;DF24,MIN(DaB!EU24:EV24)-DF24,0))</f>
        <v>0</v>
      </c>
      <c r="DH24" s="29"/>
      <c r="DI24" s="10"/>
      <c r="DJ24" s="10"/>
      <c r="DK24" s="11"/>
      <c r="DL24" s="11"/>
      <c r="DM24" s="30"/>
      <c r="DN24" s="28"/>
      <c r="DO24" s="29"/>
      <c r="DP24" s="10"/>
      <c r="DQ24" s="10"/>
      <c r="DR24" s="11"/>
      <c r="DS24" s="11"/>
      <c r="DT24" s="30"/>
      <c r="DU24" s="28"/>
      <c r="DV24" s="29"/>
      <c r="DW24" s="10"/>
      <c r="DX24" s="10"/>
      <c r="DY24" s="11"/>
      <c r="DZ24" s="11"/>
      <c r="EA24" s="30"/>
      <c r="EB24" s="28"/>
      <c r="EC24" s="29"/>
      <c r="ED24" s="10"/>
      <c r="EE24" s="10"/>
      <c r="EF24" s="11"/>
      <c r="EG24" s="11"/>
      <c r="EH24" s="30"/>
      <c r="EI24" s="34"/>
      <c r="EJ24" s="29"/>
      <c r="EK24" s="10"/>
      <c r="EL24" s="10"/>
      <c r="EM24" s="30"/>
      <c r="EN24" s="34"/>
      <c r="EO24" s="29"/>
      <c r="EP24" s="47"/>
      <c r="EQ24" s="47"/>
      <c r="ER24" s="30"/>
      <c r="ES24" s="34"/>
      <c r="ET24" s="29"/>
      <c r="EU24" s="47"/>
      <c r="EV24" s="47"/>
      <c r="EW24" s="30"/>
    </row>
    <row r="25" spans="1:153" x14ac:dyDescent="0.2">
      <c r="A25" s="2" t="str">
        <f>DaB!A25</f>
        <v>Calendar 10</v>
      </c>
      <c r="B25" s="2" t="str">
        <f t="shared" si="3"/>
        <v>.</v>
      </c>
      <c r="C25" s="27">
        <f t="shared" si="1"/>
        <v>45474</v>
      </c>
      <c r="D25" s="34">
        <f>IFERROR(MIN(DaB!F25:K25)-C25,0)</f>
        <v>-45474</v>
      </c>
      <c r="E25" s="29">
        <f>IF(F25=0,0,IF(DaB!F25&gt;0,DaB!G25-DaB!F25,0))</f>
        <v>0</v>
      </c>
      <c r="F25" s="33">
        <f>IF(DaB!G25&gt;MAX(DaB!EV25,DaB!FJ25),DaB!H25-DaB!G25+1,
IF(DaB!H25&gt;0,DaB!H25-DaB!G25,0))</f>
        <v>0</v>
      </c>
      <c r="G25" s="32">
        <f>IF(F25=0,0,IF(DaB!J25&gt;0,DaB!J25-DaB!I25+1,0))</f>
        <v>0</v>
      </c>
      <c r="H25" s="30">
        <f>IF(F25=0,0,IF(DaB!K25&gt;0,DaB!K25-MAX(DaB!H25:J25),0))</f>
        <v>0</v>
      </c>
      <c r="I25" s="34">
        <f>IF(K25=0,0,MIN(DaB!$M25:$N25)-SUM($C25:H25))</f>
        <v>0</v>
      </c>
      <c r="J25" s="29">
        <f>IF(K25=0,0,IF(DaB!M25&gt;0,DaB!N25-DaB!M25,0))</f>
        <v>0</v>
      </c>
      <c r="K25" s="33">
        <f>IF(DaB!O25&gt;0,DaB!O25-DaB!N25+1,0)</f>
        <v>0</v>
      </c>
      <c r="L25" s="32">
        <f>IF(K25=0,0,IF(DaB!Q25&gt;0,DaB!Q25-DaB!P25+1,0))</f>
        <v>0</v>
      </c>
      <c r="M25" s="30">
        <f>IF(K25=0,0,IF(DaB!R25&gt;0,DaB!R25-MAX(DaB!O25:Q25),0))</f>
        <v>0</v>
      </c>
      <c r="N25" s="31">
        <f>IF(P25=0,0,MIN(DaB!$T25:$U25)-SUM($C25:M25))</f>
        <v>0</v>
      </c>
      <c r="O25" s="29">
        <f>IF(P25=0,0,IF(DaB!T25&gt;0,DaB!U25-DaB!T25,0))</f>
        <v>0</v>
      </c>
      <c r="P25" s="33">
        <f>IF(DaB!V25&gt;0,DaB!V25-DaB!U25+1,0)</f>
        <v>0</v>
      </c>
      <c r="Q25" s="32">
        <f>IF(P25=0,0,IF(DaB!X25&gt;0,DaB!X25-DaB!W25+1,0))</f>
        <v>0</v>
      </c>
      <c r="R25" s="30">
        <f>IF(P25=0,0,IF(DaB!Y25&gt;0,DaB!Y25-MAX(DaB!V25:X25),0))</f>
        <v>0</v>
      </c>
      <c r="S25" s="34">
        <f>IF(U25=0,0,MIN(DaB!$AA25:$AB25)-SUM($C25:R25))</f>
        <v>0</v>
      </c>
      <c r="T25" s="29">
        <f>IF(U25=0,0,IF(DaB!AA25&gt;0,DaB!AB25-DaB!AA25,0))</f>
        <v>0</v>
      </c>
      <c r="U25" s="33">
        <f>IF(DaB!AC25&gt;0,DaB!AC25-DaB!AB25+1,0)</f>
        <v>0</v>
      </c>
      <c r="V25" s="32">
        <f>IF(U25=0,0,IF(DaB!AE25&gt;0,DaB!AE25-DaB!AD25+1,0))</f>
        <v>0</v>
      </c>
      <c r="W25" s="30">
        <f>IF(U25=0,0,IF(DaB!AF25&gt;0,DaB!AF25-MAX(DaB!AC25:AE25),0))</f>
        <v>0</v>
      </c>
      <c r="X25" s="34">
        <f>IF(Z25=0,0,MIN(DaB!$AH25:$AI25)-SUM($C25:W25))</f>
        <v>0</v>
      </c>
      <c r="Y25" s="29">
        <f>IF(Z25=0,0,IF(DaB!AH25&gt;0,DaB!AI25-DaB!AH25,0))</f>
        <v>0</v>
      </c>
      <c r="Z25" s="33">
        <f>IF(DaB!AJ25&gt;0,DaB!AJ25-DaB!AI25+1,0)</f>
        <v>0</v>
      </c>
      <c r="AA25" s="32">
        <f>IF(Z25=0,0,IF(DaB!AL25&gt;0,DaB!AL25-DaB!AK25+1,0))</f>
        <v>0</v>
      </c>
      <c r="AB25" s="30">
        <f>IF(Z25=0,0,IF(DaB!AM25&gt;0,DaB!AM25-MAX(DaB!AJ25:AL25),0))</f>
        <v>0</v>
      </c>
      <c r="AC25" s="34">
        <f>IF(AE25=0,0,MIN(DaB!$AO25:$AP25)-SUM($C25:AB25))</f>
        <v>0</v>
      </c>
      <c r="AD25" s="29">
        <f>IF(AE25=0,0,IF(DaB!AO25&gt;0,DaB!AP25-DaB!AO25,0))</f>
        <v>0</v>
      </c>
      <c r="AE25" s="33">
        <f>IF(DaB!AQ25&gt;0,DaB!AQ25-DaB!AP25+1,0)</f>
        <v>0</v>
      </c>
      <c r="AF25" s="32">
        <f>IF(AE25=0,0,IF(DaB!AS25&gt;0,DaB!AS25-DaB!AR25+1,0))</f>
        <v>0</v>
      </c>
      <c r="AG25" s="30">
        <f>IF(AE25=0,0,IF(DaB!AT25&gt;0,DaB!AT25-MAX(DaB!AQ25:AS25),0))</f>
        <v>0</v>
      </c>
      <c r="AH25" s="34">
        <f>IF(AJ25=0,0,MIN(DaB!$AV25:$AW25)-SUM($C25:AG25))</f>
        <v>0</v>
      </c>
      <c r="AI25" s="29">
        <f>IF(AJ25=0,0,IF(DaB!AV25&gt;0,DaB!AW25-DaB!AV25,0))</f>
        <v>0</v>
      </c>
      <c r="AJ25" s="33">
        <f>IF(DaB!AX25&gt;0,DaB!AX25-DaB!AW25+1,0)</f>
        <v>0</v>
      </c>
      <c r="AK25" s="32">
        <f>IF(AJ25=0,0,IF(DaB!AZ25&gt;0,DaB!AZ25-DaB!AY25+1,0))</f>
        <v>0</v>
      </c>
      <c r="AL25" s="30">
        <f>IF(AJ25=0,0,IF(DaB!BA25&gt;0,DaB!BA25-MAX(DaB!AX25:AZ25),0))</f>
        <v>0</v>
      </c>
      <c r="AM25" s="34">
        <f>IF(AO25=0,0,MIN(DaB!$BC25:$BD25)-SUM($C25:AL25))</f>
        <v>0</v>
      </c>
      <c r="AN25" s="29">
        <f>IF(AO25=0,0,IF(DaB!BC25&gt;0,DaB!BD25-DaB!BC25,0))</f>
        <v>0</v>
      </c>
      <c r="AO25" s="33">
        <f>IF(DaB!BE25&gt;0,DaB!BE25-DaB!BD25+1,0)</f>
        <v>0</v>
      </c>
      <c r="AP25" s="32">
        <f>IF(AO25=0,0,IF(DaB!BG25&gt;0,DaB!BG25-DaB!BF25+1,0))</f>
        <v>0</v>
      </c>
      <c r="AQ25" s="30">
        <f>IF(AO25=0,0,IF(DaB!BH25&gt;0,DaB!BH25-MAX(DaB!BE25:BG25),0))</f>
        <v>0</v>
      </c>
      <c r="AR25" s="34">
        <f>IF(AT25=0,0,MIN(DaB!$BJ25:$BK25)-SUM($C25:AQ25))</f>
        <v>0</v>
      </c>
      <c r="AS25" s="29">
        <f>IF(AT25=0,0,IF(DaB!BJ25&gt;0,DaB!BK25-DaB!BJ25,0))</f>
        <v>0</v>
      </c>
      <c r="AT25" s="33">
        <f>IF(DaB!BL25&gt;0,DaB!BL25-DaB!BK25+1,0)</f>
        <v>0</v>
      </c>
      <c r="AU25" s="32">
        <f>IF(AT25=0,0,IF(DaB!BN25&gt;0,DaB!BN25-DaB!BM25+1,0))</f>
        <v>0</v>
      </c>
      <c r="AV25" s="30">
        <f>IF(AT25=0,0,IF(DaB!BO25&gt;0,DaB!BO25-MAX(DaB!BL25:BN25),0))</f>
        <v>0</v>
      </c>
      <c r="AW25" s="34">
        <f>IF(AY25=0,0,MIN(DaB!$BQ25:$BR25)-SUM($C25:AV25))</f>
        <v>0</v>
      </c>
      <c r="AX25" s="29">
        <f>IF(AY25=0,0,IF(DaB!BQ25&gt;0,DaB!BR25-DaB!BQ25,0))</f>
        <v>0</v>
      </c>
      <c r="AY25" s="33">
        <f>IF(DaB!BS25&gt;0,DaB!BS25-DaB!BR25+1,0)</f>
        <v>0</v>
      </c>
      <c r="AZ25" s="32">
        <f>IF(AY25=0,0,IF(DaB!BU25&gt;0,DaB!BU25-DaB!BT25+1,0))</f>
        <v>0</v>
      </c>
      <c r="BA25" s="30">
        <f>IF(AY25=0,0,IF(DaB!BV25&gt;0,DaB!BV25-MAX(DaB!BS25:BU25),0))</f>
        <v>0</v>
      </c>
      <c r="BB25" s="34">
        <f>IF(BD25=0,0,MIN(DaB!$BX25:$BY25)-SUM($C25:BA25))</f>
        <v>0</v>
      </c>
      <c r="BC25" s="29">
        <f>IF(BD25=0,0,IF(DaB!BX25&gt;0,DaB!BY25-DaB!BX25,0))</f>
        <v>0</v>
      </c>
      <c r="BD25" s="33">
        <f>IF(DaB!BZ25&gt;0,DaB!BZ25-DaB!BY25+1,0)</f>
        <v>0</v>
      </c>
      <c r="BE25" s="32">
        <f>IF(BD25=0,0,IF(DaB!CB25&gt;0,DaB!CB25-DaB!CA25+1,0))</f>
        <v>0</v>
      </c>
      <c r="BF25" s="30">
        <f>IF(BD25=0,0,IF(DaB!CC25&gt;0,DaB!CC25-MAX(DaB!BZ25:CB25),0))</f>
        <v>0</v>
      </c>
      <c r="BG25" s="34">
        <f>IF(BI25=0,0,MIN(DaB!$CE25:$CF25)-SUM($C25:BF25))</f>
        <v>0</v>
      </c>
      <c r="BH25" s="29">
        <f>IF(BI25=0,0,IF(DaB!CE25&gt;0,DaB!CF25-DaB!CE25,0))</f>
        <v>0</v>
      </c>
      <c r="BI25" s="33">
        <f>IF(DaB!CG25&gt;0,DaB!CG25-DaB!CF25+1,0)</f>
        <v>0</v>
      </c>
      <c r="BJ25" s="32">
        <f>IF(BI25=0,0,IF(DaB!CI25&gt;0,DaB!CI25-DaB!CH25+1,0))</f>
        <v>0</v>
      </c>
      <c r="BK25" s="30">
        <f>IF(BI25=0,0,IF(DaB!CJ25&gt;0,DaB!CJ25-MAX(DaB!CG25:CI25),0))</f>
        <v>0</v>
      </c>
      <c r="BL25" s="34">
        <f>IF(BN25=0,0,MIN(DaB!$CL25:$CM25)-SUM($C25:BK25))</f>
        <v>0</v>
      </c>
      <c r="BM25" s="29">
        <f>IF(BN25=0,0,IF(DaB!CL25&gt;0,DaB!CM25-DaB!CL25,0))</f>
        <v>0</v>
      </c>
      <c r="BN25" s="33">
        <f>IF(DaB!CN25&gt;0,DaB!CN25-DaB!CM25+1,0)</f>
        <v>0</v>
      </c>
      <c r="BO25" s="32">
        <f>IF(BN25=0,0,IF(DaB!CP25&gt;0,DaB!CP25-DaB!CO25+1,0))</f>
        <v>0</v>
      </c>
      <c r="BP25" s="30">
        <f>IF(BN25=0,0,IF(DaB!CQ25&gt;0,DaB!CQ25-MAX(DaB!CN25:CP25),0))</f>
        <v>0</v>
      </c>
      <c r="BQ25" s="34">
        <f>IF(BS25=0,0,MIN(DaB!$CS25:$CT25)-SUM($C25:BP25))</f>
        <v>0</v>
      </c>
      <c r="BR25" s="29">
        <f>IF(BS25=0,0,IF(DaB!CS25&gt;0,DaB!CT25-DaB!CS25,0))</f>
        <v>0</v>
      </c>
      <c r="BS25" s="33">
        <f>IF(DaB!CU25&gt;0,DaB!CU25-DaB!CT25+1,0)</f>
        <v>0</v>
      </c>
      <c r="BT25" s="32">
        <f>IF(BS25=0,0,IF(DaB!CW25&gt;0,DaB!CW25-DaB!CV25+1,0))</f>
        <v>0</v>
      </c>
      <c r="BU25" s="30">
        <f>IF(BS25=0,0,IF(DaB!CX25&gt;0,DaB!CX25-MAX(DaB!CU25:CW25),0))</f>
        <v>0</v>
      </c>
      <c r="BV25" s="34">
        <f>IF(BX25=0,0,MIN(DaB!$CZ25:$DA25)-SUM($C25:BU25))</f>
        <v>0</v>
      </c>
      <c r="BW25" s="29">
        <f>IF(BX25=0,0,IF(DaB!CZ25&gt;0,DaB!DA25-DaB!CZ25,0))</f>
        <v>0</v>
      </c>
      <c r="BX25" s="33">
        <f>IF(DaB!DB25&gt;0,DaB!DB25-DaB!DA25+1,0)</f>
        <v>0</v>
      </c>
      <c r="BY25" s="32">
        <f>IF(BX25=0,0,IF(DaB!DD25&gt;0,DaB!DD25-DaB!DC25+1,0))</f>
        <v>0</v>
      </c>
      <c r="BZ25" s="30">
        <f>IF(BX25=0,0,IF(DaB!DE25&gt;0,DaB!DE25-MAX(DaB!DB25:DD25),0))</f>
        <v>0</v>
      </c>
      <c r="CA25" s="34">
        <f>IF(CC25=0,0,MIN(DaB!$DG25:$DH25)-SUM($C25:BZ25))</f>
        <v>0</v>
      </c>
      <c r="CB25" s="29">
        <f>IF(CC25=0,0,IF(DaB!DG25&gt;0,DaB!DH25-DaB!DG25,0))</f>
        <v>0</v>
      </c>
      <c r="CC25" s="33">
        <f>IF(DaB!DI25&gt;0,DaB!DI25-DaB!DH25+1,0)</f>
        <v>0</v>
      </c>
      <c r="CD25" s="32">
        <f>IF(CC25=0,0,IF(DaB!DK25&gt;0,DaB!DK25-DaB!DJ25+1,0))</f>
        <v>0</v>
      </c>
      <c r="CE25" s="30">
        <f>IF(CC25=0,0,IF(DaB!DL25&gt;0,DaB!DL25-MAX(DaB!DI25:DK25),0))</f>
        <v>0</v>
      </c>
      <c r="CF25" s="34">
        <f>IF(CH25=0,0,MIN(DaB!$DN25:$DO25)-SUM($C25:CE25))</f>
        <v>0</v>
      </c>
      <c r="CG25" s="29">
        <f>IF(CH25=0,0,IF(DaB!DN25&gt;0,DaB!DO25-DaB!DN25,0))</f>
        <v>0</v>
      </c>
      <c r="CH25" s="33">
        <f>IF(DaB!DP25&gt;0,DaB!DP25-DaB!DO25+1,0)</f>
        <v>0</v>
      </c>
      <c r="CI25" s="32">
        <f>IF(CH25=0,0,IF(DaB!DR25&gt;0,DaB!DR25-DaB!DQ25+1,0))</f>
        <v>0</v>
      </c>
      <c r="CJ25" s="30">
        <f>IF(CH25=0,0,IF(DaB!DS25&gt;0,DaB!DS25-MAX(DaB!DP25:DR25),0))</f>
        <v>0</v>
      </c>
      <c r="CK25" s="34">
        <f>IF(CM25=0,0,MIN(DaB!$DU25:$DV25)-SUM($C25:CJ25))</f>
        <v>0</v>
      </c>
      <c r="CL25" s="29">
        <f>IF(CM25=0,0,IF(DaB!DU25&gt;0,DaB!DV25-DaB!DU25,0))</f>
        <v>0</v>
      </c>
      <c r="CM25" s="33">
        <f>IF(DaB!DW25&gt;0,DaB!DW25-DaB!DV25+1,0)</f>
        <v>0</v>
      </c>
      <c r="CN25" s="32">
        <f>IF(CM25=0,0,IF(DaB!DY25&gt;0,DaB!DY25-DaB!DX25+1,0))</f>
        <v>0</v>
      </c>
      <c r="CO25" s="30">
        <f>IF(CM25=0,0,IF(DaB!DZ25&gt;0,DaB!DZ25-MAX(DaB!DW25:DY25),0))</f>
        <v>0</v>
      </c>
      <c r="CP25" s="34">
        <f>IF(CR25=0,0,MIN(DaB!$EB25:$EC25)-SUM($C25:CO25))</f>
        <v>0</v>
      </c>
      <c r="CQ25" s="29">
        <f>IF(CR25=0,0,IF(DaB!EB25&gt;0,DaB!EC25-DaB!EB25,0))</f>
        <v>0</v>
      </c>
      <c r="CR25" s="33">
        <f>IF(DaB!ED25&gt;0,DaB!ED25-DaB!EC25+1,0)</f>
        <v>0</v>
      </c>
      <c r="CS25" s="32">
        <f>IF(CR25=0,0,IF(DaB!EF25&gt;0,DaB!EF25-DaB!EE25+1,0))</f>
        <v>0</v>
      </c>
      <c r="CT25" s="30">
        <f>IF(CR25=0,0,IF(DaB!EG25&gt;0,DaB!EG25-MAX(DaB!ED25:EF25),0))</f>
        <v>0</v>
      </c>
      <c r="CU25" s="34">
        <f>IF(CW25=0,0,MIN(DaB!$EI25:$EJ25)-SUM($C25:CT25))</f>
        <v>0</v>
      </c>
      <c r="CV25" s="29">
        <f>IF(CW25=0,0,IF(DaB!EI25&gt;0,DaB!EJ25-DaB!EI25,0))</f>
        <v>0</v>
      </c>
      <c r="CW25" s="33">
        <f>IF(DaB!EK25&gt;0,DaB!EK25-DaB!EJ25+1,0)</f>
        <v>0</v>
      </c>
      <c r="CX25" s="32">
        <f>IF(CW25=0,0,IF(DaB!EM25&gt;0,DaB!EM25-DaB!EL25+1,0))</f>
        <v>0</v>
      </c>
      <c r="CY25" s="30">
        <f>IF(CW25=0,0,IF(DaB!EN25&gt;0,DaB!EN25-MAX(DaB!EK25:EM25),0))</f>
        <v>0</v>
      </c>
      <c r="DF25" s="2">
        <f t="shared" si="0"/>
        <v>45474</v>
      </c>
      <c r="DG25" s="28">
        <f>IF(MIN(DaB!EU25:EV25)=DF25,0,
IF(MIN(DaB!EU25:EV25)&gt;DF25,MIN(DaB!EU25:EV25)-DF25,0))</f>
        <v>0</v>
      </c>
      <c r="DH25" s="29"/>
      <c r="DI25" s="10"/>
      <c r="DJ25" s="10"/>
      <c r="DK25" s="11"/>
      <c r="DL25" s="11"/>
      <c r="DM25" s="30"/>
      <c r="DN25" s="28"/>
      <c r="DO25" s="29"/>
      <c r="DP25" s="10"/>
      <c r="DQ25" s="10"/>
      <c r="DR25" s="11"/>
      <c r="DS25" s="11"/>
      <c r="DT25" s="30"/>
      <c r="DU25" s="28"/>
      <c r="DV25" s="29"/>
      <c r="DW25" s="10"/>
      <c r="DX25" s="10"/>
      <c r="DY25" s="11"/>
      <c r="DZ25" s="11"/>
      <c r="EA25" s="30"/>
      <c r="EB25" s="28"/>
      <c r="EC25" s="29"/>
      <c r="ED25" s="10"/>
      <c r="EE25" s="10"/>
      <c r="EF25" s="11"/>
      <c r="EG25" s="11"/>
      <c r="EH25" s="30"/>
      <c r="EI25" s="34"/>
      <c r="EJ25" s="29"/>
      <c r="EK25" s="10"/>
      <c r="EL25" s="10"/>
      <c r="EM25" s="30"/>
      <c r="EN25" s="34"/>
      <c r="EO25" s="29"/>
      <c r="EP25" s="47"/>
      <c r="EQ25" s="47"/>
      <c r="ER25" s="30"/>
      <c r="ES25" s="34"/>
      <c r="ET25" s="29"/>
      <c r="EU25" s="47"/>
      <c r="EV25" s="47"/>
      <c r="EW25" s="30"/>
    </row>
    <row r="26" spans="1:153" x14ac:dyDescent="0.2">
      <c r="A26" s="2" t="str">
        <f>DaB!A26</f>
        <v>Calendar 11</v>
      </c>
      <c r="B26" s="2" t="str">
        <f t="shared" si="3"/>
        <v>.</v>
      </c>
      <c r="C26" s="27">
        <f t="shared" si="1"/>
        <v>45474</v>
      </c>
      <c r="D26" s="34">
        <f>IFERROR(MIN(DaB!F26:K26)-C26,0)</f>
        <v>-45474</v>
      </c>
      <c r="E26" s="29">
        <f>IF(F26=0,0,IF(DaB!F26&gt;0,DaB!G26-DaB!F26,0))</f>
        <v>0</v>
      </c>
      <c r="F26" s="33">
        <f>IF(DaB!G26&gt;MAX(DaB!EV26,DaB!FJ26),DaB!H26-DaB!G26+1,
IF(DaB!H26&gt;0,DaB!H26-DaB!G26,0))</f>
        <v>0</v>
      </c>
      <c r="G26" s="32">
        <f>IF(F26=0,0,IF(DaB!J26&gt;0,DaB!J26-DaB!I26+1,0))</f>
        <v>0</v>
      </c>
      <c r="H26" s="30">
        <f>IF(F26=0,0,IF(DaB!K26&gt;0,DaB!K26-MAX(DaB!H26:J26),0))</f>
        <v>0</v>
      </c>
      <c r="I26" s="34">
        <f>IF(K26=0,0,MIN(DaB!$M26:$N26)-SUM($C26:H26))</f>
        <v>0</v>
      </c>
      <c r="J26" s="29">
        <f>IF(K26=0,0,IF(DaB!M26&gt;0,DaB!N26-DaB!M26,0))</f>
        <v>0</v>
      </c>
      <c r="K26" s="33">
        <f>IF(DaB!O26&gt;0,DaB!O26-DaB!N26+1,0)</f>
        <v>0</v>
      </c>
      <c r="L26" s="32">
        <f>IF(K26=0,0,IF(DaB!Q26&gt;0,DaB!Q26-DaB!P26+1,0))</f>
        <v>0</v>
      </c>
      <c r="M26" s="30">
        <f>IF(K26=0,0,IF(DaB!R26&gt;0,DaB!R26-MAX(DaB!O26:Q26),0))</f>
        <v>0</v>
      </c>
      <c r="N26" s="31">
        <f>IF(P26=0,0,MIN(DaB!$T26:$U26)-SUM($C26:M26))</f>
        <v>0</v>
      </c>
      <c r="O26" s="29">
        <f>IF(P26=0,0,IF(DaB!T26&gt;0,DaB!U26-DaB!T26,0))</f>
        <v>0</v>
      </c>
      <c r="P26" s="33">
        <f>IF(DaB!V26&gt;0,DaB!V26-DaB!U26+1,0)</f>
        <v>0</v>
      </c>
      <c r="Q26" s="32">
        <f>IF(P26=0,0,IF(DaB!X26&gt;0,DaB!X26-DaB!W26+1,0))</f>
        <v>0</v>
      </c>
      <c r="R26" s="30">
        <f>IF(P26=0,0,IF(DaB!Y26&gt;0,DaB!Y26-MAX(DaB!V26:X26),0))</f>
        <v>0</v>
      </c>
      <c r="S26" s="34">
        <f>IF(U26=0,0,MIN(DaB!$AA26:$AB26)-SUM($C26:R26))</f>
        <v>0</v>
      </c>
      <c r="T26" s="29">
        <f>IF(U26=0,0,IF(DaB!AA26&gt;0,DaB!AB26-DaB!AA26,0))</f>
        <v>0</v>
      </c>
      <c r="U26" s="33">
        <f>IF(DaB!AC26&gt;0,DaB!AC26-DaB!AB26+1,0)</f>
        <v>0</v>
      </c>
      <c r="V26" s="32">
        <f>IF(U26=0,0,IF(DaB!AE26&gt;0,DaB!AE26-DaB!AD26+1,0))</f>
        <v>0</v>
      </c>
      <c r="W26" s="30">
        <f>IF(U26=0,0,IF(DaB!AF26&gt;0,DaB!AF26-MAX(DaB!AC26:AE26),0))</f>
        <v>0</v>
      </c>
      <c r="X26" s="34">
        <f>IF(Z26=0,0,MIN(DaB!$AH26:$AI26)-SUM($C26:W26))</f>
        <v>0</v>
      </c>
      <c r="Y26" s="29">
        <f>IF(Z26=0,0,IF(DaB!AH26&gt;0,DaB!AI26-DaB!AH26,0))</f>
        <v>0</v>
      </c>
      <c r="Z26" s="33">
        <f>IF(DaB!AJ26&gt;0,DaB!AJ26-DaB!AI26+1,0)</f>
        <v>0</v>
      </c>
      <c r="AA26" s="32">
        <f>IF(Z26=0,0,IF(DaB!AL26&gt;0,DaB!AL26-DaB!AK26+1,0))</f>
        <v>0</v>
      </c>
      <c r="AB26" s="30">
        <f>IF(Z26=0,0,IF(DaB!AM26&gt;0,DaB!AM26-MAX(DaB!AJ26:AL26),0))</f>
        <v>0</v>
      </c>
      <c r="AC26" s="34">
        <f>IF(AE26=0,0,MIN(DaB!$AO26:$AP26)-SUM($C26:AB26))</f>
        <v>0</v>
      </c>
      <c r="AD26" s="29">
        <f>IF(AE26=0,0,IF(DaB!AO26&gt;0,DaB!AP26-DaB!AO26,0))</f>
        <v>0</v>
      </c>
      <c r="AE26" s="33">
        <f>IF(DaB!AQ26&gt;0,DaB!AQ26-DaB!AP26+1,0)</f>
        <v>0</v>
      </c>
      <c r="AF26" s="32">
        <f>IF(AE26=0,0,IF(DaB!AS26&gt;0,DaB!AS26-DaB!AR26+1,0))</f>
        <v>0</v>
      </c>
      <c r="AG26" s="30">
        <f>IF(AE26=0,0,IF(DaB!AT26&gt;0,DaB!AT26-MAX(DaB!AQ26:AS26),0))</f>
        <v>0</v>
      </c>
      <c r="AH26" s="34">
        <f>IF(AJ26=0,0,MIN(DaB!$AV26:$AW26)-SUM($C26:AG26))</f>
        <v>0</v>
      </c>
      <c r="AI26" s="29">
        <f>IF(AJ26=0,0,IF(DaB!AV26&gt;0,DaB!AW26-DaB!AV26,0))</f>
        <v>0</v>
      </c>
      <c r="AJ26" s="33">
        <f>IF(DaB!AX26&gt;0,DaB!AX26-DaB!AW26+1,0)</f>
        <v>0</v>
      </c>
      <c r="AK26" s="32">
        <f>IF(AJ26=0,0,IF(DaB!AZ26&gt;0,DaB!AZ26-DaB!AY26+1,0))</f>
        <v>0</v>
      </c>
      <c r="AL26" s="30">
        <f>IF(AJ26=0,0,IF(DaB!BA26&gt;0,DaB!BA26-MAX(DaB!AX26:AZ26),0))</f>
        <v>0</v>
      </c>
      <c r="AM26" s="34">
        <f>IF(AO26=0,0,MIN(DaB!$BC26:$BD26)-SUM($C26:AL26))</f>
        <v>0</v>
      </c>
      <c r="AN26" s="29">
        <f>IF(AO26=0,0,IF(DaB!BC26&gt;0,DaB!BD26-DaB!BC26,0))</f>
        <v>0</v>
      </c>
      <c r="AO26" s="33">
        <f>IF(DaB!BE26&gt;0,DaB!BE26-DaB!BD26+1,0)</f>
        <v>0</v>
      </c>
      <c r="AP26" s="32">
        <f>IF(AO26=0,0,IF(DaB!BG26&gt;0,DaB!BG26-DaB!BF26+1,0))</f>
        <v>0</v>
      </c>
      <c r="AQ26" s="30">
        <f>IF(AO26=0,0,IF(DaB!BH26&gt;0,DaB!BH26-MAX(DaB!BE26:BG26),0))</f>
        <v>0</v>
      </c>
      <c r="AR26" s="34">
        <f>IF(AT26=0,0,MIN(DaB!$BJ26:$BK26)-SUM($C26:AQ26))</f>
        <v>0</v>
      </c>
      <c r="AS26" s="29">
        <f>IF(AT26=0,0,IF(DaB!BJ26&gt;0,DaB!BK26-DaB!BJ26,0))</f>
        <v>0</v>
      </c>
      <c r="AT26" s="33">
        <f>IF(DaB!BL26&gt;0,DaB!BL26-DaB!BK26+1,0)</f>
        <v>0</v>
      </c>
      <c r="AU26" s="32">
        <f>IF(AT26=0,0,IF(DaB!BN26&gt;0,DaB!BN26-DaB!BM26+1,0))</f>
        <v>0</v>
      </c>
      <c r="AV26" s="30">
        <f>IF(AT26=0,0,IF(DaB!BO26&gt;0,DaB!BO26-MAX(DaB!BL26:BN26),0))</f>
        <v>0</v>
      </c>
      <c r="AW26" s="34">
        <f>IF(AY26=0,0,MIN(DaB!$BQ26:$BR26)-SUM($C26:AV26))</f>
        <v>0</v>
      </c>
      <c r="AX26" s="29">
        <f>IF(AY26=0,0,IF(DaB!BQ26&gt;0,DaB!BR26-DaB!BQ26,0))</f>
        <v>0</v>
      </c>
      <c r="AY26" s="33">
        <f>IF(DaB!BS26&gt;0,DaB!BS26-DaB!BR26+1,0)</f>
        <v>0</v>
      </c>
      <c r="AZ26" s="32">
        <f>IF(AY26=0,0,IF(DaB!BU26&gt;0,DaB!BU26-DaB!BT26+1,0))</f>
        <v>0</v>
      </c>
      <c r="BA26" s="30">
        <f>IF(AY26=0,0,IF(DaB!BV26&gt;0,DaB!BV26-MAX(DaB!BS26:BU26),0))</f>
        <v>0</v>
      </c>
      <c r="BB26" s="34">
        <f>IF(BD26=0,0,MIN(DaB!$BX26:$BY26)-SUM($C26:BA26))</f>
        <v>0</v>
      </c>
      <c r="BC26" s="29">
        <f>IF(BD26=0,0,IF(DaB!BX26&gt;0,DaB!BY26-DaB!BX26,0))</f>
        <v>0</v>
      </c>
      <c r="BD26" s="33">
        <f>IF(DaB!BZ26&gt;0,DaB!BZ26-DaB!BY26+1,0)</f>
        <v>0</v>
      </c>
      <c r="BE26" s="32">
        <f>IF(BD26=0,0,IF(DaB!CB26&gt;0,DaB!CB26-DaB!CA26+1,0))</f>
        <v>0</v>
      </c>
      <c r="BF26" s="30">
        <f>IF(BD26=0,0,IF(DaB!CC26&gt;0,DaB!CC26-MAX(DaB!BZ26:CB26),0))</f>
        <v>0</v>
      </c>
      <c r="BG26" s="34">
        <f>IF(BI26=0,0,MIN(DaB!$CE26:$CF26)-SUM($C26:BF26))</f>
        <v>0</v>
      </c>
      <c r="BH26" s="29">
        <f>IF(BI26=0,0,IF(DaB!CE26&gt;0,DaB!CF26-DaB!CE26,0))</f>
        <v>0</v>
      </c>
      <c r="BI26" s="33">
        <f>IF(DaB!CG26&gt;0,DaB!CG26-DaB!CF26+1,0)</f>
        <v>0</v>
      </c>
      <c r="BJ26" s="32">
        <f>IF(BI26=0,0,IF(DaB!CI26&gt;0,DaB!CI26-DaB!CH26+1,0))</f>
        <v>0</v>
      </c>
      <c r="BK26" s="30">
        <f>IF(BI26=0,0,IF(DaB!CJ26&gt;0,DaB!CJ26-MAX(DaB!CG26:CI26),0))</f>
        <v>0</v>
      </c>
      <c r="BL26" s="34">
        <f>IF(BN26=0,0,MIN(DaB!$CL26:$CM26)-SUM($C26:BK26))</f>
        <v>0</v>
      </c>
      <c r="BM26" s="29">
        <f>IF(BN26=0,0,IF(DaB!CL26&gt;0,DaB!CM26-DaB!CL26,0))</f>
        <v>0</v>
      </c>
      <c r="BN26" s="33">
        <f>IF(DaB!CN26&gt;0,DaB!CN26-DaB!CM26+1,0)</f>
        <v>0</v>
      </c>
      <c r="BO26" s="32">
        <f>IF(BN26=0,0,IF(DaB!CP26&gt;0,DaB!CP26-DaB!CO26+1,0))</f>
        <v>0</v>
      </c>
      <c r="BP26" s="30">
        <f>IF(BN26=0,0,IF(DaB!CQ26&gt;0,DaB!CQ26-MAX(DaB!CN26:CP26),0))</f>
        <v>0</v>
      </c>
      <c r="BQ26" s="34">
        <f>IF(BS26=0,0,MIN(DaB!$CS26:$CT26)-SUM($C26:BP26))</f>
        <v>0</v>
      </c>
      <c r="BR26" s="29">
        <f>IF(BS26=0,0,IF(DaB!CS26&gt;0,DaB!CT26-DaB!CS26,0))</f>
        <v>0</v>
      </c>
      <c r="BS26" s="33">
        <f>IF(DaB!CU26&gt;0,DaB!CU26-DaB!CT26+1,0)</f>
        <v>0</v>
      </c>
      <c r="BT26" s="32">
        <f>IF(BS26=0,0,IF(DaB!CW26&gt;0,DaB!CW26-DaB!CV26+1,0))</f>
        <v>0</v>
      </c>
      <c r="BU26" s="30">
        <f>IF(BS26=0,0,IF(DaB!CX26&gt;0,DaB!CX26-MAX(DaB!CU26:CW26),0))</f>
        <v>0</v>
      </c>
      <c r="BV26" s="34">
        <f>IF(BX26=0,0,MIN(DaB!$CZ26:$DA26)-SUM($C26:BU26))</f>
        <v>0</v>
      </c>
      <c r="BW26" s="29">
        <f>IF(BX26=0,0,IF(DaB!CZ26&gt;0,DaB!DA26-DaB!CZ26,0))</f>
        <v>0</v>
      </c>
      <c r="BX26" s="33">
        <f>IF(DaB!DB26&gt;0,DaB!DB26-DaB!DA26+1,0)</f>
        <v>0</v>
      </c>
      <c r="BY26" s="32">
        <f>IF(BX26=0,0,IF(DaB!DD26&gt;0,DaB!DD26-DaB!DC26+1,0))</f>
        <v>0</v>
      </c>
      <c r="BZ26" s="30">
        <f>IF(BX26=0,0,IF(DaB!DE26&gt;0,DaB!DE26-MAX(DaB!DB26:DD26),0))</f>
        <v>0</v>
      </c>
      <c r="CA26" s="34">
        <f>IF(CC26=0,0,MIN(DaB!$DG26:$DH26)-SUM($C26:BZ26))</f>
        <v>0</v>
      </c>
      <c r="CB26" s="29">
        <f>IF(CC26=0,0,IF(DaB!DG26&gt;0,DaB!DH26-DaB!DG26,0))</f>
        <v>0</v>
      </c>
      <c r="CC26" s="33">
        <f>IF(DaB!DI26&gt;0,DaB!DI26-DaB!DH26+1,0)</f>
        <v>0</v>
      </c>
      <c r="CD26" s="32">
        <f>IF(CC26=0,0,IF(DaB!DK26&gt;0,DaB!DK26-DaB!DJ26+1,0))</f>
        <v>0</v>
      </c>
      <c r="CE26" s="30">
        <f>IF(CC26=0,0,IF(DaB!DL26&gt;0,DaB!DL26-MAX(DaB!DI26:DK26),0))</f>
        <v>0</v>
      </c>
      <c r="CF26" s="34">
        <f>IF(CH26=0,0,MIN(DaB!$DN26:$DO26)-SUM($C26:CE26))</f>
        <v>0</v>
      </c>
      <c r="CG26" s="29">
        <f>IF(CH26=0,0,IF(DaB!DN26&gt;0,DaB!DO26-DaB!DN26,0))</f>
        <v>0</v>
      </c>
      <c r="CH26" s="33">
        <f>IF(DaB!DP26&gt;0,DaB!DP26-DaB!DO26+1,0)</f>
        <v>0</v>
      </c>
      <c r="CI26" s="32">
        <f>IF(CH26=0,0,IF(DaB!DR26&gt;0,DaB!DR26-DaB!DQ26+1,0))</f>
        <v>0</v>
      </c>
      <c r="CJ26" s="30">
        <f>IF(CH26=0,0,IF(DaB!DS26&gt;0,DaB!DS26-MAX(DaB!DP26:DR26),0))</f>
        <v>0</v>
      </c>
      <c r="CK26" s="34">
        <f>IF(CM26=0,0,MIN(DaB!$DU26:$DV26)-SUM($C26:CJ26))</f>
        <v>0</v>
      </c>
      <c r="CL26" s="29">
        <f>IF(CM26=0,0,IF(DaB!DU26&gt;0,DaB!DV26-DaB!DU26,0))</f>
        <v>0</v>
      </c>
      <c r="CM26" s="33">
        <f>IF(DaB!DW26&gt;0,DaB!DW26-DaB!DV26+1,0)</f>
        <v>0</v>
      </c>
      <c r="CN26" s="32">
        <f>IF(CM26=0,0,IF(DaB!DY26&gt;0,DaB!DY26-DaB!DX26+1,0))</f>
        <v>0</v>
      </c>
      <c r="CO26" s="30">
        <f>IF(CM26=0,0,IF(DaB!DZ26&gt;0,DaB!DZ26-MAX(DaB!DW26:DY26),0))</f>
        <v>0</v>
      </c>
      <c r="CP26" s="34">
        <f>IF(CR26=0,0,MIN(DaB!$EB26:$EC26)-SUM($C26:CO26))</f>
        <v>0</v>
      </c>
      <c r="CQ26" s="29">
        <f>IF(CR26=0,0,IF(DaB!EB26&gt;0,DaB!EC26-DaB!EB26,0))</f>
        <v>0</v>
      </c>
      <c r="CR26" s="33">
        <f>IF(DaB!ED26&gt;0,DaB!ED26-DaB!EC26+1,0)</f>
        <v>0</v>
      </c>
      <c r="CS26" s="32">
        <f>IF(CR26=0,0,IF(DaB!EF26&gt;0,DaB!EF26-DaB!EE26+1,0))</f>
        <v>0</v>
      </c>
      <c r="CT26" s="30">
        <f>IF(CR26=0,0,IF(DaB!EG26&gt;0,DaB!EG26-MAX(DaB!ED26:EF26),0))</f>
        <v>0</v>
      </c>
      <c r="CU26" s="34">
        <f>IF(CW26=0,0,MIN(DaB!$EI26:$EJ26)-SUM($C26:CT26))</f>
        <v>0</v>
      </c>
      <c r="CV26" s="29">
        <f>IF(CW26=0,0,IF(DaB!EI26&gt;0,DaB!EJ26-DaB!EI26,0))</f>
        <v>0</v>
      </c>
      <c r="CW26" s="33">
        <f>IF(DaB!EK26&gt;0,DaB!EK26-DaB!EJ26+1,0)</f>
        <v>0</v>
      </c>
      <c r="CX26" s="32">
        <f>IF(CW26=0,0,IF(DaB!EM26&gt;0,DaB!EM26-DaB!EL26+1,0))</f>
        <v>0</v>
      </c>
      <c r="CY26" s="30">
        <f>IF(CW26=0,0,IF(DaB!EN26&gt;0,DaB!EN26-MAX(DaB!EK26:EM26),0))</f>
        <v>0</v>
      </c>
      <c r="DF26" s="2">
        <f t="shared" si="0"/>
        <v>45474</v>
      </c>
      <c r="DG26" s="28">
        <f>IF(MIN(DaB!EU26:EV26)=DF26,0,
IF(MIN(DaB!EU26:EV26)&gt;DF26,MIN(DaB!EU26:EV26)-DF26,0))</f>
        <v>0</v>
      </c>
      <c r="DH26" s="29"/>
      <c r="DI26" s="10"/>
      <c r="DJ26" s="10"/>
      <c r="DK26" s="11"/>
      <c r="DL26" s="11"/>
      <c r="DM26" s="30"/>
      <c r="DN26" s="28"/>
      <c r="DO26" s="29"/>
      <c r="DP26" s="10"/>
      <c r="DQ26" s="10"/>
      <c r="DR26" s="11"/>
      <c r="DS26" s="11"/>
      <c r="DT26" s="30"/>
      <c r="DU26" s="28"/>
      <c r="DV26" s="29"/>
      <c r="DW26" s="10"/>
      <c r="DX26" s="10"/>
      <c r="DY26" s="11"/>
      <c r="DZ26" s="11"/>
      <c r="EA26" s="30"/>
      <c r="EB26" s="28"/>
      <c r="EC26" s="29"/>
      <c r="ED26" s="10"/>
      <c r="EE26" s="10"/>
      <c r="EF26" s="11"/>
      <c r="EG26" s="11"/>
      <c r="EH26" s="30"/>
      <c r="EI26" s="34"/>
      <c r="EJ26" s="29"/>
      <c r="EK26" s="10"/>
      <c r="EL26" s="10"/>
      <c r="EM26" s="30"/>
      <c r="EN26" s="34"/>
      <c r="EO26" s="29"/>
      <c r="EP26" s="47"/>
      <c r="EQ26" s="47"/>
      <c r="ER26" s="30"/>
      <c r="ES26" s="34"/>
      <c r="ET26" s="29"/>
      <c r="EU26" s="47"/>
      <c r="EV26" s="47"/>
      <c r="EW26" s="30"/>
    </row>
    <row r="27" spans="1:153" x14ac:dyDescent="0.2">
      <c r="A27" s="2" t="str">
        <f>DaB!A27</f>
        <v xml:space="preserve">Calendar 11 </v>
      </c>
      <c r="B27" s="2" t="str">
        <f t="shared" si="3"/>
        <v>.</v>
      </c>
      <c r="C27" s="27">
        <f t="shared" si="1"/>
        <v>45474</v>
      </c>
      <c r="D27" s="34">
        <f>IFERROR(MIN(DaB!F27:K27)-C27,0)</f>
        <v>-45474</v>
      </c>
      <c r="E27" s="29">
        <f>IF(F27=0,0,IF(DaB!F27&gt;0,DaB!G27-DaB!F27,0))</f>
        <v>0</v>
      </c>
      <c r="F27" s="33">
        <f>IF(DaB!G27&gt;MAX(DaB!EV27,DaB!FJ27),DaB!H27-DaB!G27+1,
IF(DaB!H27&gt;0,DaB!H27-DaB!G27,0))</f>
        <v>0</v>
      </c>
      <c r="G27" s="32">
        <f>IF(F27=0,0,IF(DaB!J27&gt;0,DaB!J27-DaB!I27+1,0))</f>
        <v>0</v>
      </c>
      <c r="H27" s="30">
        <f>IF(F27=0,0,IF(DaB!K27&gt;0,DaB!K27-MAX(DaB!H27:J27),0))</f>
        <v>0</v>
      </c>
      <c r="I27" s="34">
        <f>IF(K27=0,0,MIN(DaB!$M27:$N27)-SUM($C27:H27))</f>
        <v>0</v>
      </c>
      <c r="J27" s="29">
        <f>IF(K27=0,0,IF(DaB!M27&gt;0,DaB!N27-DaB!M27,0))</f>
        <v>0</v>
      </c>
      <c r="K27" s="33">
        <f>IF(DaB!O27&gt;0,DaB!O27-DaB!N27+1,0)</f>
        <v>0</v>
      </c>
      <c r="L27" s="32">
        <f>IF(K27=0,0,IF(DaB!Q27&gt;0,DaB!Q27-DaB!P27+1,0))</f>
        <v>0</v>
      </c>
      <c r="M27" s="30">
        <f>IF(K27=0,0,IF(DaB!R27&gt;0,DaB!R27-MAX(DaB!O27:Q27),0))</f>
        <v>0</v>
      </c>
      <c r="N27" s="31">
        <f>IF(P27=0,0,MIN(DaB!$T27:$U27)-SUM($C27:M27))</f>
        <v>0</v>
      </c>
      <c r="O27" s="29">
        <f>IF(P27=0,0,IF(DaB!T27&gt;0,DaB!U27-DaB!T27,0))</f>
        <v>0</v>
      </c>
      <c r="P27" s="33">
        <f>IF(DaB!V27&gt;0,DaB!V27-DaB!U27+1,0)</f>
        <v>0</v>
      </c>
      <c r="Q27" s="32">
        <f>IF(P27=0,0,IF(DaB!X27&gt;0,DaB!X27-DaB!W27+1,0))</f>
        <v>0</v>
      </c>
      <c r="R27" s="30">
        <f>IF(P27=0,0,IF(DaB!Y27&gt;0,DaB!Y27-MAX(DaB!V27:X27),0))</f>
        <v>0</v>
      </c>
      <c r="S27" s="34">
        <f>IF(U27=0,0,MIN(DaB!$AA27:$AB27)-SUM($C27:R27))</f>
        <v>0</v>
      </c>
      <c r="T27" s="29">
        <f>IF(U27=0,0,IF(DaB!AA27&gt;0,DaB!AB27-DaB!AA27,0))</f>
        <v>0</v>
      </c>
      <c r="U27" s="33">
        <f>IF(DaB!AC27&gt;0,DaB!AC27-DaB!AB27+1,0)</f>
        <v>0</v>
      </c>
      <c r="V27" s="32">
        <f>IF(U27=0,0,IF(DaB!AE27&gt;0,DaB!AE27-DaB!AD27+1,0))</f>
        <v>0</v>
      </c>
      <c r="W27" s="30">
        <f>IF(U27=0,0,IF(DaB!AF27&gt;0,DaB!AF27-MAX(DaB!AC27:AE27),0))</f>
        <v>0</v>
      </c>
      <c r="X27" s="34">
        <f>IF(Z27=0,0,MIN(DaB!$AH27:$AI27)-SUM($C27:W27))</f>
        <v>0</v>
      </c>
      <c r="Y27" s="29">
        <f>IF(Z27=0,0,IF(DaB!AH27&gt;0,DaB!AI27-DaB!AH27,0))</f>
        <v>0</v>
      </c>
      <c r="Z27" s="33">
        <f>IF(DaB!AJ27&gt;0,DaB!AJ27-DaB!AI27+1,0)</f>
        <v>0</v>
      </c>
      <c r="AA27" s="32">
        <f>IF(Z27=0,0,IF(DaB!AL27&gt;0,DaB!AL27-DaB!AK27+1,0))</f>
        <v>0</v>
      </c>
      <c r="AB27" s="30">
        <f>IF(Z27=0,0,IF(DaB!AM27&gt;0,DaB!AM27-MAX(DaB!AJ27:AL27),0))</f>
        <v>0</v>
      </c>
      <c r="AC27" s="34">
        <f>IF(AE27=0,0,MIN(DaB!$AO27:$AP27)-SUM($C27:AB27))</f>
        <v>0</v>
      </c>
      <c r="AD27" s="29">
        <f>IF(AE27=0,0,IF(DaB!AO27&gt;0,DaB!AP27-DaB!AO27,0))</f>
        <v>0</v>
      </c>
      <c r="AE27" s="33">
        <f>IF(DaB!AQ27&gt;0,DaB!AQ27-DaB!AP27+1,0)</f>
        <v>0</v>
      </c>
      <c r="AF27" s="32">
        <f>IF(AE27=0,0,IF(DaB!AS27&gt;0,DaB!AS27-DaB!AR27+1,0))</f>
        <v>0</v>
      </c>
      <c r="AG27" s="30">
        <f>IF(AE27=0,0,IF(DaB!AT27&gt;0,DaB!AT27-MAX(DaB!AQ27:AS27),0))</f>
        <v>0</v>
      </c>
      <c r="AH27" s="34">
        <f>IF(AJ27=0,0,MIN(DaB!$AV27:$AW27)-SUM($C27:AG27))</f>
        <v>0</v>
      </c>
      <c r="AI27" s="29">
        <f>IF(AJ27=0,0,IF(DaB!AV27&gt;0,DaB!AW27-DaB!AV27,0))</f>
        <v>0</v>
      </c>
      <c r="AJ27" s="33">
        <f>IF(DaB!AX27&gt;0,DaB!AX27-DaB!AW27+1,0)</f>
        <v>0</v>
      </c>
      <c r="AK27" s="32">
        <f>IF(AJ27=0,0,IF(DaB!AZ27&gt;0,DaB!AZ27-DaB!AY27+1,0))</f>
        <v>0</v>
      </c>
      <c r="AL27" s="30">
        <f>IF(AJ27=0,0,IF(DaB!BA27&gt;0,DaB!BA27-MAX(DaB!AX27:AZ27),0))</f>
        <v>0</v>
      </c>
      <c r="AM27" s="34">
        <f>IF(AO27=0,0,MIN(DaB!$BC27:$BD27)-SUM($C27:AL27))</f>
        <v>0</v>
      </c>
      <c r="AN27" s="29">
        <f>IF(AO27=0,0,IF(DaB!BC27&gt;0,DaB!BD27-DaB!BC27,0))</f>
        <v>0</v>
      </c>
      <c r="AO27" s="33">
        <f>IF(DaB!BE27&gt;0,DaB!BE27-DaB!BD27+1,0)</f>
        <v>0</v>
      </c>
      <c r="AP27" s="32">
        <f>IF(AO27=0,0,IF(DaB!BG27&gt;0,DaB!BG27-DaB!BF27+1,0))</f>
        <v>0</v>
      </c>
      <c r="AQ27" s="30">
        <f>IF(AO27=0,0,IF(DaB!BH27&gt;0,DaB!BH27-MAX(DaB!BE27:BG27),0))</f>
        <v>0</v>
      </c>
      <c r="AR27" s="34">
        <f>IF(AT27=0,0,MIN(DaB!$BJ27:$BK27)-SUM($C27:AQ27))</f>
        <v>0</v>
      </c>
      <c r="AS27" s="29">
        <f>IF(AT27=0,0,IF(DaB!BJ27&gt;0,DaB!BK27-DaB!BJ27,0))</f>
        <v>0</v>
      </c>
      <c r="AT27" s="33">
        <f>IF(DaB!BL27&gt;0,DaB!BL27-DaB!BK27+1,0)</f>
        <v>0</v>
      </c>
      <c r="AU27" s="32">
        <f>IF(AT27=0,0,IF(DaB!BN27&gt;0,DaB!BN27-DaB!BM27+1,0))</f>
        <v>0</v>
      </c>
      <c r="AV27" s="30">
        <f>IF(AT27=0,0,IF(DaB!BO27&gt;0,DaB!BO27-MAX(DaB!BL27:BN27),0))</f>
        <v>0</v>
      </c>
      <c r="AW27" s="34">
        <f>IF(AY27=0,0,MIN(DaB!$BQ27:$BR27)-SUM($C27:AV27))</f>
        <v>0</v>
      </c>
      <c r="AX27" s="29">
        <f>IF(AY27=0,0,IF(DaB!BQ27&gt;0,DaB!BR27-DaB!BQ27,0))</f>
        <v>0</v>
      </c>
      <c r="AY27" s="33">
        <f>IF(DaB!BS27&gt;0,DaB!BS27-DaB!BR27+1,0)</f>
        <v>0</v>
      </c>
      <c r="AZ27" s="32">
        <f>IF(AY27=0,0,IF(DaB!BU27&gt;0,DaB!BU27-DaB!BT27+1,0))</f>
        <v>0</v>
      </c>
      <c r="BA27" s="30">
        <f>IF(AY27=0,0,IF(DaB!BV27&gt;0,DaB!BV27-MAX(DaB!BS27:BU27),0))</f>
        <v>0</v>
      </c>
      <c r="BB27" s="34">
        <f>IF(BD27=0,0,MIN(DaB!$BX27:$BY27)-SUM($C27:BA27))</f>
        <v>0</v>
      </c>
      <c r="BC27" s="29">
        <f>IF(BD27=0,0,IF(DaB!BX27&gt;0,DaB!BY27-DaB!BX27,0))</f>
        <v>0</v>
      </c>
      <c r="BD27" s="33">
        <f>IF(DaB!BZ27&gt;0,DaB!BZ27-DaB!BY27+1,0)</f>
        <v>0</v>
      </c>
      <c r="BE27" s="32">
        <f>IF(BD27=0,0,IF(DaB!CB27&gt;0,DaB!CB27-DaB!CA27+1,0))</f>
        <v>0</v>
      </c>
      <c r="BF27" s="30">
        <f>IF(BD27=0,0,IF(DaB!CC27&gt;0,DaB!CC27-MAX(DaB!BZ27:CB27),0))</f>
        <v>0</v>
      </c>
      <c r="BG27" s="34">
        <f>IF(BI27=0,0,MIN(DaB!$CE27:$CF27)-SUM($C27:BF27))</f>
        <v>0</v>
      </c>
      <c r="BH27" s="29">
        <f>IF(BI27=0,0,IF(DaB!CE27&gt;0,DaB!CF27-DaB!CE27,0))</f>
        <v>0</v>
      </c>
      <c r="BI27" s="33">
        <f>IF(DaB!CG27&gt;0,DaB!CG27-DaB!CF27+1,0)</f>
        <v>0</v>
      </c>
      <c r="BJ27" s="32">
        <f>IF(BI27=0,0,IF(DaB!CI27&gt;0,DaB!CI27-DaB!CH27+1,0))</f>
        <v>0</v>
      </c>
      <c r="BK27" s="30">
        <f>IF(BI27=0,0,IF(DaB!CJ27&gt;0,DaB!CJ27-MAX(DaB!CG27:CI27),0))</f>
        <v>0</v>
      </c>
      <c r="BL27" s="34">
        <f>IF(BN27=0,0,MIN(DaB!$CL27:$CM27)-SUM($C27:BK27))</f>
        <v>0</v>
      </c>
      <c r="BM27" s="29">
        <f>IF(BN27=0,0,IF(DaB!CL27&gt;0,DaB!CM27-DaB!CL27,0))</f>
        <v>0</v>
      </c>
      <c r="BN27" s="33">
        <f>IF(DaB!CN27&gt;0,DaB!CN27-DaB!CM27+1,0)</f>
        <v>0</v>
      </c>
      <c r="BO27" s="32">
        <f>IF(BN27=0,0,IF(DaB!CP27&gt;0,DaB!CP27-DaB!CO27+1,0))</f>
        <v>0</v>
      </c>
      <c r="BP27" s="30">
        <f>IF(BN27=0,0,IF(DaB!CQ27&gt;0,DaB!CQ27-MAX(DaB!CN27:CP27),0))</f>
        <v>0</v>
      </c>
      <c r="BQ27" s="34">
        <f>IF(BS27=0,0,MIN(DaB!$CS27:$CT27)-SUM($C27:BP27))</f>
        <v>0</v>
      </c>
      <c r="BR27" s="29">
        <f>IF(BS27=0,0,IF(DaB!CS27&gt;0,DaB!CT27-DaB!CS27,0))</f>
        <v>0</v>
      </c>
      <c r="BS27" s="33">
        <f>IF(DaB!CU27&gt;0,DaB!CU27-DaB!CT27+1,0)</f>
        <v>0</v>
      </c>
      <c r="BT27" s="32">
        <f>IF(BS27=0,0,IF(DaB!CW27&gt;0,DaB!CW27-DaB!CV27+1,0))</f>
        <v>0</v>
      </c>
      <c r="BU27" s="30">
        <f>IF(BS27=0,0,IF(DaB!CX27&gt;0,DaB!CX27-MAX(DaB!CU27:CW27),0))</f>
        <v>0</v>
      </c>
      <c r="BV27" s="34">
        <f>IF(BX27=0,0,MIN(DaB!$CZ27:$DA27)-SUM($C27:BU27))</f>
        <v>0</v>
      </c>
      <c r="BW27" s="29">
        <f>IF(BX27=0,0,IF(DaB!CZ27&gt;0,DaB!DA27-DaB!CZ27,0))</f>
        <v>0</v>
      </c>
      <c r="BX27" s="33">
        <f>IF(DaB!DB27&gt;0,DaB!DB27-DaB!DA27+1,0)</f>
        <v>0</v>
      </c>
      <c r="BY27" s="32">
        <f>IF(BX27=0,0,IF(DaB!DD27&gt;0,DaB!DD27-DaB!DC27+1,0))</f>
        <v>0</v>
      </c>
      <c r="BZ27" s="30">
        <f>IF(BX27=0,0,IF(DaB!DE27&gt;0,DaB!DE27-MAX(DaB!DB27:DD27),0))</f>
        <v>0</v>
      </c>
      <c r="CA27" s="34">
        <f>IF(CC27=0,0,MIN(DaB!$DG27:$DH27)-SUM($C27:BZ27))</f>
        <v>0</v>
      </c>
      <c r="CB27" s="29">
        <f>IF(CC27=0,0,IF(DaB!DG27&gt;0,DaB!DH27-DaB!DG27,0))</f>
        <v>0</v>
      </c>
      <c r="CC27" s="33">
        <f>IF(DaB!DI27&gt;0,DaB!DI27-DaB!DH27+1,0)</f>
        <v>0</v>
      </c>
      <c r="CD27" s="32">
        <f>IF(CC27=0,0,IF(DaB!DK27&gt;0,DaB!DK27-DaB!DJ27+1,0))</f>
        <v>0</v>
      </c>
      <c r="CE27" s="30">
        <f>IF(CC27=0,0,IF(DaB!DL27&gt;0,DaB!DL27-MAX(DaB!DI27:DK27),0))</f>
        <v>0</v>
      </c>
      <c r="CF27" s="34">
        <f>IF(CH27=0,0,MIN(DaB!$DN27:$DO27)-SUM($C27:CE27))</f>
        <v>0</v>
      </c>
      <c r="CG27" s="29">
        <f>IF(CH27=0,0,IF(DaB!DN27&gt;0,DaB!DO27-DaB!DN27,0))</f>
        <v>0</v>
      </c>
      <c r="CH27" s="33">
        <f>IF(DaB!DP27&gt;0,DaB!DP27-DaB!DO27+1,0)</f>
        <v>0</v>
      </c>
      <c r="CI27" s="32">
        <f>IF(CH27=0,0,IF(DaB!DR27&gt;0,DaB!DR27-DaB!DQ27+1,0))</f>
        <v>0</v>
      </c>
      <c r="CJ27" s="30">
        <f>IF(CH27=0,0,IF(DaB!DS27&gt;0,DaB!DS27-MAX(DaB!DP27:DR27),0))</f>
        <v>0</v>
      </c>
      <c r="CK27" s="34">
        <f>IF(CM27=0,0,MIN(DaB!$DU27:$DV27)-SUM($C27:CJ27))</f>
        <v>0</v>
      </c>
      <c r="CL27" s="29">
        <f>IF(CM27=0,0,IF(DaB!DU27&gt;0,DaB!DV27-DaB!DU27,0))</f>
        <v>0</v>
      </c>
      <c r="CM27" s="33">
        <f>IF(DaB!DW27&gt;0,DaB!DW27-DaB!DV27+1,0)</f>
        <v>0</v>
      </c>
      <c r="CN27" s="32">
        <f>IF(CM27=0,0,IF(DaB!DY27&gt;0,DaB!DY27-DaB!DX27+1,0))</f>
        <v>0</v>
      </c>
      <c r="CO27" s="30">
        <f>IF(CM27=0,0,IF(DaB!DZ27&gt;0,DaB!DZ27-MAX(DaB!DW27:DY27),0))</f>
        <v>0</v>
      </c>
      <c r="CP27" s="34">
        <f>IF(CR27=0,0,MIN(DaB!$EB27:$EC27)-SUM($C27:CO27))</f>
        <v>0</v>
      </c>
      <c r="CQ27" s="29">
        <f>IF(CR27=0,0,IF(DaB!EB27&gt;0,DaB!EC27-DaB!EB27,0))</f>
        <v>0</v>
      </c>
      <c r="CR27" s="33">
        <f>IF(DaB!ED27&gt;0,DaB!ED27-DaB!EC27+1,0)</f>
        <v>0</v>
      </c>
      <c r="CS27" s="32">
        <f>IF(CR27=0,0,IF(DaB!EF27&gt;0,DaB!EF27-DaB!EE27+1,0))</f>
        <v>0</v>
      </c>
      <c r="CT27" s="30">
        <f>IF(CR27=0,0,IF(DaB!EG27&gt;0,DaB!EG27-MAX(DaB!ED27:EF27),0))</f>
        <v>0</v>
      </c>
      <c r="CU27" s="34">
        <f>IF(CW27=0,0,MIN(DaB!$EI27:$EJ27)-SUM($C27:CT27))</f>
        <v>0</v>
      </c>
      <c r="CV27" s="29">
        <f>IF(CW27=0,0,IF(DaB!EI27&gt;0,DaB!EJ27-DaB!EI27,0))</f>
        <v>0</v>
      </c>
      <c r="CW27" s="33">
        <f>IF(DaB!EK27&gt;0,DaB!EK27-DaB!EJ27+1,0)</f>
        <v>0</v>
      </c>
      <c r="CX27" s="32">
        <f>IF(CW27=0,0,IF(DaB!EM27&gt;0,DaB!EM27-DaB!EL27+1,0))</f>
        <v>0</v>
      </c>
      <c r="CY27" s="30">
        <f>IF(CW27=0,0,IF(DaB!EN27&gt;0,DaB!EN27-MAX(DaB!EK27:EM27),0))</f>
        <v>0</v>
      </c>
      <c r="DF27" s="2">
        <f t="shared" si="0"/>
        <v>45474</v>
      </c>
      <c r="DG27" s="28">
        <f>IF(MIN(DaB!EU27:EV27)=DF27,0,
IF(MIN(DaB!EU27:EV27)&gt;DF27,MIN(DaB!EU27:EV27)-DF27,0))</f>
        <v>0</v>
      </c>
      <c r="DH27" s="29"/>
      <c r="DI27" s="10"/>
      <c r="DJ27" s="10"/>
      <c r="DK27" s="11"/>
      <c r="DL27" s="11"/>
      <c r="DM27" s="30"/>
      <c r="DN27" s="28"/>
      <c r="DO27" s="29"/>
      <c r="DP27" s="10"/>
      <c r="DQ27" s="10"/>
      <c r="DR27" s="11"/>
      <c r="DS27" s="11"/>
      <c r="DT27" s="30"/>
      <c r="DU27" s="28"/>
      <c r="DV27" s="29"/>
      <c r="DW27" s="10"/>
      <c r="DX27" s="10"/>
      <c r="DY27" s="11"/>
      <c r="DZ27" s="11"/>
      <c r="EA27" s="30"/>
      <c r="EB27" s="28"/>
      <c r="EC27" s="29"/>
      <c r="ED27" s="10"/>
      <c r="EE27" s="10"/>
      <c r="EF27" s="11"/>
      <c r="EG27" s="11"/>
      <c r="EH27" s="30"/>
      <c r="EI27" s="34"/>
      <c r="EJ27" s="29"/>
      <c r="EK27" s="10"/>
      <c r="EL27" s="10"/>
      <c r="EM27" s="30"/>
      <c r="EN27" s="34"/>
      <c r="EO27" s="29"/>
      <c r="EP27" s="47"/>
      <c r="EQ27" s="47"/>
      <c r="ER27" s="30"/>
      <c r="ES27" s="34"/>
      <c r="ET27" s="29"/>
      <c r="EU27" s="47"/>
      <c r="EV27" s="47"/>
      <c r="EW27" s="30"/>
    </row>
    <row r="28" spans="1:153" x14ac:dyDescent="0.2">
      <c r="A28" s="2" t="str">
        <f>DaB!A28</f>
        <v>Calendar 12</v>
      </c>
      <c r="B28" s="2" t="str">
        <f t="shared" si="3"/>
        <v>.</v>
      </c>
      <c r="C28" s="27">
        <f t="shared" si="1"/>
        <v>45474</v>
      </c>
      <c r="D28" s="34">
        <f>IFERROR(MIN(DaB!F28:K28)-C28,0)</f>
        <v>-45474</v>
      </c>
      <c r="E28" s="29">
        <f>IF(F28=0,0,IF(DaB!F28&gt;0,DaB!G28-DaB!F28,0))</f>
        <v>0</v>
      </c>
      <c r="F28" s="33">
        <f>IF(DaB!G28&gt;MAX(DaB!EV28,DaB!FJ28),DaB!H28-DaB!G28+1,
IF(DaB!H28&gt;0,DaB!H28-DaB!G28,0))</f>
        <v>0</v>
      </c>
      <c r="G28" s="32">
        <f>IF(F28=0,0,IF(DaB!J28&gt;0,DaB!J28-DaB!I28+1,0))</f>
        <v>0</v>
      </c>
      <c r="H28" s="30">
        <f>IF(F28=0,0,IF(DaB!K28&gt;0,DaB!K28-MAX(DaB!H28:J28),0))</f>
        <v>0</v>
      </c>
      <c r="I28" s="34">
        <f>IF(K28=0,0,MIN(DaB!$M28:$N28)-SUM($C28:H28))</f>
        <v>0</v>
      </c>
      <c r="J28" s="29">
        <f>IF(K28=0,0,IF(DaB!M28&gt;0,DaB!N28-DaB!M28,0))</f>
        <v>0</v>
      </c>
      <c r="K28" s="33">
        <f>IF(DaB!O28&gt;0,DaB!O28-DaB!N28+1,0)</f>
        <v>0</v>
      </c>
      <c r="L28" s="32">
        <f>IF(K28=0,0,IF(DaB!Q28&gt;0,DaB!Q28-DaB!P28+1,0))</f>
        <v>0</v>
      </c>
      <c r="M28" s="30">
        <f>IF(K28=0,0,IF(DaB!R28&gt;0,DaB!R28-MAX(DaB!O28:Q28),0))</f>
        <v>0</v>
      </c>
      <c r="N28" s="31">
        <f>IF(P28=0,0,MIN(DaB!$T28:$U28)-SUM($C28:M28))</f>
        <v>0</v>
      </c>
      <c r="O28" s="29">
        <f>IF(P28=0,0,IF(DaB!T28&gt;0,DaB!U28-DaB!T28,0))</f>
        <v>0</v>
      </c>
      <c r="P28" s="33">
        <f>IF(DaB!V28&gt;0,DaB!V28-DaB!U28+1,0)</f>
        <v>0</v>
      </c>
      <c r="Q28" s="32">
        <f>IF(P28=0,0,IF(DaB!X28&gt;0,DaB!X28-DaB!W28+1,0))</f>
        <v>0</v>
      </c>
      <c r="R28" s="30">
        <f>IF(P28=0,0,IF(DaB!Y28&gt;0,DaB!Y28-MAX(DaB!V28:X28),0))</f>
        <v>0</v>
      </c>
      <c r="S28" s="34">
        <f>IF(U28=0,0,MIN(DaB!$AA28:$AB28)-SUM($C28:R28))</f>
        <v>0</v>
      </c>
      <c r="T28" s="29">
        <f>IF(U28=0,0,IF(DaB!AA28&gt;0,DaB!AB28-DaB!AA28,0))</f>
        <v>0</v>
      </c>
      <c r="U28" s="33">
        <f>IF(DaB!AC28&gt;0,DaB!AC28-DaB!AB28+1,0)</f>
        <v>0</v>
      </c>
      <c r="V28" s="32">
        <f>IF(U28=0,0,IF(DaB!AE28&gt;0,DaB!AE28-DaB!AD28+1,0))</f>
        <v>0</v>
      </c>
      <c r="W28" s="30">
        <f>IF(U28=0,0,IF(DaB!AF28&gt;0,DaB!AF28-MAX(DaB!AC28:AE28),0))</f>
        <v>0</v>
      </c>
      <c r="X28" s="34">
        <f>IF(Z28=0,0,MIN(DaB!$AH28:$AI28)-SUM($C28:W28))</f>
        <v>0</v>
      </c>
      <c r="Y28" s="29">
        <f>IF(Z28=0,0,IF(DaB!AH28&gt;0,DaB!AI28-DaB!AH28,0))</f>
        <v>0</v>
      </c>
      <c r="Z28" s="33">
        <f>IF(DaB!AJ28&gt;0,DaB!AJ28-DaB!AI28+1,0)</f>
        <v>0</v>
      </c>
      <c r="AA28" s="32">
        <f>IF(Z28=0,0,IF(DaB!AL28&gt;0,DaB!AL28-DaB!AK28+1,0))</f>
        <v>0</v>
      </c>
      <c r="AB28" s="30">
        <f>IF(Z28=0,0,IF(DaB!AM28&gt;0,DaB!AM28-MAX(DaB!AJ28:AL28),0))</f>
        <v>0</v>
      </c>
      <c r="AC28" s="34">
        <f>IF(AE28=0,0,MIN(DaB!$AO28:$AP28)-SUM($C28:AB28))</f>
        <v>0</v>
      </c>
      <c r="AD28" s="29">
        <f>IF(AE28=0,0,IF(DaB!AO28&gt;0,DaB!AP28-DaB!AO28,0))</f>
        <v>0</v>
      </c>
      <c r="AE28" s="33">
        <f>IF(DaB!AQ28&gt;0,DaB!AQ28-DaB!AP28+1,0)</f>
        <v>0</v>
      </c>
      <c r="AF28" s="32">
        <f>IF(AE28=0,0,IF(DaB!AS28&gt;0,DaB!AS28-DaB!AR28+1,0))</f>
        <v>0</v>
      </c>
      <c r="AG28" s="30">
        <f>IF(AE28=0,0,IF(DaB!AT28&gt;0,DaB!AT28-MAX(DaB!AQ28:AS28),0))</f>
        <v>0</v>
      </c>
      <c r="AH28" s="34">
        <f>IF(AJ28=0,0,MIN(DaB!$AV28:$AW28)-SUM($C28:AG28))</f>
        <v>0</v>
      </c>
      <c r="AI28" s="29">
        <f>IF(AJ28=0,0,IF(DaB!AV28&gt;0,DaB!AW28-DaB!AV28,0))</f>
        <v>0</v>
      </c>
      <c r="AJ28" s="33">
        <f>IF(DaB!AX28&gt;0,DaB!AX28-DaB!AW28+1,0)</f>
        <v>0</v>
      </c>
      <c r="AK28" s="32">
        <f>IF(AJ28=0,0,IF(DaB!AZ28&gt;0,DaB!AZ28-DaB!AY28+1,0))</f>
        <v>0</v>
      </c>
      <c r="AL28" s="30">
        <f>IF(AJ28=0,0,IF(DaB!BA28&gt;0,DaB!BA28-MAX(DaB!AX28:AZ28),0))</f>
        <v>0</v>
      </c>
      <c r="AM28" s="34">
        <f>IF(AO28=0,0,MIN(DaB!$BC28:$BD28)-SUM($C28:AL28))</f>
        <v>0</v>
      </c>
      <c r="AN28" s="29">
        <f>IF(AO28=0,0,IF(DaB!BC28&gt;0,DaB!BD28-DaB!BC28,0))</f>
        <v>0</v>
      </c>
      <c r="AO28" s="33">
        <f>IF(DaB!BE28&gt;0,DaB!BE28-DaB!BD28+1,0)</f>
        <v>0</v>
      </c>
      <c r="AP28" s="32">
        <f>IF(AO28=0,0,IF(DaB!BG28&gt;0,DaB!BG28-DaB!BF28+1,0))</f>
        <v>0</v>
      </c>
      <c r="AQ28" s="30">
        <f>IF(AO28=0,0,IF(DaB!BH28&gt;0,DaB!BH28-MAX(DaB!BE28:BG28),0))</f>
        <v>0</v>
      </c>
      <c r="AR28" s="34">
        <f>IF(AT28=0,0,MIN(DaB!$BJ28:$BK28)-SUM($C28:AQ28))</f>
        <v>0</v>
      </c>
      <c r="AS28" s="29">
        <f>IF(AT28=0,0,IF(DaB!BJ28&gt;0,DaB!BK28-DaB!BJ28,0))</f>
        <v>0</v>
      </c>
      <c r="AT28" s="33">
        <f>IF(DaB!BL28&gt;0,DaB!BL28-DaB!BK28+1,0)</f>
        <v>0</v>
      </c>
      <c r="AU28" s="32">
        <f>IF(AT28=0,0,IF(DaB!BN28&gt;0,DaB!BN28-DaB!BM28+1,0))</f>
        <v>0</v>
      </c>
      <c r="AV28" s="30">
        <f>IF(AT28=0,0,IF(DaB!BO28&gt;0,DaB!BO28-MAX(DaB!BL28:BN28),0))</f>
        <v>0</v>
      </c>
      <c r="AW28" s="34">
        <f>IF(AY28=0,0,MIN(DaB!$BQ28:$BR28)-SUM($C28:AV28))</f>
        <v>0</v>
      </c>
      <c r="AX28" s="29">
        <f>IF(AY28=0,0,IF(DaB!BQ28&gt;0,DaB!BR28-DaB!BQ28,0))</f>
        <v>0</v>
      </c>
      <c r="AY28" s="33">
        <f>IF(DaB!BS28&gt;0,DaB!BS28-DaB!BR28+1,0)</f>
        <v>0</v>
      </c>
      <c r="AZ28" s="32">
        <f>IF(AY28=0,0,IF(DaB!BU28&gt;0,DaB!BU28-DaB!BT28+1,0))</f>
        <v>0</v>
      </c>
      <c r="BA28" s="30">
        <f>IF(AY28=0,0,IF(DaB!BV28&gt;0,DaB!BV28-MAX(DaB!BS28:BU28),0))</f>
        <v>0</v>
      </c>
      <c r="BB28" s="34">
        <f>IF(BD28=0,0,MIN(DaB!$BX28:$BY28)-SUM($C28:BA28))</f>
        <v>0</v>
      </c>
      <c r="BC28" s="29">
        <f>IF(BD28=0,0,IF(DaB!BX28&gt;0,DaB!BY28-DaB!BX28,0))</f>
        <v>0</v>
      </c>
      <c r="BD28" s="33">
        <f>IF(DaB!BZ28&gt;0,DaB!BZ28-DaB!BY28+1,0)</f>
        <v>0</v>
      </c>
      <c r="BE28" s="32">
        <f>IF(BD28=0,0,IF(DaB!CB28&gt;0,DaB!CB28-DaB!CA28+1,0))</f>
        <v>0</v>
      </c>
      <c r="BF28" s="30">
        <f>IF(BD28=0,0,IF(DaB!CC28&gt;0,DaB!CC28-MAX(DaB!BZ28:CB28),0))</f>
        <v>0</v>
      </c>
      <c r="BG28" s="34">
        <f>IF(BI28=0,0,MIN(DaB!$CE28:$CF28)-SUM($C28:BF28))</f>
        <v>0</v>
      </c>
      <c r="BH28" s="29">
        <f>IF(BI28=0,0,IF(DaB!CE28&gt;0,DaB!CF28-DaB!CE28,0))</f>
        <v>0</v>
      </c>
      <c r="BI28" s="33">
        <f>IF(DaB!CG28&gt;0,DaB!CG28-DaB!CF28+1,0)</f>
        <v>0</v>
      </c>
      <c r="BJ28" s="32">
        <f>IF(BI28=0,0,IF(DaB!CI28&gt;0,DaB!CI28-DaB!CH28+1,0))</f>
        <v>0</v>
      </c>
      <c r="BK28" s="30">
        <f>IF(BI28=0,0,IF(DaB!CJ28&gt;0,DaB!CJ28-MAX(DaB!CG28:CI28),0))</f>
        <v>0</v>
      </c>
      <c r="BL28" s="34">
        <f>IF(BN28=0,0,MIN(DaB!$CL28:$CM28)-SUM($C28:BK28))</f>
        <v>0</v>
      </c>
      <c r="BM28" s="29">
        <f>IF(BN28=0,0,IF(DaB!CL28&gt;0,DaB!CM28-DaB!CL28,0))</f>
        <v>0</v>
      </c>
      <c r="BN28" s="33">
        <f>IF(DaB!CN28&gt;0,DaB!CN28-DaB!CM28+1,0)</f>
        <v>0</v>
      </c>
      <c r="BO28" s="32">
        <f>IF(BN28=0,0,IF(DaB!CP28&gt;0,DaB!CP28-DaB!CO28+1,0))</f>
        <v>0</v>
      </c>
      <c r="BP28" s="30">
        <f>IF(BN28=0,0,IF(DaB!CQ28&gt;0,DaB!CQ28-MAX(DaB!CN28:CP28),0))</f>
        <v>0</v>
      </c>
      <c r="BQ28" s="34">
        <f>IF(BS28=0,0,MIN(DaB!$CS28:$CT28)-SUM($C28:BP28))</f>
        <v>0</v>
      </c>
      <c r="BR28" s="29">
        <f>IF(BS28=0,0,IF(DaB!CS28&gt;0,DaB!CT28-DaB!CS28,0))</f>
        <v>0</v>
      </c>
      <c r="BS28" s="33">
        <f>IF(DaB!CU28&gt;0,DaB!CU28-DaB!CT28+1,0)</f>
        <v>0</v>
      </c>
      <c r="BT28" s="32">
        <f>IF(BS28=0,0,IF(DaB!CW28&gt;0,DaB!CW28-DaB!CV28+1,0))</f>
        <v>0</v>
      </c>
      <c r="BU28" s="30">
        <f>IF(BS28=0,0,IF(DaB!CX28&gt;0,DaB!CX28-MAX(DaB!CU28:CW28),0))</f>
        <v>0</v>
      </c>
      <c r="BV28" s="34">
        <f>IF(BX28=0,0,MIN(DaB!$CZ28:$DA28)-SUM($C28:BU28))</f>
        <v>0</v>
      </c>
      <c r="BW28" s="29">
        <f>IF(BX28=0,0,IF(DaB!CZ28&gt;0,DaB!DA28-DaB!CZ28,0))</f>
        <v>0</v>
      </c>
      <c r="BX28" s="33">
        <f>IF(DaB!DB28&gt;0,DaB!DB28-DaB!DA28+1,0)</f>
        <v>0</v>
      </c>
      <c r="BY28" s="32">
        <f>IF(BX28=0,0,IF(DaB!DD28&gt;0,DaB!DD28-DaB!DC28+1,0))</f>
        <v>0</v>
      </c>
      <c r="BZ28" s="30">
        <f>IF(BX28=0,0,IF(DaB!DE28&gt;0,DaB!DE28-MAX(DaB!DB28:DD28),0))</f>
        <v>0</v>
      </c>
      <c r="CA28" s="34">
        <f>IF(CC28=0,0,MIN(DaB!$DG28:$DH28)-SUM($C28:BZ28))</f>
        <v>0</v>
      </c>
      <c r="CB28" s="29">
        <f>IF(CC28=0,0,IF(DaB!DG28&gt;0,DaB!DH28-DaB!DG28,0))</f>
        <v>0</v>
      </c>
      <c r="CC28" s="33">
        <f>IF(DaB!DI28&gt;0,DaB!DI28-DaB!DH28+1,0)</f>
        <v>0</v>
      </c>
      <c r="CD28" s="32">
        <f>IF(CC28=0,0,IF(DaB!DK28&gt;0,DaB!DK28-DaB!DJ28+1,0))</f>
        <v>0</v>
      </c>
      <c r="CE28" s="30">
        <f>IF(CC28=0,0,IF(DaB!DL28&gt;0,DaB!DL28-MAX(DaB!DI28:DK28),0))</f>
        <v>0</v>
      </c>
      <c r="CF28" s="34">
        <f>IF(CH28=0,0,MIN(DaB!$DN28:$DO28)-SUM($C28:CE28))</f>
        <v>0</v>
      </c>
      <c r="CG28" s="29">
        <f>IF(CH28=0,0,IF(DaB!DN28&gt;0,DaB!DO28-DaB!DN28,0))</f>
        <v>0</v>
      </c>
      <c r="CH28" s="33">
        <f>IF(DaB!DP28&gt;0,DaB!DP28-DaB!DO28+1,0)</f>
        <v>0</v>
      </c>
      <c r="CI28" s="32">
        <f>IF(CH28=0,0,IF(DaB!DR28&gt;0,DaB!DR28-DaB!DQ28+1,0))</f>
        <v>0</v>
      </c>
      <c r="CJ28" s="30">
        <f>IF(CH28=0,0,IF(DaB!DS28&gt;0,DaB!DS28-MAX(DaB!DP28:DR28),0))</f>
        <v>0</v>
      </c>
      <c r="CK28" s="34">
        <f>IF(CM28=0,0,MIN(DaB!$DU28:$DV28)-SUM($C28:CJ28))</f>
        <v>0</v>
      </c>
      <c r="CL28" s="29">
        <f>IF(CM28=0,0,IF(DaB!DU28&gt;0,DaB!DV28-DaB!DU28,0))</f>
        <v>0</v>
      </c>
      <c r="CM28" s="33">
        <f>IF(DaB!DW28&gt;0,DaB!DW28-DaB!DV28+1,0)</f>
        <v>0</v>
      </c>
      <c r="CN28" s="32">
        <f>IF(CM28=0,0,IF(DaB!DY28&gt;0,DaB!DY28-DaB!DX28+1,0))</f>
        <v>0</v>
      </c>
      <c r="CO28" s="30">
        <f>IF(CM28=0,0,IF(DaB!DZ28&gt;0,DaB!DZ28-MAX(DaB!DW28:DY28),0))</f>
        <v>0</v>
      </c>
      <c r="CP28" s="34">
        <f>IF(CR28=0,0,MIN(DaB!$EB28:$EC28)-SUM($C28:CO28))</f>
        <v>0</v>
      </c>
      <c r="CQ28" s="29">
        <f>IF(CR28=0,0,IF(DaB!EB28&gt;0,DaB!EC28-DaB!EB28,0))</f>
        <v>0</v>
      </c>
      <c r="CR28" s="33">
        <f>IF(DaB!ED28&gt;0,DaB!ED28-DaB!EC28+1,0)</f>
        <v>0</v>
      </c>
      <c r="CS28" s="32">
        <f>IF(CR28=0,0,IF(DaB!EF28&gt;0,DaB!EF28-DaB!EE28+1,0))</f>
        <v>0</v>
      </c>
      <c r="CT28" s="30">
        <f>IF(CR28=0,0,IF(DaB!EG28&gt;0,DaB!EG28-MAX(DaB!ED28:EF28),0))</f>
        <v>0</v>
      </c>
      <c r="CU28" s="34">
        <f>IF(CW28=0,0,MIN(DaB!$EI28:$EJ28)-SUM($C28:CT28))</f>
        <v>0</v>
      </c>
      <c r="CV28" s="29">
        <f>IF(CW28=0,0,IF(DaB!EI28&gt;0,DaB!EJ28-DaB!EI28,0))</f>
        <v>0</v>
      </c>
      <c r="CW28" s="33">
        <f>IF(DaB!EK28&gt;0,DaB!EK28-DaB!EJ28+1,0)</f>
        <v>0</v>
      </c>
      <c r="CX28" s="32">
        <f>IF(CW28=0,0,IF(DaB!EM28&gt;0,DaB!EM28-DaB!EL28+1,0))</f>
        <v>0</v>
      </c>
      <c r="CY28" s="30">
        <f>IF(CW28=0,0,IF(DaB!EN28&gt;0,DaB!EN28-MAX(DaB!EK28:EM28),0))</f>
        <v>0</v>
      </c>
      <c r="DF28" s="2">
        <f t="shared" si="0"/>
        <v>45474</v>
      </c>
      <c r="DG28" s="28">
        <f>IF(MIN(DaB!EU28:EV28)=DF28,0,
IF(MIN(DaB!EU28:EV28)&gt;DF28,MIN(DaB!EU28:EV28)-DF28,0))</f>
        <v>0</v>
      </c>
      <c r="DH28" s="29"/>
      <c r="DI28" s="10"/>
      <c r="DJ28" s="10"/>
      <c r="DK28" s="11"/>
      <c r="DL28" s="11"/>
      <c r="DM28" s="30"/>
      <c r="DN28" s="28"/>
      <c r="DO28" s="29"/>
      <c r="DP28" s="10"/>
      <c r="DQ28" s="10"/>
      <c r="DR28" s="11"/>
      <c r="DS28" s="11"/>
      <c r="DT28" s="30"/>
      <c r="DU28" s="28"/>
      <c r="DV28" s="29"/>
      <c r="DW28" s="10"/>
      <c r="DX28" s="10"/>
      <c r="DY28" s="11"/>
      <c r="DZ28" s="11"/>
      <c r="EA28" s="30"/>
      <c r="EB28" s="28"/>
      <c r="EC28" s="29"/>
      <c r="ED28" s="10"/>
      <c r="EE28" s="10"/>
      <c r="EF28" s="11"/>
      <c r="EG28" s="11"/>
      <c r="EH28" s="30"/>
      <c r="EI28" s="34"/>
      <c r="EJ28" s="29"/>
      <c r="EK28" s="10"/>
      <c r="EL28" s="10"/>
      <c r="EM28" s="30"/>
      <c r="EN28" s="34"/>
      <c r="EO28" s="29"/>
      <c r="EP28" s="47"/>
      <c r="EQ28" s="47"/>
      <c r="ER28" s="30"/>
      <c r="ES28" s="34"/>
      <c r="ET28" s="29"/>
      <c r="EU28" s="47"/>
      <c r="EV28" s="47"/>
      <c r="EW28" s="30"/>
    </row>
    <row r="29" spans="1:153" x14ac:dyDescent="0.2">
      <c r="A29" s="2" t="str">
        <f>DaB!A29</f>
        <v>Calendar 12</v>
      </c>
      <c r="B29" s="2" t="str">
        <f t="shared" si="3"/>
        <v>.</v>
      </c>
      <c r="C29" s="27">
        <f t="shared" si="1"/>
        <v>45474</v>
      </c>
      <c r="D29" s="34">
        <f>IFERROR(MIN(DaB!F29:K29)-C29,0)</f>
        <v>-45474</v>
      </c>
      <c r="E29" s="29">
        <f>IF(F29=0,0,IF(DaB!F29&gt;0,DaB!G29-DaB!F29,0))</f>
        <v>0</v>
      </c>
      <c r="F29" s="33">
        <f>IF(DaB!G29&gt;MAX(DaB!EV29,DaB!FJ29),DaB!H29-DaB!G29+1,
IF(DaB!H29&gt;0,DaB!H29-DaB!G29,0))</f>
        <v>0</v>
      </c>
      <c r="G29" s="32">
        <f>IF(F29=0,0,IF(DaB!J29&gt;0,DaB!J29-DaB!I29+1,0))</f>
        <v>0</v>
      </c>
      <c r="H29" s="30">
        <f>IF(F29=0,0,IF(DaB!K29&gt;0,DaB!K29-MAX(DaB!H29:J29),0))</f>
        <v>0</v>
      </c>
      <c r="I29" s="34">
        <f>IF(K29=0,0,MIN(DaB!$M29:$N29)-SUM($C29:H29))</f>
        <v>0</v>
      </c>
      <c r="J29" s="29">
        <f>IF(K29=0,0,IF(DaB!M29&gt;0,DaB!N29-DaB!M29,0))</f>
        <v>0</v>
      </c>
      <c r="K29" s="33">
        <f>IF(DaB!O29&gt;0,DaB!O29-DaB!N29+1,0)</f>
        <v>0</v>
      </c>
      <c r="L29" s="32">
        <f>IF(K29=0,0,IF(DaB!Q29&gt;0,DaB!Q29-DaB!P29+1,0))</f>
        <v>0</v>
      </c>
      <c r="M29" s="30">
        <f>IF(K29=0,0,IF(DaB!R29&gt;0,DaB!R29-MAX(DaB!O29:Q29),0))</f>
        <v>0</v>
      </c>
      <c r="N29" s="31">
        <f>IF(P29=0,0,MIN(DaB!$T29:$U29)-SUM($C29:M29))</f>
        <v>0</v>
      </c>
      <c r="O29" s="29">
        <f>IF(P29=0,0,IF(DaB!T29&gt;0,DaB!U29-DaB!T29,0))</f>
        <v>0</v>
      </c>
      <c r="P29" s="33">
        <f>IF(DaB!V29&gt;0,DaB!V29-DaB!U29+1,0)</f>
        <v>0</v>
      </c>
      <c r="Q29" s="32">
        <f>IF(P29=0,0,IF(DaB!X29&gt;0,DaB!X29-DaB!W29+1,0))</f>
        <v>0</v>
      </c>
      <c r="R29" s="30">
        <f>IF(P29=0,0,IF(DaB!Y29&gt;0,DaB!Y29-MAX(DaB!V29:X29),0))</f>
        <v>0</v>
      </c>
      <c r="S29" s="34">
        <f>IF(U29=0,0,MIN(DaB!$AA29:$AB29)-SUM($C29:R29))</f>
        <v>0</v>
      </c>
      <c r="T29" s="29">
        <f>IF(U29=0,0,IF(DaB!AA29&gt;0,DaB!AB29-DaB!AA29,0))</f>
        <v>0</v>
      </c>
      <c r="U29" s="33">
        <f>IF(DaB!AC29&gt;0,DaB!AC29-DaB!AB29+1,0)</f>
        <v>0</v>
      </c>
      <c r="V29" s="32">
        <f>IF(U29=0,0,IF(DaB!AE29&gt;0,DaB!AE29-DaB!AD29+1,0))</f>
        <v>0</v>
      </c>
      <c r="W29" s="30">
        <f>IF(U29=0,0,IF(DaB!AF29&gt;0,DaB!AF29-MAX(DaB!AC29:AE29),0))</f>
        <v>0</v>
      </c>
      <c r="X29" s="34">
        <f>IF(Z29=0,0,MIN(DaB!$AH29:$AI29)-SUM($C29:W29))</f>
        <v>0</v>
      </c>
      <c r="Y29" s="29">
        <f>IF(Z29=0,0,IF(DaB!AH29&gt;0,DaB!AI29-DaB!AH29,0))</f>
        <v>0</v>
      </c>
      <c r="Z29" s="33">
        <f>IF(DaB!AJ29&gt;0,DaB!AJ29-DaB!AI29+1,0)</f>
        <v>0</v>
      </c>
      <c r="AA29" s="32">
        <f>IF(Z29=0,0,IF(DaB!AL29&gt;0,DaB!AL29-DaB!AK29+1,0))</f>
        <v>0</v>
      </c>
      <c r="AB29" s="30">
        <f>IF(Z29=0,0,IF(DaB!AM29&gt;0,DaB!AM29-MAX(DaB!AJ29:AL29),0))</f>
        <v>0</v>
      </c>
      <c r="AC29" s="34">
        <f>IF(AE29=0,0,MIN(DaB!$AO29:$AP29)-SUM($C29:AB29))</f>
        <v>0</v>
      </c>
      <c r="AD29" s="29">
        <f>IF(AE29=0,0,IF(DaB!AO29&gt;0,DaB!AP29-DaB!AO29,0))</f>
        <v>0</v>
      </c>
      <c r="AE29" s="33">
        <f>IF(DaB!AQ29&gt;0,DaB!AQ29-DaB!AP29+1,0)</f>
        <v>0</v>
      </c>
      <c r="AF29" s="32">
        <f>IF(AE29=0,0,IF(DaB!AS29&gt;0,DaB!AS29-DaB!AR29+1,0))</f>
        <v>0</v>
      </c>
      <c r="AG29" s="30">
        <f>IF(AE29=0,0,IF(DaB!AT29&gt;0,DaB!AT29-MAX(DaB!AQ29:AS29),0))</f>
        <v>0</v>
      </c>
      <c r="AH29" s="34">
        <f>IF(AJ29=0,0,MIN(DaB!$AV29:$AW29)-SUM($C29:AG29))</f>
        <v>0</v>
      </c>
      <c r="AI29" s="29">
        <f>IF(AJ29=0,0,IF(DaB!AV29&gt;0,DaB!AW29-DaB!AV29,0))</f>
        <v>0</v>
      </c>
      <c r="AJ29" s="33">
        <f>IF(DaB!AX29&gt;0,DaB!AX29-DaB!AW29+1,0)</f>
        <v>0</v>
      </c>
      <c r="AK29" s="32">
        <f>IF(AJ29=0,0,IF(DaB!AZ29&gt;0,DaB!AZ29-DaB!AY29+1,0))</f>
        <v>0</v>
      </c>
      <c r="AL29" s="30">
        <f>IF(AJ29=0,0,IF(DaB!BA29&gt;0,DaB!BA29-MAX(DaB!AX29:AZ29),0))</f>
        <v>0</v>
      </c>
      <c r="AM29" s="34">
        <f>IF(AO29=0,0,MIN(DaB!$BC29:$BD29)-SUM($C29:AL29))</f>
        <v>0</v>
      </c>
      <c r="AN29" s="29">
        <f>IF(AO29=0,0,IF(DaB!BC29&gt;0,DaB!BD29-DaB!BC29,0))</f>
        <v>0</v>
      </c>
      <c r="AO29" s="33">
        <f>IF(DaB!BE29&gt;0,DaB!BE29-DaB!BD29+1,0)</f>
        <v>0</v>
      </c>
      <c r="AP29" s="32">
        <f>IF(AO29=0,0,IF(DaB!BG29&gt;0,DaB!BG29-DaB!BF29+1,0))</f>
        <v>0</v>
      </c>
      <c r="AQ29" s="30">
        <f>IF(AO29=0,0,IF(DaB!BH29&gt;0,DaB!BH29-MAX(DaB!BE29:BG29),0))</f>
        <v>0</v>
      </c>
      <c r="AR29" s="34">
        <f>IF(AT29=0,0,MIN(DaB!$BJ29:$BK29)-SUM($C29:AQ29))</f>
        <v>0</v>
      </c>
      <c r="AS29" s="29">
        <f>IF(AT29=0,0,IF(DaB!BJ29&gt;0,DaB!BK29-DaB!BJ29,0))</f>
        <v>0</v>
      </c>
      <c r="AT29" s="33">
        <f>IF(DaB!BL29&gt;0,DaB!BL29-DaB!BK29+1,0)</f>
        <v>0</v>
      </c>
      <c r="AU29" s="32">
        <f>IF(AT29=0,0,IF(DaB!BN29&gt;0,DaB!BN29-DaB!BM29+1,0))</f>
        <v>0</v>
      </c>
      <c r="AV29" s="30">
        <f>IF(AT29=0,0,IF(DaB!BO29&gt;0,DaB!BO29-MAX(DaB!BL29:BN29),0))</f>
        <v>0</v>
      </c>
      <c r="AW29" s="34">
        <f>IF(AY29=0,0,MIN(DaB!$BQ29:$BR29)-SUM($C29:AV29))</f>
        <v>0</v>
      </c>
      <c r="AX29" s="29">
        <f>IF(AY29=0,0,IF(DaB!BQ29&gt;0,DaB!BR29-DaB!BQ29,0))</f>
        <v>0</v>
      </c>
      <c r="AY29" s="33">
        <f>IF(DaB!BS29&gt;0,DaB!BS29-DaB!BR29+1,0)</f>
        <v>0</v>
      </c>
      <c r="AZ29" s="32">
        <f>IF(AY29=0,0,IF(DaB!BU29&gt;0,DaB!BU29-DaB!BT29+1,0))</f>
        <v>0</v>
      </c>
      <c r="BA29" s="30">
        <f>IF(AY29=0,0,IF(DaB!BV29&gt;0,DaB!BV29-MAX(DaB!BS29:BU29),0))</f>
        <v>0</v>
      </c>
      <c r="BB29" s="34">
        <f>IF(BD29=0,0,MIN(DaB!$BX29:$BY29)-SUM($C29:BA29))</f>
        <v>0</v>
      </c>
      <c r="BC29" s="29">
        <f>IF(BD29=0,0,IF(DaB!BX29&gt;0,DaB!BY29-DaB!BX29,0))</f>
        <v>0</v>
      </c>
      <c r="BD29" s="33">
        <f>IF(DaB!BZ29&gt;0,DaB!BZ29-DaB!BY29+1,0)</f>
        <v>0</v>
      </c>
      <c r="BE29" s="32">
        <f>IF(BD29=0,0,IF(DaB!CB29&gt;0,DaB!CB29-DaB!CA29+1,0))</f>
        <v>0</v>
      </c>
      <c r="BF29" s="30">
        <f>IF(BD29=0,0,IF(DaB!CC29&gt;0,DaB!CC29-MAX(DaB!BZ29:CB29),0))</f>
        <v>0</v>
      </c>
      <c r="BG29" s="34">
        <f>IF(BI29=0,0,MIN(DaB!$CE29:$CF29)-SUM($C29:BF29))</f>
        <v>0</v>
      </c>
      <c r="BH29" s="29">
        <f>IF(BI29=0,0,IF(DaB!CE29&gt;0,DaB!CF29-DaB!CE29,0))</f>
        <v>0</v>
      </c>
      <c r="BI29" s="33">
        <f>IF(DaB!CG29&gt;0,DaB!CG29-DaB!CF29+1,0)</f>
        <v>0</v>
      </c>
      <c r="BJ29" s="32">
        <f>IF(BI29=0,0,IF(DaB!CI29&gt;0,DaB!CI29-DaB!CH29+1,0))</f>
        <v>0</v>
      </c>
      <c r="BK29" s="30">
        <f>IF(BI29=0,0,IF(DaB!CJ29&gt;0,DaB!CJ29-MAX(DaB!CG29:CI29),0))</f>
        <v>0</v>
      </c>
      <c r="BL29" s="34">
        <f>IF(BN29=0,0,MIN(DaB!$CL29:$CM29)-SUM($C29:BK29))</f>
        <v>0</v>
      </c>
      <c r="BM29" s="29">
        <f>IF(BN29=0,0,IF(DaB!CL29&gt;0,DaB!CM29-DaB!CL29,0))</f>
        <v>0</v>
      </c>
      <c r="BN29" s="33">
        <f>IF(DaB!CN29&gt;0,DaB!CN29-DaB!CM29+1,0)</f>
        <v>0</v>
      </c>
      <c r="BO29" s="32">
        <f>IF(BN29=0,0,IF(DaB!CP29&gt;0,DaB!CP29-DaB!CO29+1,0))</f>
        <v>0</v>
      </c>
      <c r="BP29" s="30">
        <f>IF(BN29=0,0,IF(DaB!CQ29&gt;0,DaB!CQ29-MAX(DaB!CN29:CP29),0))</f>
        <v>0</v>
      </c>
      <c r="BQ29" s="34">
        <f>IF(BS29=0,0,MIN(DaB!$CS29:$CT29)-SUM($C29:BP29))</f>
        <v>0</v>
      </c>
      <c r="BR29" s="29">
        <f>IF(BS29=0,0,IF(DaB!CS29&gt;0,DaB!CT29-DaB!CS29,0))</f>
        <v>0</v>
      </c>
      <c r="BS29" s="33">
        <f>IF(DaB!CU29&gt;0,DaB!CU29-DaB!CT29+1,0)</f>
        <v>0</v>
      </c>
      <c r="BT29" s="32">
        <f>IF(BS29=0,0,IF(DaB!CW29&gt;0,DaB!CW29-DaB!CV29+1,0))</f>
        <v>0</v>
      </c>
      <c r="BU29" s="30">
        <f>IF(BS29=0,0,IF(DaB!CX29&gt;0,DaB!CX29-MAX(DaB!CU29:CW29),0))</f>
        <v>0</v>
      </c>
      <c r="BV29" s="34">
        <f>IF(BX29=0,0,MIN(DaB!$CZ29:$DA29)-SUM($C29:BU29))</f>
        <v>0</v>
      </c>
      <c r="BW29" s="29">
        <f>IF(BX29=0,0,IF(DaB!CZ29&gt;0,DaB!DA29-DaB!CZ29,0))</f>
        <v>0</v>
      </c>
      <c r="BX29" s="33">
        <f>IF(DaB!DB29&gt;0,DaB!DB29-DaB!DA29+1,0)</f>
        <v>0</v>
      </c>
      <c r="BY29" s="32">
        <f>IF(BX29=0,0,IF(DaB!DD29&gt;0,DaB!DD29-DaB!DC29+1,0))</f>
        <v>0</v>
      </c>
      <c r="BZ29" s="30">
        <f>IF(BX29=0,0,IF(DaB!DE29&gt;0,DaB!DE29-MAX(DaB!DB29:DD29),0))</f>
        <v>0</v>
      </c>
      <c r="CA29" s="34">
        <f>IF(CC29=0,0,MIN(DaB!$DG29:$DH29)-SUM($C29:BZ29))</f>
        <v>0</v>
      </c>
      <c r="CB29" s="29">
        <f>IF(CC29=0,0,IF(DaB!DG29&gt;0,DaB!DH29-DaB!DG29,0))</f>
        <v>0</v>
      </c>
      <c r="CC29" s="33">
        <f>IF(DaB!DI29&gt;0,DaB!DI29-DaB!DH29+1,0)</f>
        <v>0</v>
      </c>
      <c r="CD29" s="32">
        <f>IF(CC29=0,0,IF(DaB!DK29&gt;0,DaB!DK29-DaB!DJ29+1,0))</f>
        <v>0</v>
      </c>
      <c r="CE29" s="30">
        <f>IF(CC29=0,0,IF(DaB!DL29&gt;0,DaB!DL29-MAX(DaB!DI29:DK29),0))</f>
        <v>0</v>
      </c>
      <c r="CF29" s="34">
        <f>IF(CH29=0,0,MIN(DaB!$DN29:$DO29)-SUM($C29:CE29))</f>
        <v>0</v>
      </c>
      <c r="CG29" s="29">
        <f>IF(CH29=0,0,IF(DaB!DN29&gt;0,DaB!DO29-DaB!DN29,0))</f>
        <v>0</v>
      </c>
      <c r="CH29" s="33">
        <f>IF(DaB!DP29&gt;0,DaB!DP29-DaB!DO29+1,0)</f>
        <v>0</v>
      </c>
      <c r="CI29" s="32">
        <f>IF(CH29=0,0,IF(DaB!DR29&gt;0,DaB!DR29-DaB!DQ29+1,0))</f>
        <v>0</v>
      </c>
      <c r="CJ29" s="30">
        <f>IF(CH29=0,0,IF(DaB!DS29&gt;0,DaB!DS29-MAX(DaB!DP29:DR29),0))</f>
        <v>0</v>
      </c>
      <c r="CK29" s="34">
        <f>IF(CM29=0,0,MIN(DaB!$DU29:$DV29)-SUM($C29:CJ29))</f>
        <v>0</v>
      </c>
      <c r="CL29" s="29">
        <f>IF(CM29=0,0,IF(DaB!DU29&gt;0,DaB!DV29-DaB!DU29,0))</f>
        <v>0</v>
      </c>
      <c r="CM29" s="33">
        <f>IF(DaB!DW29&gt;0,DaB!DW29-DaB!DV29+1,0)</f>
        <v>0</v>
      </c>
      <c r="CN29" s="32">
        <f>IF(CM29=0,0,IF(DaB!DY29&gt;0,DaB!DY29-DaB!DX29+1,0))</f>
        <v>0</v>
      </c>
      <c r="CO29" s="30">
        <f>IF(CM29=0,0,IF(DaB!DZ29&gt;0,DaB!DZ29-MAX(DaB!DW29:DY29),0))</f>
        <v>0</v>
      </c>
      <c r="CP29" s="34">
        <f>IF(CR29=0,0,MIN(DaB!$EB29:$EC29)-SUM($C29:CO29))</f>
        <v>0</v>
      </c>
      <c r="CQ29" s="29">
        <f>IF(CR29=0,0,IF(DaB!EB29&gt;0,DaB!EC29-DaB!EB29,0))</f>
        <v>0</v>
      </c>
      <c r="CR29" s="33">
        <f>IF(DaB!ED29&gt;0,DaB!ED29-DaB!EC29+1,0)</f>
        <v>0</v>
      </c>
      <c r="CS29" s="32">
        <f>IF(CR29=0,0,IF(DaB!EF29&gt;0,DaB!EF29-DaB!EE29+1,0))</f>
        <v>0</v>
      </c>
      <c r="CT29" s="30">
        <f>IF(CR29=0,0,IF(DaB!EG29&gt;0,DaB!EG29-MAX(DaB!ED29:EF29),0))</f>
        <v>0</v>
      </c>
      <c r="CU29" s="34">
        <f>IF(CW29=0,0,MIN(DaB!$EI29:$EJ29)-SUM($C29:CT29))</f>
        <v>0</v>
      </c>
      <c r="CV29" s="29">
        <f>IF(CW29=0,0,IF(DaB!EI29&gt;0,DaB!EJ29-DaB!EI29,0))</f>
        <v>0</v>
      </c>
      <c r="CW29" s="33">
        <f>IF(DaB!EK29&gt;0,DaB!EK29-DaB!EJ29+1,0)</f>
        <v>0</v>
      </c>
      <c r="CX29" s="32">
        <f>IF(CW29=0,0,IF(DaB!EM29&gt;0,DaB!EM29-DaB!EL29+1,0))</f>
        <v>0</v>
      </c>
      <c r="CY29" s="30">
        <f>IF(CW29=0,0,IF(DaB!EN29&gt;0,DaB!EN29-MAX(DaB!EK29:EM29),0))</f>
        <v>0</v>
      </c>
      <c r="DF29" s="2">
        <f t="shared" si="0"/>
        <v>45474</v>
      </c>
      <c r="DG29" s="28">
        <f>IF(MIN(DaB!EU29:EV29)=DF29,0,
IF(MIN(DaB!EU29:EV29)&gt;DF29,MIN(DaB!EU29:EV29)-DF29,0))</f>
        <v>0</v>
      </c>
      <c r="DH29" s="29"/>
      <c r="DI29" s="10"/>
      <c r="DJ29" s="10"/>
      <c r="DK29" s="11"/>
      <c r="DL29" s="11"/>
      <c r="DM29" s="30"/>
      <c r="DN29" s="28"/>
      <c r="DO29" s="29"/>
      <c r="DP29" s="10"/>
      <c r="DQ29" s="10"/>
      <c r="DR29" s="11"/>
      <c r="DS29" s="11"/>
      <c r="DT29" s="30"/>
      <c r="DU29" s="28"/>
      <c r="DV29" s="29"/>
      <c r="DW29" s="10"/>
      <c r="DX29" s="10"/>
      <c r="DY29" s="11"/>
      <c r="DZ29" s="11"/>
      <c r="EA29" s="30"/>
      <c r="EB29" s="28"/>
      <c r="EC29" s="29"/>
      <c r="ED29" s="10"/>
      <c r="EE29" s="10"/>
      <c r="EF29" s="11"/>
      <c r="EG29" s="11"/>
      <c r="EH29" s="30"/>
      <c r="EI29" s="34"/>
      <c r="EJ29" s="29"/>
      <c r="EK29" s="10"/>
      <c r="EL29" s="10"/>
      <c r="EM29" s="30"/>
      <c r="EN29" s="34"/>
      <c r="EO29" s="29"/>
      <c r="EP29" s="47"/>
      <c r="EQ29" s="47"/>
      <c r="ER29" s="30"/>
      <c r="ES29" s="34"/>
      <c r="ET29" s="29"/>
      <c r="EU29" s="47"/>
      <c r="EV29" s="47"/>
      <c r="EW29" s="30"/>
    </row>
    <row r="30" spans="1:153" x14ac:dyDescent="0.2">
      <c r="A30" s="2" t="str">
        <f>DaB!A30</f>
        <v>Calendar 13</v>
      </c>
      <c r="B30" s="2" t="str">
        <f t="shared" si="3"/>
        <v>.</v>
      </c>
      <c r="C30" s="27">
        <f t="shared" si="1"/>
        <v>45474</v>
      </c>
      <c r="D30" s="34">
        <f>IFERROR(MIN(DaB!F30:K30)-C30,0)</f>
        <v>-45474</v>
      </c>
      <c r="E30" s="29">
        <f>IF(F30=0,0,IF(DaB!F30&gt;0,DaB!G30-DaB!F30,0))</f>
        <v>0</v>
      </c>
      <c r="F30" s="33">
        <f>IF(DaB!G30&gt;MAX(DaB!EV30,DaB!FJ30),DaB!H30-DaB!G30+1,
IF(DaB!H30&gt;0,DaB!H30-DaB!G30,0))</f>
        <v>0</v>
      </c>
      <c r="G30" s="32">
        <f>IF(F30=0,0,IF(DaB!J30&gt;0,DaB!J30-DaB!I30+1,0))</f>
        <v>0</v>
      </c>
      <c r="H30" s="30">
        <f>IF(F30=0,0,IF(DaB!K30&gt;0,DaB!K30-MAX(DaB!H30:J30),0))</f>
        <v>0</v>
      </c>
      <c r="I30" s="34">
        <f>IF(K30=0,0,MIN(DaB!$M30:$N30)-SUM($C30:H30))</f>
        <v>0</v>
      </c>
      <c r="J30" s="29">
        <f>IF(K30=0,0,IF(DaB!M30&gt;0,DaB!N30-DaB!M30,0))</f>
        <v>0</v>
      </c>
      <c r="K30" s="33">
        <f>IF(DaB!O30&gt;0,DaB!O30-DaB!N30+1,0)</f>
        <v>0</v>
      </c>
      <c r="L30" s="32">
        <f>IF(K30=0,0,IF(DaB!Q30&gt;0,DaB!Q30-DaB!P30+1,0))</f>
        <v>0</v>
      </c>
      <c r="M30" s="30">
        <f>IF(K30=0,0,IF(DaB!R30&gt;0,DaB!R30-MAX(DaB!O30:Q30),0))</f>
        <v>0</v>
      </c>
      <c r="N30" s="31">
        <f>IF(P30=0,0,MIN(DaB!$T30:$U30)-SUM($C30:M30))</f>
        <v>0</v>
      </c>
      <c r="O30" s="29">
        <f>IF(P30=0,0,IF(DaB!T30&gt;0,DaB!U30-DaB!T30,0))</f>
        <v>0</v>
      </c>
      <c r="P30" s="33">
        <f>IF(DaB!V30&gt;0,DaB!V30-DaB!U30+1,0)</f>
        <v>0</v>
      </c>
      <c r="Q30" s="32">
        <f>IF(P30=0,0,IF(DaB!X30&gt;0,DaB!X30-DaB!W30+1,0))</f>
        <v>0</v>
      </c>
      <c r="R30" s="30">
        <f>IF(P30=0,0,IF(DaB!Y30&gt;0,DaB!Y30-MAX(DaB!V30:X30),0))</f>
        <v>0</v>
      </c>
      <c r="S30" s="34">
        <f>IF(U30=0,0,MIN(DaB!$AA30:$AB30)-SUM($C30:R30))</f>
        <v>0</v>
      </c>
      <c r="T30" s="29">
        <f>IF(U30=0,0,IF(DaB!AA30&gt;0,DaB!AB30-DaB!AA30,0))</f>
        <v>0</v>
      </c>
      <c r="U30" s="33">
        <f>IF(DaB!AC30&gt;0,DaB!AC30-DaB!AB30+1,0)</f>
        <v>0</v>
      </c>
      <c r="V30" s="32">
        <f>IF(U30=0,0,IF(DaB!AE30&gt;0,DaB!AE30-DaB!AD30+1,0))</f>
        <v>0</v>
      </c>
      <c r="W30" s="30">
        <f>IF(U30=0,0,IF(DaB!AF30&gt;0,DaB!AF30-MAX(DaB!AC30:AE30),0))</f>
        <v>0</v>
      </c>
      <c r="X30" s="34">
        <f>IF(Z30=0,0,MIN(DaB!$AH30:$AI30)-SUM($C30:W30))</f>
        <v>0</v>
      </c>
      <c r="Y30" s="29">
        <f>IF(Z30=0,0,IF(DaB!AH30&gt;0,DaB!AI30-DaB!AH30,0))</f>
        <v>0</v>
      </c>
      <c r="Z30" s="33">
        <f>IF(DaB!AJ30&gt;0,DaB!AJ30-DaB!AI30+1,0)</f>
        <v>0</v>
      </c>
      <c r="AA30" s="32">
        <f>IF(Z30=0,0,IF(DaB!AL30&gt;0,DaB!AL30-DaB!AK30+1,0))</f>
        <v>0</v>
      </c>
      <c r="AB30" s="30">
        <f>IF(Z30=0,0,IF(DaB!AM30&gt;0,DaB!AM30-MAX(DaB!AJ30:AL30),0))</f>
        <v>0</v>
      </c>
      <c r="AC30" s="34">
        <f>IF(AE30=0,0,MIN(DaB!$AO30:$AP30)-SUM($C30:AB30))</f>
        <v>0</v>
      </c>
      <c r="AD30" s="29">
        <f>IF(AE30=0,0,IF(DaB!AO30&gt;0,DaB!AP30-DaB!AO30,0))</f>
        <v>0</v>
      </c>
      <c r="AE30" s="33">
        <f>IF(DaB!AQ30&gt;0,DaB!AQ30-DaB!AP30+1,0)</f>
        <v>0</v>
      </c>
      <c r="AF30" s="32">
        <f>IF(AE30=0,0,IF(DaB!AS30&gt;0,DaB!AS30-DaB!AR30+1,0))</f>
        <v>0</v>
      </c>
      <c r="AG30" s="30">
        <f>IF(AE30=0,0,IF(DaB!AT30&gt;0,DaB!AT30-MAX(DaB!AQ30:AS30),0))</f>
        <v>0</v>
      </c>
      <c r="AH30" s="34">
        <f>IF(AJ30=0,0,MIN(DaB!$AV30:$AW30)-SUM($C30:AG30))</f>
        <v>0</v>
      </c>
      <c r="AI30" s="29">
        <f>IF(AJ30=0,0,IF(DaB!AV30&gt;0,DaB!AW30-DaB!AV30,0))</f>
        <v>0</v>
      </c>
      <c r="AJ30" s="33">
        <f>IF(DaB!AX30&gt;0,DaB!AX30-DaB!AW30+1,0)</f>
        <v>0</v>
      </c>
      <c r="AK30" s="32">
        <f>IF(AJ30=0,0,IF(DaB!AZ30&gt;0,DaB!AZ30-DaB!AY30+1,0))</f>
        <v>0</v>
      </c>
      <c r="AL30" s="30">
        <f>IF(AJ30=0,0,IF(DaB!BA30&gt;0,DaB!BA30-MAX(DaB!AX30:AZ30),0))</f>
        <v>0</v>
      </c>
      <c r="AM30" s="34">
        <f>IF(AO30=0,0,MIN(DaB!$BC30:$BD30)-SUM($C30:AL30))</f>
        <v>0</v>
      </c>
      <c r="AN30" s="29">
        <f>IF(AO30=0,0,IF(DaB!BC30&gt;0,DaB!BD30-DaB!BC30,0))</f>
        <v>0</v>
      </c>
      <c r="AO30" s="33">
        <f>IF(DaB!BE30&gt;0,DaB!BE30-DaB!BD30+1,0)</f>
        <v>0</v>
      </c>
      <c r="AP30" s="32">
        <f>IF(AO30=0,0,IF(DaB!BG30&gt;0,DaB!BG30-DaB!BF30+1,0))</f>
        <v>0</v>
      </c>
      <c r="AQ30" s="30">
        <f>IF(AO30=0,0,IF(DaB!BH30&gt;0,DaB!BH30-MAX(DaB!BE30:BG30),0))</f>
        <v>0</v>
      </c>
      <c r="AR30" s="34">
        <f>IF(AT30=0,0,MIN(DaB!$BJ30:$BK30)-SUM($C30:AQ30))</f>
        <v>0</v>
      </c>
      <c r="AS30" s="29">
        <f>IF(AT30=0,0,IF(DaB!BJ30&gt;0,DaB!BK30-DaB!BJ30,0))</f>
        <v>0</v>
      </c>
      <c r="AT30" s="33">
        <f>IF(DaB!BL30&gt;0,DaB!BL30-DaB!BK30+1,0)</f>
        <v>0</v>
      </c>
      <c r="AU30" s="32">
        <f>IF(AT30=0,0,IF(DaB!BN30&gt;0,DaB!BN30-DaB!BM30+1,0))</f>
        <v>0</v>
      </c>
      <c r="AV30" s="30">
        <f>IF(AT30=0,0,IF(DaB!BO30&gt;0,DaB!BO30-MAX(DaB!BL30:BN30),0))</f>
        <v>0</v>
      </c>
      <c r="AW30" s="34">
        <f>IF(AY30=0,0,MIN(DaB!$BQ30:$BR30)-SUM($C30:AV30))</f>
        <v>0</v>
      </c>
      <c r="AX30" s="29">
        <f>IF(AY30=0,0,IF(DaB!BQ30&gt;0,DaB!BR30-DaB!BQ30,0))</f>
        <v>0</v>
      </c>
      <c r="AY30" s="33">
        <f>IF(DaB!BS30&gt;0,DaB!BS30-DaB!BR30+1,0)</f>
        <v>0</v>
      </c>
      <c r="AZ30" s="32">
        <f>IF(AY30=0,0,IF(DaB!BU30&gt;0,DaB!BU30-DaB!BT30+1,0))</f>
        <v>0</v>
      </c>
      <c r="BA30" s="30">
        <f>IF(AY30=0,0,IF(DaB!BV30&gt;0,DaB!BV30-MAX(DaB!BS30:BU30),0))</f>
        <v>0</v>
      </c>
      <c r="BB30" s="34">
        <f>IF(BD30=0,0,MIN(DaB!$BX30:$BY30)-SUM($C30:BA30))</f>
        <v>0</v>
      </c>
      <c r="BC30" s="29">
        <f>IF(BD30=0,0,IF(DaB!BX30&gt;0,DaB!BY30-DaB!BX30,0))</f>
        <v>0</v>
      </c>
      <c r="BD30" s="33">
        <f>IF(DaB!BZ30&gt;0,DaB!BZ30-DaB!BY30+1,0)</f>
        <v>0</v>
      </c>
      <c r="BE30" s="32">
        <f>IF(BD30=0,0,IF(DaB!CB30&gt;0,DaB!CB30-DaB!CA30+1,0))</f>
        <v>0</v>
      </c>
      <c r="BF30" s="30">
        <f>IF(BD30=0,0,IF(DaB!CC30&gt;0,DaB!CC30-MAX(DaB!BZ30:CB30),0))</f>
        <v>0</v>
      </c>
      <c r="BG30" s="34">
        <f>IF(BI30=0,0,MIN(DaB!$CE30:$CF30)-SUM($C30:BF30))</f>
        <v>0</v>
      </c>
      <c r="BH30" s="29">
        <f>IF(BI30=0,0,IF(DaB!CE30&gt;0,DaB!CF30-DaB!CE30,0))</f>
        <v>0</v>
      </c>
      <c r="BI30" s="33">
        <f>IF(DaB!CG30&gt;0,DaB!CG30-DaB!CF30+1,0)</f>
        <v>0</v>
      </c>
      <c r="BJ30" s="32">
        <f>IF(BI30=0,0,IF(DaB!CI30&gt;0,DaB!CI30-DaB!CH30+1,0))</f>
        <v>0</v>
      </c>
      <c r="BK30" s="30">
        <f>IF(BI30=0,0,IF(DaB!CJ30&gt;0,DaB!CJ30-MAX(DaB!CG30:CI30),0))</f>
        <v>0</v>
      </c>
      <c r="BL30" s="34">
        <f>IF(BN30=0,0,MIN(DaB!$CL30:$CM30)-SUM($C30:BK30))</f>
        <v>0</v>
      </c>
      <c r="BM30" s="29">
        <f>IF(BN30=0,0,IF(DaB!CL30&gt;0,DaB!CM30-DaB!CL30,0))</f>
        <v>0</v>
      </c>
      <c r="BN30" s="33">
        <f>IF(DaB!CN30&gt;0,DaB!CN30-DaB!CM30+1,0)</f>
        <v>0</v>
      </c>
      <c r="BO30" s="32">
        <f>IF(BN30=0,0,IF(DaB!CP30&gt;0,DaB!CP30-DaB!CO30+1,0))</f>
        <v>0</v>
      </c>
      <c r="BP30" s="30">
        <f>IF(BN30=0,0,IF(DaB!CQ30&gt;0,DaB!CQ30-MAX(DaB!CN30:CP30),0))</f>
        <v>0</v>
      </c>
      <c r="BQ30" s="34">
        <f>IF(BS30=0,0,MIN(DaB!$CS30:$CT30)-SUM($C30:BP30))</f>
        <v>0</v>
      </c>
      <c r="BR30" s="29">
        <f>IF(BS30=0,0,IF(DaB!CS30&gt;0,DaB!CT30-DaB!CS30,0))</f>
        <v>0</v>
      </c>
      <c r="BS30" s="33">
        <f>IF(DaB!CU30&gt;0,DaB!CU30-DaB!CT30+1,0)</f>
        <v>0</v>
      </c>
      <c r="BT30" s="32">
        <f>IF(BS30=0,0,IF(DaB!CW30&gt;0,DaB!CW30-DaB!CV30+1,0))</f>
        <v>0</v>
      </c>
      <c r="BU30" s="30">
        <f>IF(BS30=0,0,IF(DaB!CX30&gt;0,DaB!CX30-MAX(DaB!CU30:CW30),0))</f>
        <v>0</v>
      </c>
      <c r="BV30" s="34">
        <f>IF(BX30=0,0,MIN(DaB!$CZ30:$DA30)-SUM($C30:BU30))</f>
        <v>0</v>
      </c>
      <c r="BW30" s="29">
        <f>IF(BX30=0,0,IF(DaB!CZ30&gt;0,DaB!DA30-DaB!CZ30,0))</f>
        <v>0</v>
      </c>
      <c r="BX30" s="33">
        <f>IF(DaB!DB30&gt;0,DaB!DB30-DaB!DA30+1,0)</f>
        <v>0</v>
      </c>
      <c r="BY30" s="32">
        <f>IF(BX30=0,0,IF(DaB!DD30&gt;0,DaB!DD30-DaB!DC30+1,0))</f>
        <v>0</v>
      </c>
      <c r="BZ30" s="30">
        <f>IF(BX30=0,0,IF(DaB!DE30&gt;0,DaB!DE30-MAX(DaB!DB30:DD30),0))</f>
        <v>0</v>
      </c>
      <c r="CA30" s="34">
        <f>IF(CC30=0,0,MIN(DaB!$DG30:$DH30)-SUM($C30:BZ30))</f>
        <v>0</v>
      </c>
      <c r="CB30" s="29">
        <f>IF(CC30=0,0,IF(DaB!DG30&gt;0,DaB!DH30-DaB!DG30,0))</f>
        <v>0</v>
      </c>
      <c r="CC30" s="33">
        <f>IF(DaB!DI30&gt;0,DaB!DI30-DaB!DH30+1,0)</f>
        <v>0</v>
      </c>
      <c r="CD30" s="32">
        <f>IF(CC30=0,0,IF(DaB!DK30&gt;0,DaB!DK30-DaB!DJ30+1,0))</f>
        <v>0</v>
      </c>
      <c r="CE30" s="30">
        <f>IF(CC30=0,0,IF(DaB!DL30&gt;0,DaB!DL30-MAX(DaB!DI30:DK30),0))</f>
        <v>0</v>
      </c>
      <c r="CF30" s="34">
        <f>IF(CH30=0,0,MIN(DaB!$DN30:$DO30)-SUM($C30:CE30))</f>
        <v>0</v>
      </c>
      <c r="CG30" s="29">
        <f>IF(CH30=0,0,IF(DaB!DN30&gt;0,DaB!DO30-DaB!DN30,0))</f>
        <v>0</v>
      </c>
      <c r="CH30" s="33">
        <f>IF(DaB!DP30&gt;0,DaB!DP30-DaB!DO30+1,0)</f>
        <v>0</v>
      </c>
      <c r="CI30" s="32">
        <f>IF(CH30=0,0,IF(DaB!DR30&gt;0,DaB!DR30-DaB!DQ30+1,0))</f>
        <v>0</v>
      </c>
      <c r="CJ30" s="30">
        <f>IF(CH30=0,0,IF(DaB!DS30&gt;0,DaB!DS30-MAX(DaB!DP30:DR30),0))</f>
        <v>0</v>
      </c>
      <c r="CK30" s="34">
        <f>IF(CM30=0,0,MIN(DaB!$DU30:$DV30)-SUM($C30:CJ30))</f>
        <v>0</v>
      </c>
      <c r="CL30" s="29">
        <f>IF(CM30=0,0,IF(DaB!DU30&gt;0,DaB!DV30-DaB!DU30,0))</f>
        <v>0</v>
      </c>
      <c r="CM30" s="33">
        <f>IF(DaB!DW30&gt;0,DaB!DW30-DaB!DV30+1,0)</f>
        <v>0</v>
      </c>
      <c r="CN30" s="32">
        <f>IF(CM30=0,0,IF(DaB!DY30&gt;0,DaB!DY30-DaB!DX30+1,0))</f>
        <v>0</v>
      </c>
      <c r="CO30" s="30">
        <f>IF(CM30=0,0,IF(DaB!DZ30&gt;0,DaB!DZ30-MAX(DaB!DW30:DY30),0))</f>
        <v>0</v>
      </c>
      <c r="CP30" s="34">
        <f>IF(CR30=0,0,MIN(DaB!$EB30:$EC30)-SUM($C30:CO30))</f>
        <v>0</v>
      </c>
      <c r="CQ30" s="29">
        <f>IF(CR30=0,0,IF(DaB!EB30&gt;0,DaB!EC30-DaB!EB30,0))</f>
        <v>0</v>
      </c>
      <c r="CR30" s="33">
        <f>IF(DaB!ED30&gt;0,DaB!ED30-DaB!EC30+1,0)</f>
        <v>0</v>
      </c>
      <c r="CS30" s="32">
        <f>IF(CR30=0,0,IF(DaB!EF30&gt;0,DaB!EF30-DaB!EE30+1,0))</f>
        <v>0</v>
      </c>
      <c r="CT30" s="30">
        <f>IF(CR30=0,0,IF(DaB!EG30&gt;0,DaB!EG30-MAX(DaB!ED30:EF30),0))</f>
        <v>0</v>
      </c>
      <c r="CU30" s="34">
        <f>IF(CW30=0,0,MIN(DaB!$EI30:$EJ30)-SUM($C30:CT30))</f>
        <v>0</v>
      </c>
      <c r="CV30" s="29">
        <f>IF(CW30=0,0,IF(DaB!EI30&gt;0,DaB!EJ30-DaB!EI30,0))</f>
        <v>0</v>
      </c>
      <c r="CW30" s="33">
        <f>IF(DaB!EK30&gt;0,DaB!EK30-DaB!EJ30+1,0)</f>
        <v>0</v>
      </c>
      <c r="CX30" s="32">
        <f>IF(CW30=0,0,IF(DaB!EM30&gt;0,DaB!EM30-DaB!EL30+1,0))</f>
        <v>0</v>
      </c>
      <c r="CY30" s="30">
        <f>IF(CW30=0,0,IF(DaB!EN30&gt;0,DaB!EN30-MAX(DaB!EK30:EM30),0))</f>
        <v>0</v>
      </c>
      <c r="DF30" s="2">
        <f t="shared" si="0"/>
        <v>45474</v>
      </c>
      <c r="DG30" s="28"/>
      <c r="DH30" s="29"/>
      <c r="DI30" s="10"/>
      <c r="DJ30" s="10"/>
      <c r="DK30" s="11"/>
      <c r="DL30" s="11"/>
      <c r="DM30" s="30"/>
      <c r="DN30" s="28"/>
      <c r="DO30" s="29"/>
      <c r="DP30" s="10"/>
      <c r="DQ30" s="10"/>
      <c r="DR30" s="11"/>
      <c r="DS30" s="11"/>
      <c r="DT30" s="30"/>
      <c r="DU30" s="28"/>
      <c r="DV30" s="29"/>
      <c r="DW30" s="10"/>
      <c r="DX30" s="10"/>
      <c r="DY30" s="11"/>
      <c r="DZ30" s="11"/>
      <c r="EA30" s="30"/>
      <c r="EB30" s="28"/>
      <c r="EC30" s="29"/>
      <c r="ED30" s="10"/>
      <c r="EE30" s="10"/>
      <c r="EF30" s="11"/>
      <c r="EG30" s="11"/>
      <c r="EH30" s="30"/>
      <c r="EI30" s="34"/>
      <c r="EJ30" s="29"/>
      <c r="EK30" s="10"/>
      <c r="EL30" s="10"/>
      <c r="EM30" s="30"/>
      <c r="EN30" s="34"/>
      <c r="EO30" s="29"/>
      <c r="EP30" s="47"/>
      <c r="EQ30" s="47"/>
      <c r="ER30" s="30"/>
      <c r="ES30" s="34"/>
      <c r="ET30" s="29"/>
      <c r="EU30" s="47"/>
      <c r="EV30" s="47"/>
      <c r="EW30" s="30"/>
    </row>
    <row r="31" spans="1:153" x14ac:dyDescent="0.2">
      <c r="A31" s="2" t="str">
        <f>DaB!A31</f>
        <v>Calendar 13</v>
      </c>
      <c r="B31" s="2" t="str">
        <f t="shared" si="3"/>
        <v>.</v>
      </c>
      <c r="C31" s="27">
        <f t="shared" si="1"/>
        <v>45474</v>
      </c>
      <c r="D31" s="34">
        <f>IFERROR(MIN(DaB!F31:K31)-C31,0)</f>
        <v>-45474</v>
      </c>
      <c r="E31" s="29">
        <f>IF(F31=0,0,IF(DaB!F31&gt;0,DaB!G31-DaB!F31,0))</f>
        <v>0</v>
      </c>
      <c r="F31" s="33">
        <f>IF(DaB!G31&gt;MAX(DaB!EV31,DaB!FJ31),DaB!H31-DaB!G31+1,
IF(DaB!H31&gt;0,DaB!H31-DaB!G31,0))</f>
        <v>0</v>
      </c>
      <c r="G31" s="32">
        <f>IF(F31=0,0,IF(DaB!J31&gt;0,DaB!J31-DaB!I31+1,0))</f>
        <v>0</v>
      </c>
      <c r="H31" s="30">
        <f>IF(F31=0,0,IF(DaB!K31&gt;0,DaB!K31-MAX(DaB!H31:J31),0))</f>
        <v>0</v>
      </c>
      <c r="I31" s="34">
        <f>IF(K31=0,0,MIN(DaB!$M31:$N31)-SUM($C31:H31))</f>
        <v>0</v>
      </c>
      <c r="J31" s="29">
        <f>IF(K31=0,0,IF(DaB!M31&gt;0,DaB!N31-DaB!M31,0))</f>
        <v>0</v>
      </c>
      <c r="K31" s="33">
        <f>IF(DaB!O31&gt;0,DaB!O31-DaB!N31+1,0)</f>
        <v>0</v>
      </c>
      <c r="L31" s="32">
        <f>IF(K31=0,0,IF(DaB!Q31&gt;0,DaB!Q31-DaB!P31+1,0))</f>
        <v>0</v>
      </c>
      <c r="M31" s="30">
        <f>IF(K31=0,0,IF(DaB!R31&gt;0,DaB!R31-MAX(DaB!O31:Q31),0))</f>
        <v>0</v>
      </c>
      <c r="N31" s="31">
        <f>IF(P31=0,0,MIN(DaB!$T31:$U31)-SUM($C31:M31))</f>
        <v>0</v>
      </c>
      <c r="O31" s="29">
        <f>IF(P31=0,0,IF(DaB!T31&gt;0,DaB!U31-DaB!T31,0))</f>
        <v>0</v>
      </c>
      <c r="P31" s="33">
        <f>IF(DaB!V31&gt;0,DaB!V31-DaB!U31+1,0)</f>
        <v>0</v>
      </c>
      <c r="Q31" s="32">
        <f>IF(P31=0,0,IF(DaB!X31&gt;0,DaB!X31-DaB!W31+1,0))</f>
        <v>0</v>
      </c>
      <c r="R31" s="30">
        <f>IF(P31=0,0,IF(DaB!Y31&gt;0,DaB!Y31-MAX(DaB!V31:X31),0))</f>
        <v>0</v>
      </c>
      <c r="S31" s="34">
        <f>IF(U31=0,0,MIN(DaB!$AA31:$AB31)-SUM($C31:R31))</f>
        <v>0</v>
      </c>
      <c r="T31" s="29">
        <f>IF(U31=0,0,IF(DaB!AA31&gt;0,DaB!AB31-DaB!AA31,0))</f>
        <v>0</v>
      </c>
      <c r="U31" s="33">
        <f>IF(DaB!AC31&gt;0,DaB!AC31-DaB!AB31+1,0)</f>
        <v>0</v>
      </c>
      <c r="V31" s="32">
        <f>IF(U31=0,0,IF(DaB!AE31&gt;0,DaB!AE31-DaB!AD31+1,0))</f>
        <v>0</v>
      </c>
      <c r="W31" s="30">
        <f>IF(U31=0,0,IF(DaB!AF31&gt;0,DaB!AF31-MAX(DaB!AC31:AE31),0))</f>
        <v>0</v>
      </c>
      <c r="X31" s="34">
        <f>IF(Z31=0,0,MIN(DaB!$AH31:$AI31)-SUM($C31:W31))</f>
        <v>0</v>
      </c>
      <c r="Y31" s="29">
        <f>IF(Z31=0,0,IF(DaB!AH31&gt;0,DaB!AI31-DaB!AH31,0))</f>
        <v>0</v>
      </c>
      <c r="Z31" s="33">
        <f>IF(DaB!AJ31&gt;0,DaB!AJ31-DaB!AI31+1,0)</f>
        <v>0</v>
      </c>
      <c r="AA31" s="32">
        <f>IF(Z31=0,0,IF(DaB!AL31&gt;0,DaB!AL31-DaB!AK31+1,0))</f>
        <v>0</v>
      </c>
      <c r="AB31" s="30">
        <f>IF(Z31=0,0,IF(DaB!AM31&gt;0,DaB!AM31-MAX(DaB!AJ31:AL31),0))</f>
        <v>0</v>
      </c>
      <c r="AC31" s="34">
        <f>IF(AE31=0,0,MIN(DaB!$AO31:$AP31)-SUM($C31:AB31))</f>
        <v>0</v>
      </c>
      <c r="AD31" s="29">
        <f>IF(AE31=0,0,IF(DaB!AO31&gt;0,DaB!AP31-DaB!AO31,0))</f>
        <v>0</v>
      </c>
      <c r="AE31" s="33">
        <f>IF(DaB!AQ31&gt;0,DaB!AQ31-DaB!AP31+1,0)</f>
        <v>0</v>
      </c>
      <c r="AF31" s="32">
        <f>IF(AE31=0,0,IF(DaB!AS31&gt;0,DaB!AS31-DaB!AR31+1,0))</f>
        <v>0</v>
      </c>
      <c r="AG31" s="30">
        <f>IF(AE31=0,0,IF(DaB!AT31&gt;0,DaB!AT31-MAX(DaB!AQ31:AS31),0))</f>
        <v>0</v>
      </c>
      <c r="AH31" s="34">
        <f>IF(AJ31=0,0,MIN(DaB!$AV31:$AW31)-SUM($C31:AG31))</f>
        <v>0</v>
      </c>
      <c r="AI31" s="29">
        <f>IF(AJ31=0,0,IF(DaB!AV31&gt;0,DaB!AW31-DaB!AV31,0))</f>
        <v>0</v>
      </c>
      <c r="AJ31" s="33">
        <f>IF(DaB!AX31&gt;0,DaB!AX31-DaB!AW31+1,0)</f>
        <v>0</v>
      </c>
      <c r="AK31" s="32">
        <f>IF(AJ31=0,0,IF(DaB!AZ31&gt;0,DaB!AZ31-DaB!AY31+1,0))</f>
        <v>0</v>
      </c>
      <c r="AL31" s="30">
        <f>IF(AJ31=0,0,IF(DaB!BA31&gt;0,DaB!BA31-MAX(DaB!AX31:AZ31),0))</f>
        <v>0</v>
      </c>
      <c r="AM31" s="34">
        <f>IF(AO31=0,0,MIN(DaB!$BC31:$BD31)-SUM($C31:AL31))</f>
        <v>0</v>
      </c>
      <c r="AN31" s="29">
        <f>IF(AO31=0,0,IF(DaB!BC31&gt;0,DaB!BD31-DaB!BC31,0))</f>
        <v>0</v>
      </c>
      <c r="AO31" s="33">
        <f>IF(DaB!BE31&gt;0,DaB!BE31-DaB!BD31+1,0)</f>
        <v>0</v>
      </c>
      <c r="AP31" s="32">
        <f>IF(AO31=0,0,IF(DaB!BG31&gt;0,DaB!BG31-DaB!BF31+1,0))</f>
        <v>0</v>
      </c>
      <c r="AQ31" s="30">
        <f>IF(AO31=0,0,IF(DaB!BH31&gt;0,DaB!BH31-MAX(DaB!BE31:BG31),0))</f>
        <v>0</v>
      </c>
      <c r="AR31" s="34">
        <f>IF(AT31=0,0,MIN(DaB!$BJ31:$BK31)-SUM($C31:AQ31))</f>
        <v>0</v>
      </c>
      <c r="AS31" s="29">
        <f>IF(AT31=0,0,IF(DaB!BJ31&gt;0,DaB!BK31-DaB!BJ31,0))</f>
        <v>0</v>
      </c>
      <c r="AT31" s="33">
        <f>IF(DaB!BL31&gt;0,DaB!BL31-DaB!BK31+1,0)</f>
        <v>0</v>
      </c>
      <c r="AU31" s="32">
        <f>IF(AT31=0,0,IF(DaB!BN31&gt;0,DaB!BN31-DaB!BM31+1,0))</f>
        <v>0</v>
      </c>
      <c r="AV31" s="30">
        <f>IF(AT31=0,0,IF(DaB!BO31&gt;0,DaB!BO31-MAX(DaB!BL31:BN31),0))</f>
        <v>0</v>
      </c>
      <c r="AW31" s="34">
        <f>IF(AY31=0,0,MIN(DaB!$BQ31:$BR31)-SUM($C31:AV31))</f>
        <v>0</v>
      </c>
      <c r="AX31" s="29">
        <f>IF(AY31=0,0,IF(DaB!BQ31&gt;0,DaB!BR31-DaB!BQ31,0))</f>
        <v>0</v>
      </c>
      <c r="AY31" s="33">
        <f>IF(DaB!BS31&gt;0,DaB!BS31-DaB!BR31+1,0)</f>
        <v>0</v>
      </c>
      <c r="AZ31" s="32">
        <f>IF(AY31=0,0,IF(DaB!BU31&gt;0,DaB!BU31-DaB!BT31+1,0))</f>
        <v>0</v>
      </c>
      <c r="BA31" s="30">
        <f>IF(AY31=0,0,IF(DaB!BV31&gt;0,DaB!BV31-MAX(DaB!BS31:BU31),0))</f>
        <v>0</v>
      </c>
      <c r="BB31" s="34">
        <f>IF(BD31=0,0,MIN(DaB!$BX31:$BY31)-SUM($C31:BA31))</f>
        <v>0</v>
      </c>
      <c r="BC31" s="29">
        <f>IF(BD31=0,0,IF(DaB!BX31&gt;0,DaB!BY31-DaB!BX31,0))</f>
        <v>0</v>
      </c>
      <c r="BD31" s="33">
        <f>IF(DaB!BZ31&gt;0,DaB!BZ31-DaB!BY31+1,0)</f>
        <v>0</v>
      </c>
      <c r="BE31" s="32">
        <f>IF(BD31=0,0,IF(DaB!CB31&gt;0,DaB!CB31-DaB!CA31+1,0))</f>
        <v>0</v>
      </c>
      <c r="BF31" s="30">
        <f>IF(BD31=0,0,IF(DaB!CC31&gt;0,DaB!CC31-MAX(DaB!BZ31:CB31),0))</f>
        <v>0</v>
      </c>
      <c r="BG31" s="34">
        <f>IF(BI31=0,0,MIN(DaB!$CE31:$CF31)-SUM($C31:BF31))</f>
        <v>0</v>
      </c>
      <c r="BH31" s="29">
        <f>IF(BI31=0,0,IF(DaB!CE31&gt;0,DaB!CF31-DaB!CE31,0))</f>
        <v>0</v>
      </c>
      <c r="BI31" s="33">
        <f>IF(DaB!CG31&gt;0,DaB!CG31-DaB!CF31+1,0)</f>
        <v>0</v>
      </c>
      <c r="BJ31" s="32">
        <f>IF(BI31=0,0,IF(DaB!CI31&gt;0,DaB!CI31-DaB!CH31+1,0))</f>
        <v>0</v>
      </c>
      <c r="BK31" s="30">
        <f>IF(BI31=0,0,IF(DaB!CJ31&gt;0,DaB!CJ31-MAX(DaB!CG31:CI31),0))</f>
        <v>0</v>
      </c>
      <c r="BL31" s="34">
        <f>IF(BN31=0,0,MIN(DaB!$CL31:$CM31)-SUM($C31:BK31))</f>
        <v>0</v>
      </c>
      <c r="BM31" s="29">
        <f>IF(BN31=0,0,IF(DaB!CL31&gt;0,DaB!CM31-DaB!CL31,0))</f>
        <v>0</v>
      </c>
      <c r="BN31" s="33">
        <f>IF(DaB!CN31&gt;0,DaB!CN31-DaB!CM31+1,0)</f>
        <v>0</v>
      </c>
      <c r="BO31" s="32">
        <f>IF(BN31=0,0,IF(DaB!CP31&gt;0,DaB!CP31-DaB!CO31+1,0))</f>
        <v>0</v>
      </c>
      <c r="BP31" s="30">
        <f>IF(BN31=0,0,IF(DaB!CQ31&gt;0,DaB!CQ31-MAX(DaB!CN31:CP31),0))</f>
        <v>0</v>
      </c>
      <c r="BQ31" s="34">
        <f>IF(BS31=0,0,MIN(DaB!$CS31:$CT31)-SUM($C31:BP31))</f>
        <v>0</v>
      </c>
      <c r="BR31" s="29">
        <f>IF(BS31=0,0,IF(DaB!CS31&gt;0,DaB!CT31-DaB!CS31,0))</f>
        <v>0</v>
      </c>
      <c r="BS31" s="33">
        <f>IF(DaB!CU31&gt;0,DaB!CU31-DaB!CT31+1,0)</f>
        <v>0</v>
      </c>
      <c r="BT31" s="32">
        <f>IF(BS31=0,0,IF(DaB!CW31&gt;0,DaB!CW31-DaB!CV31+1,0))</f>
        <v>0</v>
      </c>
      <c r="BU31" s="30">
        <f>IF(BS31=0,0,IF(DaB!CX31&gt;0,DaB!CX31-MAX(DaB!CU31:CW31),0))</f>
        <v>0</v>
      </c>
      <c r="BV31" s="34">
        <f>IF(BX31=0,0,MIN(DaB!$CZ31:$DA31)-SUM($C31:BU31))</f>
        <v>0</v>
      </c>
      <c r="BW31" s="29">
        <f>IF(BX31=0,0,IF(DaB!CZ31&gt;0,DaB!DA31-DaB!CZ31,0))</f>
        <v>0</v>
      </c>
      <c r="BX31" s="33">
        <f>IF(DaB!DB31&gt;0,DaB!DB31-DaB!DA31+1,0)</f>
        <v>0</v>
      </c>
      <c r="BY31" s="32">
        <f>IF(BX31=0,0,IF(DaB!DD31&gt;0,DaB!DD31-DaB!DC31+1,0))</f>
        <v>0</v>
      </c>
      <c r="BZ31" s="30">
        <f>IF(BX31=0,0,IF(DaB!DE31&gt;0,DaB!DE31-MAX(DaB!DB31:DD31),0))</f>
        <v>0</v>
      </c>
      <c r="CA31" s="34">
        <f>IF(CC31=0,0,MIN(DaB!$DG31:$DH31)-SUM($C31:BZ31))</f>
        <v>0</v>
      </c>
      <c r="CB31" s="29">
        <f>IF(CC31=0,0,IF(DaB!DG31&gt;0,DaB!DH31-DaB!DG31,0))</f>
        <v>0</v>
      </c>
      <c r="CC31" s="33">
        <f>IF(DaB!DI31&gt;0,DaB!DI31-DaB!DH31+1,0)</f>
        <v>0</v>
      </c>
      <c r="CD31" s="32">
        <f>IF(CC31=0,0,IF(DaB!DK31&gt;0,DaB!DK31-DaB!DJ31+1,0))</f>
        <v>0</v>
      </c>
      <c r="CE31" s="30">
        <f>IF(CC31=0,0,IF(DaB!DL31&gt;0,DaB!DL31-MAX(DaB!DI31:DK31),0))</f>
        <v>0</v>
      </c>
      <c r="CF31" s="34">
        <f>IF(CH31=0,0,MIN(DaB!$DN31:$DO31)-SUM($C31:CE31))</f>
        <v>0</v>
      </c>
      <c r="CG31" s="29">
        <f>IF(CH31=0,0,IF(DaB!DN31&gt;0,DaB!DO31-DaB!DN31,0))</f>
        <v>0</v>
      </c>
      <c r="CH31" s="33">
        <f>IF(DaB!DP31&gt;0,DaB!DP31-DaB!DO31+1,0)</f>
        <v>0</v>
      </c>
      <c r="CI31" s="32">
        <f>IF(CH31=0,0,IF(DaB!DR31&gt;0,DaB!DR31-DaB!DQ31+1,0))</f>
        <v>0</v>
      </c>
      <c r="CJ31" s="30">
        <f>IF(CH31=0,0,IF(DaB!DS31&gt;0,DaB!DS31-MAX(DaB!DP31:DR31),0))</f>
        <v>0</v>
      </c>
      <c r="CK31" s="34">
        <f>IF(CM31=0,0,MIN(DaB!$DU31:$DV31)-SUM($C31:CJ31))</f>
        <v>0</v>
      </c>
      <c r="CL31" s="29">
        <f>IF(CM31=0,0,IF(DaB!DU31&gt;0,DaB!DV31-DaB!DU31,0))</f>
        <v>0</v>
      </c>
      <c r="CM31" s="33">
        <f>IF(DaB!DW31&gt;0,DaB!DW31-DaB!DV31+1,0)</f>
        <v>0</v>
      </c>
      <c r="CN31" s="32">
        <f>IF(CM31=0,0,IF(DaB!DY31&gt;0,DaB!DY31-DaB!DX31+1,0))</f>
        <v>0</v>
      </c>
      <c r="CO31" s="30">
        <f>IF(CM31=0,0,IF(DaB!DZ31&gt;0,DaB!DZ31-MAX(DaB!DW31:DY31),0))</f>
        <v>0</v>
      </c>
      <c r="CP31" s="34">
        <f>IF(CR31=0,0,MIN(DaB!$EB31:$EC31)-SUM($C31:CO31))</f>
        <v>0</v>
      </c>
      <c r="CQ31" s="29">
        <f>IF(CR31=0,0,IF(DaB!EB31&gt;0,DaB!EC31-DaB!EB31,0))</f>
        <v>0</v>
      </c>
      <c r="CR31" s="33">
        <f>IF(DaB!ED31&gt;0,DaB!ED31-DaB!EC31+1,0)</f>
        <v>0</v>
      </c>
      <c r="CS31" s="32">
        <f>IF(CR31=0,0,IF(DaB!EF31&gt;0,DaB!EF31-DaB!EE31+1,0))</f>
        <v>0</v>
      </c>
      <c r="CT31" s="30">
        <f>IF(CR31=0,0,IF(DaB!EG31&gt;0,DaB!EG31-MAX(DaB!ED31:EF31),0))</f>
        <v>0</v>
      </c>
      <c r="CU31" s="34">
        <f>IF(CW31=0,0,MIN(DaB!$EI31:$EJ31)-SUM($C31:CT31))</f>
        <v>0</v>
      </c>
      <c r="CV31" s="29">
        <f>IF(CW31=0,0,IF(DaB!EI31&gt;0,DaB!EJ31-DaB!EI31,0))</f>
        <v>0</v>
      </c>
      <c r="CW31" s="33">
        <f>IF(DaB!EK31&gt;0,DaB!EK31-DaB!EJ31+1,0)</f>
        <v>0</v>
      </c>
      <c r="CX31" s="32">
        <f>IF(CW31=0,0,IF(DaB!EM31&gt;0,DaB!EM31-DaB!EL31+1,0))</f>
        <v>0</v>
      </c>
      <c r="CY31" s="30">
        <f>IF(CW31=0,0,IF(DaB!EN31&gt;0,DaB!EN31-MAX(DaB!EK31:EM31),0))</f>
        <v>0</v>
      </c>
      <c r="DF31" s="2">
        <f t="shared" si="0"/>
        <v>45474</v>
      </c>
      <c r="DG31" s="28"/>
      <c r="DH31" s="29"/>
      <c r="DI31" s="10"/>
      <c r="DJ31" s="10"/>
      <c r="DK31" s="11"/>
      <c r="DL31" s="11"/>
      <c r="DM31" s="30"/>
      <c r="DN31" s="28"/>
      <c r="DO31" s="29"/>
      <c r="DP31" s="10"/>
      <c r="DQ31" s="10"/>
      <c r="DR31" s="11"/>
      <c r="DS31" s="11"/>
      <c r="DT31" s="30"/>
      <c r="DU31" s="28"/>
      <c r="DV31" s="29"/>
      <c r="DW31" s="10"/>
      <c r="DX31" s="10"/>
      <c r="DY31" s="11"/>
      <c r="DZ31" s="11"/>
      <c r="EA31" s="30"/>
      <c r="EB31" s="28"/>
      <c r="EC31" s="29"/>
      <c r="ED31" s="10"/>
      <c r="EE31" s="10"/>
      <c r="EF31" s="11"/>
      <c r="EG31" s="11"/>
      <c r="EH31" s="30"/>
      <c r="EI31" s="34"/>
      <c r="EJ31" s="29"/>
      <c r="EK31" s="10"/>
      <c r="EL31" s="10"/>
      <c r="EM31" s="30"/>
      <c r="EN31" s="34"/>
      <c r="EO31" s="29"/>
      <c r="EP31" s="47"/>
      <c r="EQ31" s="47"/>
      <c r="ER31" s="30"/>
      <c r="ES31" s="34"/>
      <c r="ET31" s="29"/>
      <c r="EU31" s="47"/>
      <c r="EV31" s="47"/>
      <c r="EW31" s="30"/>
    </row>
    <row r="32" spans="1:153" x14ac:dyDescent="0.2">
      <c r="A32" s="2" t="str">
        <f>DaB!A32</f>
        <v>Calendar 14</v>
      </c>
      <c r="B32" s="2" t="str">
        <f t="shared" si="3"/>
        <v>.</v>
      </c>
      <c r="C32" s="27">
        <f t="shared" si="1"/>
        <v>45474</v>
      </c>
      <c r="D32" s="34">
        <f>IFERROR(MIN(DaB!F32:K32)-C32,0)</f>
        <v>-45474</v>
      </c>
      <c r="E32" s="29">
        <f>IF(F32=0,0,IF(DaB!F32&gt;0,DaB!G32-DaB!F32,0))</f>
        <v>0</v>
      </c>
      <c r="F32" s="33">
        <f>IF(DaB!G32&gt;MAX(DaB!EV32,DaB!FJ32),DaB!H32-DaB!G32+1,
IF(DaB!H32&gt;0,DaB!H32-DaB!G32,0))</f>
        <v>0</v>
      </c>
      <c r="G32" s="32">
        <f>IF(F32=0,0,IF(DaB!J32&gt;0,DaB!J32-DaB!I32+1,0))</f>
        <v>0</v>
      </c>
      <c r="H32" s="30">
        <f>IF(F32=0,0,IF(DaB!K32&gt;0,DaB!K32-MAX(DaB!H32:J32),0))</f>
        <v>0</v>
      </c>
      <c r="I32" s="34">
        <f>IF(K32=0,0,MIN(DaB!$M32:$N32)-SUM($C32:H32))</f>
        <v>0</v>
      </c>
      <c r="J32" s="29">
        <f>IF(K32=0,0,IF(DaB!M32&gt;0,DaB!N32-DaB!M32,0))</f>
        <v>0</v>
      </c>
      <c r="K32" s="33">
        <f>IF(DaB!O32&gt;0,DaB!O32-DaB!N32+1,0)</f>
        <v>0</v>
      </c>
      <c r="L32" s="32">
        <f>IF(K32=0,0,IF(DaB!Q32&gt;0,DaB!Q32-DaB!P32+1,0))</f>
        <v>0</v>
      </c>
      <c r="M32" s="30">
        <f>IF(K32=0,0,IF(DaB!R32&gt;0,DaB!R32-MAX(DaB!O32:Q32),0))</f>
        <v>0</v>
      </c>
      <c r="N32" s="31">
        <f>IF(P32=0,0,MIN(DaB!$T32:$U32)-SUM($C32:M32))</f>
        <v>0</v>
      </c>
      <c r="O32" s="29">
        <f>IF(P32=0,0,IF(DaB!T32&gt;0,DaB!U32-DaB!T32,0))</f>
        <v>0</v>
      </c>
      <c r="P32" s="33">
        <f>IF(DaB!V32&gt;0,DaB!V32-DaB!U32+1,0)</f>
        <v>0</v>
      </c>
      <c r="Q32" s="32">
        <f>IF(P32=0,0,IF(DaB!X32&gt;0,DaB!X32-DaB!W32+1,0))</f>
        <v>0</v>
      </c>
      <c r="R32" s="30">
        <f>IF(P32=0,0,IF(DaB!Y32&gt;0,DaB!Y32-MAX(DaB!V32:X32),0))</f>
        <v>0</v>
      </c>
      <c r="S32" s="34">
        <f>IF(U32=0,0,MIN(DaB!$AA32:$AB32)-SUM($C32:R32))</f>
        <v>0</v>
      </c>
      <c r="T32" s="29">
        <f>IF(U32=0,0,IF(DaB!AA32&gt;0,DaB!AB32-DaB!AA32,0))</f>
        <v>0</v>
      </c>
      <c r="U32" s="33">
        <f>IF(DaB!AC32&gt;0,DaB!AC32-DaB!AB32+1,0)</f>
        <v>0</v>
      </c>
      <c r="V32" s="32">
        <f>IF(U32=0,0,IF(DaB!AE32&gt;0,DaB!AE32-DaB!AD32+1,0))</f>
        <v>0</v>
      </c>
      <c r="W32" s="30">
        <f>IF(U32=0,0,IF(DaB!AF32&gt;0,DaB!AF32-MAX(DaB!AC32:AE32),0))</f>
        <v>0</v>
      </c>
      <c r="X32" s="34">
        <f>IF(Z32=0,0,MIN(DaB!$AH32:$AI32)-SUM($C32:W32))</f>
        <v>0</v>
      </c>
      <c r="Y32" s="29">
        <f>IF(Z32=0,0,IF(DaB!AH32&gt;0,DaB!AI32-DaB!AH32,0))</f>
        <v>0</v>
      </c>
      <c r="Z32" s="33">
        <f>IF(DaB!AJ32&gt;0,DaB!AJ32-DaB!AI32+1,0)</f>
        <v>0</v>
      </c>
      <c r="AA32" s="32">
        <f>IF(Z32=0,0,IF(DaB!AL32&gt;0,DaB!AL32-DaB!AK32+1,0))</f>
        <v>0</v>
      </c>
      <c r="AB32" s="30">
        <f>IF(Z32=0,0,IF(DaB!AM32&gt;0,DaB!AM32-MAX(DaB!AJ32:AL32),0))</f>
        <v>0</v>
      </c>
      <c r="AC32" s="34">
        <f>IF(AE32=0,0,MIN(DaB!$AO32:$AP32)-SUM($C32:AB32))</f>
        <v>0</v>
      </c>
      <c r="AD32" s="29">
        <f>IF(AE32=0,0,IF(DaB!AO32&gt;0,DaB!AP32-DaB!AO32,0))</f>
        <v>0</v>
      </c>
      <c r="AE32" s="33">
        <f>IF(DaB!AQ32&gt;0,DaB!AQ32-DaB!AP32+1,0)</f>
        <v>0</v>
      </c>
      <c r="AF32" s="32">
        <f>IF(AE32=0,0,IF(DaB!AS32&gt;0,DaB!AS32-DaB!AR32+1,0))</f>
        <v>0</v>
      </c>
      <c r="AG32" s="30">
        <f>IF(AE32=0,0,IF(DaB!AT32&gt;0,DaB!AT32-MAX(DaB!AQ32:AS32),0))</f>
        <v>0</v>
      </c>
      <c r="AH32" s="34">
        <f>IF(AJ32=0,0,MIN(DaB!$AV32:$AW32)-SUM($C32:AG32))</f>
        <v>0</v>
      </c>
      <c r="AI32" s="29">
        <f>IF(AJ32=0,0,IF(DaB!AV32&gt;0,DaB!AW32-DaB!AV32,0))</f>
        <v>0</v>
      </c>
      <c r="AJ32" s="33">
        <f>IF(DaB!AX32&gt;0,DaB!AX32-DaB!AW32+1,0)</f>
        <v>0</v>
      </c>
      <c r="AK32" s="32">
        <f>IF(AJ32=0,0,IF(DaB!AZ32&gt;0,DaB!AZ32-DaB!AY32+1,0))</f>
        <v>0</v>
      </c>
      <c r="AL32" s="30">
        <f>IF(AJ32=0,0,IF(DaB!BA32&gt;0,DaB!BA32-MAX(DaB!AX32:AZ32),0))</f>
        <v>0</v>
      </c>
      <c r="AM32" s="34">
        <f>IF(AO32=0,0,MIN(DaB!$BC32:$BD32)-SUM($C32:AL32))</f>
        <v>0</v>
      </c>
      <c r="AN32" s="29">
        <f>IF(AO32=0,0,IF(DaB!BC32&gt;0,DaB!BD32-DaB!BC32,0))</f>
        <v>0</v>
      </c>
      <c r="AO32" s="33">
        <f>IF(DaB!BE32&gt;0,DaB!BE32-DaB!BD32+1,0)</f>
        <v>0</v>
      </c>
      <c r="AP32" s="32">
        <f>IF(AO32=0,0,IF(DaB!BG32&gt;0,DaB!BG32-DaB!BF32+1,0))</f>
        <v>0</v>
      </c>
      <c r="AQ32" s="30">
        <f>IF(AO32=0,0,IF(DaB!BH32&gt;0,DaB!BH32-MAX(DaB!BE32:BG32),0))</f>
        <v>0</v>
      </c>
      <c r="AR32" s="34">
        <f>IF(AT32=0,0,MIN(DaB!$BJ32:$BK32)-SUM($C32:AQ32))</f>
        <v>0</v>
      </c>
      <c r="AS32" s="29">
        <f>IF(AT32=0,0,IF(DaB!BJ32&gt;0,DaB!BK32-DaB!BJ32,0))</f>
        <v>0</v>
      </c>
      <c r="AT32" s="33">
        <f>IF(DaB!BL32&gt;0,DaB!BL32-DaB!BK32+1,0)</f>
        <v>0</v>
      </c>
      <c r="AU32" s="32">
        <f>IF(AT32=0,0,IF(DaB!BN32&gt;0,DaB!BN32-DaB!BM32+1,0))</f>
        <v>0</v>
      </c>
      <c r="AV32" s="30">
        <f>IF(AT32=0,0,IF(DaB!BO32&gt;0,DaB!BO32-MAX(DaB!BL32:BN32),0))</f>
        <v>0</v>
      </c>
      <c r="AW32" s="34">
        <f>IF(AY32=0,0,MIN(DaB!$BQ32:$BR32)-SUM($C32:AV32))</f>
        <v>0</v>
      </c>
      <c r="AX32" s="29">
        <f>IF(AY32=0,0,IF(DaB!BQ32&gt;0,DaB!BR32-DaB!BQ32,0))</f>
        <v>0</v>
      </c>
      <c r="AY32" s="33">
        <f>IF(DaB!BS32&gt;0,DaB!BS32-DaB!BR32+1,0)</f>
        <v>0</v>
      </c>
      <c r="AZ32" s="32">
        <f>IF(AY32=0,0,IF(DaB!BU32&gt;0,DaB!BU32-DaB!BT32+1,0))</f>
        <v>0</v>
      </c>
      <c r="BA32" s="30">
        <f>IF(AY32=0,0,IF(DaB!BV32&gt;0,DaB!BV32-MAX(DaB!BS32:BU32),0))</f>
        <v>0</v>
      </c>
      <c r="BB32" s="34">
        <f>IF(BD32=0,0,MIN(DaB!$BX32:$BY32)-SUM($C32:BA32))</f>
        <v>0</v>
      </c>
      <c r="BC32" s="29">
        <f>IF(BD32=0,0,IF(DaB!BX32&gt;0,DaB!BY32-DaB!BX32,0))</f>
        <v>0</v>
      </c>
      <c r="BD32" s="33">
        <f>IF(DaB!BZ32&gt;0,DaB!BZ32-DaB!BY32+1,0)</f>
        <v>0</v>
      </c>
      <c r="BE32" s="32">
        <f>IF(BD32=0,0,IF(DaB!CB32&gt;0,DaB!CB32-DaB!CA32+1,0))</f>
        <v>0</v>
      </c>
      <c r="BF32" s="30">
        <f>IF(BD32=0,0,IF(DaB!CC32&gt;0,DaB!CC32-MAX(DaB!BZ32:CB32),0))</f>
        <v>0</v>
      </c>
      <c r="BG32" s="34">
        <f>IF(BI32=0,0,MIN(DaB!$CE32:$CF32)-SUM($C32:BF32))</f>
        <v>0</v>
      </c>
      <c r="BH32" s="29">
        <f>IF(BI32=0,0,IF(DaB!CE32&gt;0,DaB!CF32-DaB!CE32,0))</f>
        <v>0</v>
      </c>
      <c r="BI32" s="33">
        <f>IF(DaB!CG32&gt;0,DaB!CG32-DaB!CF32+1,0)</f>
        <v>0</v>
      </c>
      <c r="BJ32" s="32">
        <f>IF(BI32=0,0,IF(DaB!CI32&gt;0,DaB!CI32-DaB!CH32+1,0))</f>
        <v>0</v>
      </c>
      <c r="BK32" s="30">
        <f>IF(BI32=0,0,IF(DaB!CJ32&gt;0,DaB!CJ32-MAX(DaB!CG32:CI32),0))</f>
        <v>0</v>
      </c>
      <c r="BL32" s="34">
        <f>IF(BN32=0,0,MIN(DaB!$CL32:$CM32)-SUM($C32:BK32))</f>
        <v>0</v>
      </c>
      <c r="BM32" s="29">
        <f>IF(BN32=0,0,IF(DaB!CL32&gt;0,DaB!CM32-DaB!CL32,0))</f>
        <v>0</v>
      </c>
      <c r="BN32" s="33">
        <f>IF(DaB!CN32&gt;0,DaB!CN32-DaB!CM32+1,0)</f>
        <v>0</v>
      </c>
      <c r="BO32" s="32">
        <f>IF(BN32=0,0,IF(DaB!CP32&gt;0,DaB!CP32-DaB!CO32+1,0))</f>
        <v>0</v>
      </c>
      <c r="BP32" s="30">
        <f>IF(BN32=0,0,IF(DaB!CQ32&gt;0,DaB!CQ32-MAX(DaB!CN32:CP32),0))</f>
        <v>0</v>
      </c>
      <c r="BQ32" s="34">
        <f>IF(BS32=0,0,MIN(DaB!$CS32:$CT32)-SUM($C32:BP32))</f>
        <v>0</v>
      </c>
      <c r="BR32" s="29">
        <f>IF(BS32=0,0,IF(DaB!CS32&gt;0,DaB!CT32-DaB!CS32,0))</f>
        <v>0</v>
      </c>
      <c r="BS32" s="33">
        <f>IF(DaB!CU32&gt;0,DaB!CU32-DaB!CT32+1,0)</f>
        <v>0</v>
      </c>
      <c r="BT32" s="32">
        <f>IF(BS32=0,0,IF(DaB!CW32&gt;0,DaB!CW32-DaB!CV32+1,0))</f>
        <v>0</v>
      </c>
      <c r="BU32" s="30">
        <f>IF(BS32=0,0,IF(DaB!CX32&gt;0,DaB!CX32-MAX(DaB!CU32:CW32),0))</f>
        <v>0</v>
      </c>
      <c r="BV32" s="34">
        <f>IF(BX32=0,0,MIN(DaB!$CZ32:$DA32)-SUM($C32:BU32))</f>
        <v>0</v>
      </c>
      <c r="BW32" s="29">
        <f>IF(BX32=0,0,IF(DaB!CZ32&gt;0,DaB!DA32-DaB!CZ32,0))</f>
        <v>0</v>
      </c>
      <c r="BX32" s="33">
        <f>IF(DaB!DB32&gt;0,DaB!DB32-DaB!DA32+1,0)</f>
        <v>0</v>
      </c>
      <c r="BY32" s="32">
        <f>IF(BX32=0,0,IF(DaB!DD32&gt;0,DaB!DD32-DaB!DC32+1,0))</f>
        <v>0</v>
      </c>
      <c r="BZ32" s="30">
        <f>IF(BX32=0,0,IF(DaB!DE32&gt;0,DaB!DE32-MAX(DaB!DB32:DD32),0))</f>
        <v>0</v>
      </c>
      <c r="CA32" s="34">
        <f>IF(CC32=0,0,MIN(DaB!$DG32:$DH32)-SUM($C32:BZ32))</f>
        <v>0</v>
      </c>
      <c r="CB32" s="29">
        <f>IF(CC32=0,0,IF(DaB!DG32&gt;0,DaB!DH32-DaB!DG32,0))</f>
        <v>0</v>
      </c>
      <c r="CC32" s="33">
        <f>IF(DaB!DI32&gt;0,DaB!DI32-DaB!DH32+1,0)</f>
        <v>0</v>
      </c>
      <c r="CD32" s="32">
        <f>IF(CC32=0,0,IF(DaB!DK32&gt;0,DaB!DK32-DaB!DJ32+1,0))</f>
        <v>0</v>
      </c>
      <c r="CE32" s="30">
        <f>IF(CC32=0,0,IF(DaB!DL32&gt;0,DaB!DL32-MAX(DaB!DI32:DK32),0))</f>
        <v>0</v>
      </c>
      <c r="CF32" s="34">
        <f>IF(CH32=0,0,MIN(DaB!$DN32:$DO32)-SUM($C32:CE32))</f>
        <v>0</v>
      </c>
      <c r="CG32" s="29">
        <f>IF(CH32=0,0,IF(DaB!DN32&gt;0,DaB!DO32-DaB!DN32,0))</f>
        <v>0</v>
      </c>
      <c r="CH32" s="33">
        <f>IF(DaB!DP32&gt;0,DaB!DP32-DaB!DO32+1,0)</f>
        <v>0</v>
      </c>
      <c r="CI32" s="32">
        <f>IF(CH32=0,0,IF(DaB!DR32&gt;0,DaB!DR32-DaB!DQ32+1,0))</f>
        <v>0</v>
      </c>
      <c r="CJ32" s="30">
        <f>IF(CH32=0,0,IF(DaB!DS32&gt;0,DaB!DS32-MAX(DaB!DP32:DR32),0))</f>
        <v>0</v>
      </c>
      <c r="CK32" s="34">
        <f>IF(CM32=0,0,MIN(DaB!$DU32:$DV32)-SUM($C32:CJ32))</f>
        <v>0</v>
      </c>
      <c r="CL32" s="29">
        <f>IF(CM32=0,0,IF(DaB!DU32&gt;0,DaB!DV32-DaB!DU32,0))</f>
        <v>0</v>
      </c>
      <c r="CM32" s="33">
        <f>IF(DaB!DW32&gt;0,DaB!DW32-DaB!DV32+1,0)</f>
        <v>0</v>
      </c>
      <c r="CN32" s="32">
        <f>IF(CM32=0,0,IF(DaB!DY32&gt;0,DaB!DY32-DaB!DX32+1,0))</f>
        <v>0</v>
      </c>
      <c r="CO32" s="30">
        <f>IF(CM32=0,0,IF(DaB!DZ32&gt;0,DaB!DZ32-MAX(DaB!DW32:DY32),0))</f>
        <v>0</v>
      </c>
      <c r="CP32" s="34">
        <f>IF(CR32=0,0,MIN(DaB!$EB32:$EC32)-SUM($C32:CO32))</f>
        <v>0</v>
      </c>
      <c r="CQ32" s="29">
        <f>IF(CR32=0,0,IF(DaB!EB32&gt;0,DaB!EC32-DaB!EB32,0))</f>
        <v>0</v>
      </c>
      <c r="CR32" s="33">
        <f>IF(DaB!ED32&gt;0,DaB!ED32-DaB!EC32+1,0)</f>
        <v>0</v>
      </c>
      <c r="CS32" s="32">
        <f>IF(CR32=0,0,IF(DaB!EF32&gt;0,DaB!EF32-DaB!EE32+1,0))</f>
        <v>0</v>
      </c>
      <c r="CT32" s="30">
        <f>IF(CR32=0,0,IF(DaB!EG32&gt;0,DaB!EG32-MAX(DaB!ED32:EF32),0))</f>
        <v>0</v>
      </c>
      <c r="CU32" s="34">
        <f>IF(CW32=0,0,MIN(DaB!$EI32:$EJ32)-SUM($C32:CT32))</f>
        <v>0</v>
      </c>
      <c r="CV32" s="29">
        <f>IF(CW32=0,0,IF(DaB!EI32&gt;0,DaB!EJ32-DaB!EI32,0))</f>
        <v>0</v>
      </c>
      <c r="CW32" s="33">
        <f>IF(DaB!EK32&gt;0,DaB!EK32-DaB!EJ32+1,0)</f>
        <v>0</v>
      </c>
      <c r="CX32" s="32">
        <f>IF(CW32=0,0,IF(DaB!EM32&gt;0,DaB!EM32-DaB!EL32+1,0))</f>
        <v>0</v>
      </c>
      <c r="CY32" s="30">
        <f>IF(CW32=0,0,IF(DaB!EN32&gt;0,DaB!EN32-MAX(DaB!EK32:EM32),0))</f>
        <v>0</v>
      </c>
      <c r="DF32" s="2">
        <f t="shared" si="0"/>
        <v>45474</v>
      </c>
      <c r="DG32" s="28"/>
      <c r="DH32" s="29"/>
      <c r="DI32" s="10"/>
      <c r="DJ32" s="10"/>
      <c r="DK32" s="11"/>
      <c r="DL32" s="11"/>
      <c r="DM32" s="30"/>
      <c r="DN32" s="28"/>
      <c r="DO32" s="29"/>
      <c r="DP32" s="10"/>
      <c r="DQ32" s="10"/>
      <c r="DR32" s="11"/>
      <c r="DS32" s="11"/>
      <c r="DT32" s="30"/>
      <c r="DU32" s="28"/>
      <c r="DV32" s="29"/>
      <c r="DW32" s="10"/>
      <c r="DX32" s="10"/>
      <c r="DY32" s="11"/>
      <c r="DZ32" s="11"/>
      <c r="EA32" s="30"/>
      <c r="EB32" s="28"/>
      <c r="EC32" s="29"/>
      <c r="ED32" s="10"/>
      <c r="EE32" s="10"/>
      <c r="EF32" s="11"/>
      <c r="EG32" s="11"/>
      <c r="EH32" s="30"/>
      <c r="EI32" s="34"/>
      <c r="EJ32" s="29"/>
      <c r="EK32" s="10"/>
      <c r="EL32" s="10"/>
      <c r="EM32" s="30"/>
      <c r="EN32" s="34"/>
      <c r="EO32" s="29"/>
      <c r="EP32" s="47"/>
      <c r="EQ32" s="47"/>
      <c r="ER32" s="30"/>
      <c r="ES32" s="34"/>
      <c r="ET32" s="29"/>
      <c r="EU32" s="47"/>
      <c r="EV32" s="47"/>
      <c r="EW32" s="30"/>
    </row>
    <row r="33" spans="1:153" x14ac:dyDescent="0.2">
      <c r="A33" s="2" t="str">
        <f>DaB!A33</f>
        <v xml:space="preserve">Calendar 14 </v>
      </c>
      <c r="B33" s="2" t="str">
        <f t="shared" si="3"/>
        <v>.</v>
      </c>
      <c r="C33" s="27">
        <f t="shared" si="1"/>
        <v>45474</v>
      </c>
      <c r="D33" s="34">
        <f>IFERROR(MIN(DaB!F33:K33)-C33,0)</f>
        <v>-45474</v>
      </c>
      <c r="E33" s="29">
        <f>IF(F33=0,0,IF(DaB!F33&gt;0,DaB!G33-DaB!F33,0))</f>
        <v>0</v>
      </c>
      <c r="F33" s="33">
        <f>IF(DaB!G33&gt;MAX(DaB!EV33,DaB!FJ33),DaB!H33-DaB!G33+1,
IF(DaB!H33&gt;0,DaB!H33-DaB!G33,0))</f>
        <v>0</v>
      </c>
      <c r="G33" s="32">
        <f>IF(F33=0,0,IF(DaB!J33&gt;0,DaB!J33-DaB!I33+1,0))</f>
        <v>0</v>
      </c>
      <c r="H33" s="30">
        <f>IF(F33=0,0,IF(DaB!K33&gt;0,DaB!K33-MAX(DaB!H33:J33),0))</f>
        <v>0</v>
      </c>
      <c r="I33" s="34">
        <f>IF(K33=0,0,MIN(DaB!$M33:$N33)-SUM($C33:H33))</f>
        <v>0</v>
      </c>
      <c r="J33" s="29">
        <f>IF(K33=0,0,IF(DaB!M33&gt;0,DaB!N33-DaB!M33,0))</f>
        <v>0</v>
      </c>
      <c r="K33" s="33">
        <f>IF(DaB!O33&gt;0,DaB!O33-DaB!N33+1,0)</f>
        <v>0</v>
      </c>
      <c r="L33" s="32">
        <f>IF(K33=0,0,IF(DaB!Q33&gt;0,DaB!Q33-DaB!P33+1,0))</f>
        <v>0</v>
      </c>
      <c r="M33" s="30">
        <f>IF(K33=0,0,IF(DaB!R33&gt;0,DaB!R33-MAX(DaB!O33:Q33),0))</f>
        <v>0</v>
      </c>
      <c r="N33" s="31">
        <f>IF(P33=0,0,MIN(DaB!$T33:$U33)-SUM($C33:M33))</f>
        <v>0</v>
      </c>
      <c r="O33" s="29">
        <f>IF(P33=0,0,IF(DaB!T33&gt;0,DaB!U33-DaB!T33,0))</f>
        <v>0</v>
      </c>
      <c r="P33" s="33">
        <f>IF(DaB!V33&gt;0,DaB!V33-DaB!U33+1,0)</f>
        <v>0</v>
      </c>
      <c r="Q33" s="32">
        <f>IF(P33=0,0,IF(DaB!X33&gt;0,DaB!X33-DaB!W33+1,0))</f>
        <v>0</v>
      </c>
      <c r="R33" s="30">
        <f>IF(P33=0,0,IF(DaB!Y33&gt;0,DaB!Y33-MAX(DaB!V33:X33),0))</f>
        <v>0</v>
      </c>
      <c r="S33" s="34">
        <f>IF(U33=0,0,MIN(DaB!$AA33:$AB33)-SUM($C33:R33))</f>
        <v>0</v>
      </c>
      <c r="T33" s="29">
        <f>IF(U33=0,0,IF(DaB!AA33&gt;0,DaB!AB33-DaB!AA33,0))</f>
        <v>0</v>
      </c>
      <c r="U33" s="33">
        <f>IF(DaB!AC33&gt;0,DaB!AC33-DaB!AB33+1,0)</f>
        <v>0</v>
      </c>
      <c r="V33" s="32">
        <f>IF(U33=0,0,IF(DaB!AE33&gt;0,DaB!AE33-DaB!AD33+1,0))</f>
        <v>0</v>
      </c>
      <c r="W33" s="30">
        <f>IF(U33=0,0,IF(DaB!AF33&gt;0,DaB!AF33-MAX(DaB!AC33:AE33),0))</f>
        <v>0</v>
      </c>
      <c r="X33" s="34">
        <f>IF(Z33=0,0,MIN(DaB!$AH33:$AI33)-SUM($C33:W33))</f>
        <v>0</v>
      </c>
      <c r="Y33" s="29">
        <f>IF(Z33=0,0,IF(DaB!AH33&gt;0,DaB!AI33-DaB!AH33,0))</f>
        <v>0</v>
      </c>
      <c r="Z33" s="33">
        <f>IF(DaB!AJ33&gt;0,DaB!AJ33-DaB!AI33+1,0)</f>
        <v>0</v>
      </c>
      <c r="AA33" s="32">
        <f>IF(Z33=0,0,IF(DaB!AL33&gt;0,DaB!AL33-DaB!AK33+1,0))</f>
        <v>0</v>
      </c>
      <c r="AB33" s="30">
        <f>IF(Z33=0,0,IF(DaB!AM33&gt;0,DaB!AM33-MAX(DaB!AJ33:AL33),0))</f>
        <v>0</v>
      </c>
      <c r="AC33" s="34">
        <f>IF(AE33=0,0,MIN(DaB!$AO33:$AP33)-SUM($C33:AB33))</f>
        <v>0</v>
      </c>
      <c r="AD33" s="29">
        <f>IF(AE33=0,0,IF(DaB!AO33&gt;0,DaB!AP33-DaB!AO33,0))</f>
        <v>0</v>
      </c>
      <c r="AE33" s="33">
        <f>IF(DaB!AQ33&gt;0,DaB!AQ33-DaB!AP33+1,0)</f>
        <v>0</v>
      </c>
      <c r="AF33" s="32">
        <f>IF(AE33=0,0,IF(DaB!AS33&gt;0,DaB!AS33-DaB!AR33+1,0))</f>
        <v>0</v>
      </c>
      <c r="AG33" s="30">
        <f>IF(AE33=0,0,IF(DaB!AT33&gt;0,DaB!AT33-MAX(DaB!AQ33:AS33),0))</f>
        <v>0</v>
      </c>
      <c r="AH33" s="34">
        <f>IF(AJ33=0,0,MIN(DaB!$AV33:$AW33)-SUM($C33:AG33))</f>
        <v>0</v>
      </c>
      <c r="AI33" s="29">
        <f>IF(AJ33=0,0,IF(DaB!AV33&gt;0,DaB!AW33-DaB!AV33,0))</f>
        <v>0</v>
      </c>
      <c r="AJ33" s="33">
        <f>IF(DaB!AX33&gt;0,DaB!AX33-DaB!AW33+1,0)</f>
        <v>0</v>
      </c>
      <c r="AK33" s="32">
        <f>IF(AJ33=0,0,IF(DaB!AZ33&gt;0,DaB!AZ33-DaB!AY33+1,0))</f>
        <v>0</v>
      </c>
      <c r="AL33" s="30">
        <f>IF(AJ33=0,0,IF(DaB!BA33&gt;0,DaB!BA33-MAX(DaB!AX33:AZ33),0))</f>
        <v>0</v>
      </c>
      <c r="AM33" s="34">
        <f>IF(AO33=0,0,MIN(DaB!$BC33:$BD33)-SUM($C33:AL33))</f>
        <v>0</v>
      </c>
      <c r="AN33" s="29">
        <f>IF(AO33=0,0,IF(DaB!BC33&gt;0,DaB!BD33-DaB!BC33,0))</f>
        <v>0</v>
      </c>
      <c r="AO33" s="33">
        <f>IF(DaB!BE33&gt;0,DaB!BE33-DaB!BD33+1,0)</f>
        <v>0</v>
      </c>
      <c r="AP33" s="32">
        <f>IF(AO33=0,0,IF(DaB!BG33&gt;0,DaB!BG33-DaB!BF33+1,0))</f>
        <v>0</v>
      </c>
      <c r="AQ33" s="30">
        <f>IF(AO33=0,0,IF(DaB!BH33&gt;0,DaB!BH33-MAX(DaB!BE33:BG33),0))</f>
        <v>0</v>
      </c>
      <c r="AR33" s="34">
        <f>IF(AT33=0,0,MIN(DaB!$BJ33:$BK33)-SUM($C33:AQ33))</f>
        <v>0</v>
      </c>
      <c r="AS33" s="29">
        <f>IF(AT33=0,0,IF(DaB!BJ33&gt;0,DaB!BK33-DaB!BJ33,0))</f>
        <v>0</v>
      </c>
      <c r="AT33" s="33">
        <f>IF(DaB!BL33&gt;0,DaB!BL33-DaB!BK33+1,0)</f>
        <v>0</v>
      </c>
      <c r="AU33" s="32">
        <f>IF(AT33=0,0,IF(DaB!BN33&gt;0,DaB!BN33-DaB!BM33+1,0))</f>
        <v>0</v>
      </c>
      <c r="AV33" s="30">
        <f>IF(AT33=0,0,IF(DaB!BO33&gt;0,DaB!BO33-MAX(DaB!BL33:BN33),0))</f>
        <v>0</v>
      </c>
      <c r="AW33" s="34">
        <f>IF(AY33=0,0,MIN(DaB!$BQ33:$BR33)-SUM($C33:AV33))</f>
        <v>0</v>
      </c>
      <c r="AX33" s="29">
        <f>IF(AY33=0,0,IF(DaB!BQ33&gt;0,DaB!BR33-DaB!BQ33,0))</f>
        <v>0</v>
      </c>
      <c r="AY33" s="33">
        <f>IF(DaB!BS33&gt;0,DaB!BS33-DaB!BR33+1,0)</f>
        <v>0</v>
      </c>
      <c r="AZ33" s="32">
        <f>IF(AY33=0,0,IF(DaB!BU33&gt;0,DaB!BU33-DaB!BT33+1,0))</f>
        <v>0</v>
      </c>
      <c r="BA33" s="30">
        <f>IF(AY33=0,0,IF(DaB!BV33&gt;0,DaB!BV33-MAX(DaB!BS33:BU33),0))</f>
        <v>0</v>
      </c>
      <c r="BB33" s="34">
        <f>IF(BD33=0,0,MIN(DaB!$BX33:$BY33)-SUM($C33:BA33))</f>
        <v>0</v>
      </c>
      <c r="BC33" s="29">
        <f>IF(BD33=0,0,IF(DaB!BX33&gt;0,DaB!BY33-DaB!BX33,0))</f>
        <v>0</v>
      </c>
      <c r="BD33" s="33">
        <f>IF(DaB!BZ33&gt;0,DaB!BZ33-DaB!BY33+1,0)</f>
        <v>0</v>
      </c>
      <c r="BE33" s="32">
        <f>IF(BD33=0,0,IF(DaB!CB33&gt;0,DaB!CB33-DaB!CA33+1,0))</f>
        <v>0</v>
      </c>
      <c r="BF33" s="30">
        <f>IF(BD33=0,0,IF(DaB!CC33&gt;0,DaB!CC33-MAX(DaB!BZ33:CB33),0))</f>
        <v>0</v>
      </c>
      <c r="BG33" s="34">
        <f>IF(BI33=0,0,MIN(DaB!$CE33:$CF33)-SUM($C33:BF33))</f>
        <v>0</v>
      </c>
      <c r="BH33" s="29">
        <f>IF(BI33=0,0,IF(DaB!CE33&gt;0,DaB!CF33-DaB!CE33,0))</f>
        <v>0</v>
      </c>
      <c r="BI33" s="33">
        <f>IF(DaB!CG33&gt;0,DaB!CG33-DaB!CF33+1,0)</f>
        <v>0</v>
      </c>
      <c r="BJ33" s="32">
        <f>IF(BI33=0,0,IF(DaB!CI33&gt;0,DaB!CI33-DaB!CH33+1,0))</f>
        <v>0</v>
      </c>
      <c r="BK33" s="30">
        <f>IF(BI33=0,0,IF(DaB!CJ33&gt;0,DaB!CJ33-MAX(DaB!CG33:CI33),0))</f>
        <v>0</v>
      </c>
      <c r="BL33" s="34">
        <f>IF(BN33=0,0,MIN(DaB!$CL33:$CM33)-SUM($C33:BK33))</f>
        <v>0</v>
      </c>
      <c r="BM33" s="29">
        <f>IF(BN33=0,0,IF(DaB!CL33&gt;0,DaB!CM33-DaB!CL33,0))</f>
        <v>0</v>
      </c>
      <c r="BN33" s="33">
        <f>IF(DaB!CN33&gt;0,DaB!CN33-DaB!CM33+1,0)</f>
        <v>0</v>
      </c>
      <c r="BO33" s="32">
        <f>IF(BN33=0,0,IF(DaB!CP33&gt;0,DaB!CP33-DaB!CO33+1,0))</f>
        <v>0</v>
      </c>
      <c r="BP33" s="30">
        <f>IF(BN33=0,0,IF(DaB!CQ33&gt;0,DaB!CQ33-MAX(DaB!CN33:CP33),0))</f>
        <v>0</v>
      </c>
      <c r="BQ33" s="34">
        <f>IF(BS33=0,0,MIN(DaB!$CS33:$CT33)-SUM($C33:BP33))</f>
        <v>0</v>
      </c>
      <c r="BR33" s="29">
        <f>IF(BS33=0,0,IF(DaB!CS33&gt;0,DaB!CT33-DaB!CS33,0))</f>
        <v>0</v>
      </c>
      <c r="BS33" s="33">
        <f>IF(DaB!CU33&gt;0,DaB!CU33-DaB!CT33+1,0)</f>
        <v>0</v>
      </c>
      <c r="BT33" s="32">
        <f>IF(BS33=0,0,IF(DaB!CW33&gt;0,DaB!CW33-DaB!CV33+1,0))</f>
        <v>0</v>
      </c>
      <c r="BU33" s="30">
        <f>IF(BS33=0,0,IF(DaB!CX33&gt;0,DaB!CX33-MAX(DaB!CU33:CW33),0))</f>
        <v>0</v>
      </c>
      <c r="BV33" s="34">
        <f>IF(BX33=0,0,MIN(DaB!$CZ33:$DA33)-SUM($C33:BU33))</f>
        <v>0</v>
      </c>
      <c r="BW33" s="29">
        <f>IF(BX33=0,0,IF(DaB!CZ33&gt;0,DaB!DA33-DaB!CZ33,0))</f>
        <v>0</v>
      </c>
      <c r="BX33" s="33">
        <f>IF(DaB!DB33&gt;0,DaB!DB33-DaB!DA33+1,0)</f>
        <v>0</v>
      </c>
      <c r="BY33" s="32">
        <f>IF(BX33=0,0,IF(DaB!DD33&gt;0,DaB!DD33-DaB!DC33+1,0))</f>
        <v>0</v>
      </c>
      <c r="BZ33" s="30">
        <f>IF(BX33=0,0,IF(DaB!DE33&gt;0,DaB!DE33-MAX(DaB!DB33:DD33),0))</f>
        <v>0</v>
      </c>
      <c r="CA33" s="34">
        <f>IF(CC33=0,0,MIN(DaB!$DG33:$DH33)-SUM($C33:BZ33))</f>
        <v>0</v>
      </c>
      <c r="CB33" s="29">
        <f>IF(CC33=0,0,IF(DaB!DG33&gt;0,DaB!DH33-DaB!DG33,0))</f>
        <v>0</v>
      </c>
      <c r="CC33" s="33">
        <f>IF(DaB!DI33&gt;0,DaB!DI33-DaB!DH33+1,0)</f>
        <v>0</v>
      </c>
      <c r="CD33" s="32">
        <f>IF(CC33=0,0,IF(DaB!DK33&gt;0,DaB!DK33-DaB!DJ33+1,0))</f>
        <v>0</v>
      </c>
      <c r="CE33" s="30">
        <f>IF(CC33=0,0,IF(DaB!DL33&gt;0,DaB!DL33-MAX(DaB!DI33:DK33),0))</f>
        <v>0</v>
      </c>
      <c r="CF33" s="34">
        <f>IF(CH33=0,0,MIN(DaB!$DN33:$DO33)-SUM($C33:CE33))</f>
        <v>0</v>
      </c>
      <c r="CG33" s="29">
        <f>IF(CH33=0,0,IF(DaB!DN33&gt;0,DaB!DO33-DaB!DN33,0))</f>
        <v>0</v>
      </c>
      <c r="CH33" s="33">
        <f>IF(DaB!DP33&gt;0,DaB!DP33-DaB!DO33+1,0)</f>
        <v>0</v>
      </c>
      <c r="CI33" s="32">
        <f>IF(CH33=0,0,IF(DaB!DR33&gt;0,DaB!DR33-DaB!DQ33+1,0))</f>
        <v>0</v>
      </c>
      <c r="CJ33" s="30">
        <f>IF(CH33=0,0,IF(DaB!DS33&gt;0,DaB!DS33-MAX(DaB!DP33:DR33),0))</f>
        <v>0</v>
      </c>
      <c r="CK33" s="34">
        <f>IF(CM33=0,0,MIN(DaB!$DU33:$DV33)-SUM($C33:CJ33))</f>
        <v>0</v>
      </c>
      <c r="CL33" s="29">
        <f>IF(CM33=0,0,IF(DaB!DU33&gt;0,DaB!DV33-DaB!DU33,0))</f>
        <v>0</v>
      </c>
      <c r="CM33" s="33">
        <f>IF(DaB!DW33&gt;0,DaB!DW33-DaB!DV33+1,0)</f>
        <v>0</v>
      </c>
      <c r="CN33" s="32">
        <f>IF(CM33=0,0,IF(DaB!DY33&gt;0,DaB!DY33-DaB!DX33+1,0))</f>
        <v>0</v>
      </c>
      <c r="CO33" s="30">
        <f>IF(CM33=0,0,IF(DaB!DZ33&gt;0,DaB!DZ33-MAX(DaB!DW33:DY33),0))</f>
        <v>0</v>
      </c>
      <c r="CP33" s="34">
        <f>IF(CR33=0,0,MIN(DaB!$EB33:$EC33)-SUM($C33:CO33))</f>
        <v>0</v>
      </c>
      <c r="CQ33" s="29">
        <f>IF(CR33=0,0,IF(DaB!EB33&gt;0,DaB!EC33-DaB!EB33,0))</f>
        <v>0</v>
      </c>
      <c r="CR33" s="33">
        <f>IF(DaB!ED33&gt;0,DaB!ED33-DaB!EC33+1,0)</f>
        <v>0</v>
      </c>
      <c r="CS33" s="32">
        <f>IF(CR33=0,0,IF(DaB!EF33&gt;0,DaB!EF33-DaB!EE33+1,0))</f>
        <v>0</v>
      </c>
      <c r="CT33" s="30">
        <f>IF(CR33=0,0,IF(DaB!EG33&gt;0,DaB!EG33-MAX(DaB!ED33:EF33),0))</f>
        <v>0</v>
      </c>
      <c r="CU33" s="34">
        <f>IF(CW33=0,0,MIN(DaB!$EI33:$EJ33)-SUM($C33:CT33))</f>
        <v>0</v>
      </c>
      <c r="CV33" s="29">
        <f>IF(CW33=0,0,IF(DaB!EI33&gt;0,DaB!EJ33-DaB!EI33,0))</f>
        <v>0</v>
      </c>
      <c r="CW33" s="33">
        <f>IF(DaB!EK33&gt;0,DaB!EK33-DaB!EJ33+1,0)</f>
        <v>0</v>
      </c>
      <c r="CX33" s="32">
        <f>IF(CW33=0,0,IF(DaB!EM33&gt;0,DaB!EM33-DaB!EL33+1,0))</f>
        <v>0</v>
      </c>
      <c r="CY33" s="30">
        <f>IF(CW33=0,0,IF(DaB!EN33&gt;0,DaB!EN33-MAX(DaB!EK33:EM33),0))</f>
        <v>0</v>
      </c>
      <c r="DF33" s="2">
        <f t="shared" si="0"/>
        <v>45474</v>
      </c>
      <c r="DG33" s="28"/>
      <c r="DH33" s="29"/>
      <c r="DI33" s="10"/>
      <c r="DJ33" s="10"/>
      <c r="DK33" s="11"/>
      <c r="DL33" s="11"/>
      <c r="DM33" s="30"/>
      <c r="DN33" s="28"/>
      <c r="DO33" s="29"/>
      <c r="DP33" s="10"/>
      <c r="DQ33" s="10"/>
      <c r="DR33" s="11"/>
      <c r="DS33" s="11"/>
      <c r="DT33" s="30"/>
      <c r="DU33" s="28"/>
      <c r="DV33" s="29"/>
      <c r="DW33" s="10"/>
      <c r="DX33" s="10"/>
      <c r="DY33" s="11"/>
      <c r="DZ33" s="11"/>
      <c r="EA33" s="30"/>
      <c r="EB33" s="28"/>
      <c r="EC33" s="29"/>
      <c r="ED33" s="10"/>
      <c r="EE33" s="10"/>
      <c r="EF33" s="11"/>
      <c r="EG33" s="11"/>
      <c r="EH33" s="30"/>
      <c r="EI33" s="34"/>
      <c r="EJ33" s="29"/>
      <c r="EK33" s="10"/>
      <c r="EL33" s="10"/>
      <c r="EM33" s="30"/>
      <c r="EN33" s="34"/>
      <c r="EO33" s="29"/>
      <c r="EP33" s="47"/>
      <c r="EQ33" s="47"/>
      <c r="ER33" s="30"/>
      <c r="ES33" s="34"/>
      <c r="ET33" s="29"/>
      <c r="EU33" s="47"/>
      <c r="EV33" s="47"/>
      <c r="EW33" s="30"/>
    </row>
    <row r="34" spans="1:153" x14ac:dyDescent="0.2">
      <c r="A34" s="2" t="str">
        <f>DaB!A34</f>
        <v>Calendar 15</v>
      </c>
      <c r="B34" s="2" t="str">
        <f t="shared" si="3"/>
        <v>.</v>
      </c>
      <c r="C34" s="27">
        <f t="shared" si="1"/>
        <v>45474</v>
      </c>
      <c r="D34" s="34">
        <f>IFERROR(MIN(DaB!F34:K34)-C34,0)</f>
        <v>-45474</v>
      </c>
      <c r="E34" s="29">
        <f>IF(F34=0,0,IF(DaB!F34&gt;0,DaB!G34-DaB!F34,0))</f>
        <v>0</v>
      </c>
      <c r="F34" s="33">
        <f>IF(DaB!G34&gt;MAX(DaB!EV34,DaB!FJ34),DaB!H34-DaB!G34+1,
IF(DaB!H34&gt;0,DaB!H34-DaB!G34,0))</f>
        <v>0</v>
      </c>
      <c r="G34" s="32">
        <f>IF(F34=0,0,IF(DaB!J34&gt;0,DaB!J34-DaB!I34+1,0))</f>
        <v>0</v>
      </c>
      <c r="H34" s="30">
        <f>IF(F34=0,0,IF(DaB!K34&gt;0,DaB!K34-MAX(DaB!H34:J34),0))</f>
        <v>0</v>
      </c>
      <c r="I34" s="34">
        <f>IF(K34=0,0,MIN(DaB!$M34:$N34)-SUM($C34:H34))</f>
        <v>0</v>
      </c>
      <c r="J34" s="29">
        <f>IF(K34=0,0,IF(DaB!M34&gt;0,DaB!N34-DaB!M34,0))</f>
        <v>0</v>
      </c>
      <c r="K34" s="33">
        <f>IF(DaB!O34&gt;0,DaB!O34-DaB!N34+1,0)</f>
        <v>0</v>
      </c>
      <c r="L34" s="32">
        <f>IF(K34=0,0,IF(DaB!Q34&gt;0,DaB!Q34-DaB!P34+1,0))</f>
        <v>0</v>
      </c>
      <c r="M34" s="30">
        <f>IF(K34=0,0,IF(DaB!R34&gt;0,DaB!R34-MAX(DaB!O34:Q34),0))</f>
        <v>0</v>
      </c>
      <c r="N34" s="31">
        <f>IF(P34=0,0,MIN(DaB!$T34:$U34)-SUM($C34:M34))</f>
        <v>0</v>
      </c>
      <c r="O34" s="29">
        <f>IF(P34=0,0,IF(DaB!T34&gt;0,DaB!U34-DaB!T34,0))</f>
        <v>0</v>
      </c>
      <c r="P34" s="33">
        <f>IF(DaB!V34&gt;0,DaB!V34-DaB!U34+1,0)</f>
        <v>0</v>
      </c>
      <c r="Q34" s="32">
        <f>IF(P34=0,0,IF(DaB!X34&gt;0,DaB!X34-DaB!W34+1,0))</f>
        <v>0</v>
      </c>
      <c r="R34" s="30">
        <f>IF(P34=0,0,IF(DaB!Y34&gt;0,DaB!Y34-MAX(DaB!V34:X34),0))</f>
        <v>0</v>
      </c>
      <c r="S34" s="34">
        <f>IF(U34=0,0,MIN(DaB!$AA34:$AB34)-SUM($C34:R34))</f>
        <v>0</v>
      </c>
      <c r="T34" s="29">
        <f>IF(U34=0,0,IF(DaB!AA34&gt;0,DaB!AB34-DaB!AA34,0))</f>
        <v>0</v>
      </c>
      <c r="U34" s="33">
        <f>IF(DaB!AC34&gt;0,DaB!AC34-DaB!AB34+1,0)</f>
        <v>0</v>
      </c>
      <c r="V34" s="32">
        <f>IF(U34=0,0,IF(DaB!AE34&gt;0,DaB!AE34-DaB!AD34+1,0))</f>
        <v>0</v>
      </c>
      <c r="W34" s="30">
        <f>IF(U34=0,0,IF(DaB!AF34&gt;0,DaB!AF34-MAX(DaB!AC34:AE34),0))</f>
        <v>0</v>
      </c>
      <c r="X34" s="34">
        <f>IF(Z34=0,0,MIN(DaB!$AH34:$AI34)-SUM($C34:W34))</f>
        <v>0</v>
      </c>
      <c r="Y34" s="29">
        <f>IF(Z34=0,0,IF(DaB!AH34&gt;0,DaB!AI34-DaB!AH34,0))</f>
        <v>0</v>
      </c>
      <c r="Z34" s="33">
        <f>IF(DaB!AJ34&gt;0,DaB!AJ34-DaB!AI34+1,0)</f>
        <v>0</v>
      </c>
      <c r="AA34" s="32">
        <f>IF(Z34=0,0,IF(DaB!AL34&gt;0,DaB!AL34-DaB!AK34+1,0))</f>
        <v>0</v>
      </c>
      <c r="AB34" s="30">
        <f>IF(Z34=0,0,IF(DaB!AM34&gt;0,DaB!AM34-MAX(DaB!AJ34:AL34),0))</f>
        <v>0</v>
      </c>
      <c r="AC34" s="34">
        <f>IF(AE34=0,0,MIN(DaB!$AO34:$AP34)-SUM($C34:AB34))</f>
        <v>0</v>
      </c>
      <c r="AD34" s="29">
        <f>IF(AE34=0,0,IF(DaB!AO34&gt;0,DaB!AP34-DaB!AO34,0))</f>
        <v>0</v>
      </c>
      <c r="AE34" s="33">
        <f>IF(DaB!AQ34&gt;0,DaB!AQ34-DaB!AP34+1,0)</f>
        <v>0</v>
      </c>
      <c r="AF34" s="32">
        <f>IF(AE34=0,0,IF(DaB!AS34&gt;0,DaB!AS34-DaB!AR34+1,0))</f>
        <v>0</v>
      </c>
      <c r="AG34" s="30">
        <f>IF(AE34=0,0,IF(DaB!AT34&gt;0,DaB!AT34-MAX(DaB!AQ34:AS34),0))</f>
        <v>0</v>
      </c>
      <c r="AH34" s="34">
        <f>IF(AJ34=0,0,MIN(DaB!$AV34:$AW34)-SUM($C34:AG34))</f>
        <v>0</v>
      </c>
      <c r="AI34" s="29">
        <f>IF(AJ34=0,0,IF(DaB!AV34&gt;0,DaB!AW34-DaB!AV34,0))</f>
        <v>0</v>
      </c>
      <c r="AJ34" s="33">
        <f>IF(DaB!AX34&gt;0,DaB!AX34-DaB!AW34+1,0)</f>
        <v>0</v>
      </c>
      <c r="AK34" s="32">
        <f>IF(AJ34=0,0,IF(DaB!AZ34&gt;0,DaB!AZ34-DaB!AY34+1,0))</f>
        <v>0</v>
      </c>
      <c r="AL34" s="30">
        <f>IF(AJ34=0,0,IF(DaB!BA34&gt;0,DaB!BA34-MAX(DaB!AX34:AZ34),0))</f>
        <v>0</v>
      </c>
      <c r="AM34" s="34">
        <f>IF(AO34=0,0,MIN(DaB!$BC34:$BD34)-SUM($C34:AL34))</f>
        <v>0</v>
      </c>
      <c r="AN34" s="29">
        <f>IF(AO34=0,0,IF(DaB!BC34&gt;0,DaB!BD34-DaB!BC34,0))</f>
        <v>0</v>
      </c>
      <c r="AO34" s="33">
        <f>IF(DaB!BE34&gt;0,DaB!BE34-DaB!BD34+1,0)</f>
        <v>0</v>
      </c>
      <c r="AP34" s="32">
        <f>IF(AO34=0,0,IF(DaB!BG34&gt;0,DaB!BG34-DaB!BF34+1,0))</f>
        <v>0</v>
      </c>
      <c r="AQ34" s="30">
        <f>IF(AO34=0,0,IF(DaB!BH34&gt;0,DaB!BH34-MAX(DaB!BE34:BG34),0))</f>
        <v>0</v>
      </c>
      <c r="AR34" s="34">
        <f>IF(AT34=0,0,MIN(DaB!$BJ34:$BK34)-SUM($C34:AQ34))</f>
        <v>0</v>
      </c>
      <c r="AS34" s="29">
        <f>IF(AT34=0,0,IF(DaB!BJ34&gt;0,DaB!BK34-DaB!BJ34,0))</f>
        <v>0</v>
      </c>
      <c r="AT34" s="33">
        <f>IF(DaB!BL34&gt;0,DaB!BL34-DaB!BK34+1,0)</f>
        <v>0</v>
      </c>
      <c r="AU34" s="32">
        <f>IF(AT34=0,0,IF(DaB!BN34&gt;0,DaB!BN34-DaB!BM34+1,0))</f>
        <v>0</v>
      </c>
      <c r="AV34" s="30">
        <f>IF(AT34=0,0,IF(DaB!BO34&gt;0,DaB!BO34-MAX(DaB!BL34:BN34),0))</f>
        <v>0</v>
      </c>
      <c r="AW34" s="34">
        <f>IF(AY34=0,0,MIN(DaB!$BQ34:$BR34)-SUM($C34:AV34))</f>
        <v>0</v>
      </c>
      <c r="AX34" s="29">
        <f>IF(AY34=0,0,IF(DaB!BQ34&gt;0,DaB!BR34-DaB!BQ34,0))</f>
        <v>0</v>
      </c>
      <c r="AY34" s="33">
        <f>IF(DaB!BS34&gt;0,DaB!BS34-DaB!BR34+1,0)</f>
        <v>0</v>
      </c>
      <c r="AZ34" s="32">
        <f>IF(AY34=0,0,IF(DaB!BU34&gt;0,DaB!BU34-DaB!BT34+1,0))</f>
        <v>0</v>
      </c>
      <c r="BA34" s="30">
        <f>IF(AY34=0,0,IF(DaB!BV34&gt;0,DaB!BV34-MAX(DaB!BS34:BU34),0))</f>
        <v>0</v>
      </c>
      <c r="BB34" s="34">
        <f>IF(BD34=0,0,MIN(DaB!$BX34:$BY34)-SUM($C34:BA34))</f>
        <v>0</v>
      </c>
      <c r="BC34" s="29">
        <f>IF(BD34=0,0,IF(DaB!BX34&gt;0,DaB!BY34-DaB!BX34,0))</f>
        <v>0</v>
      </c>
      <c r="BD34" s="33">
        <f>IF(DaB!BZ34&gt;0,DaB!BZ34-DaB!BY34+1,0)</f>
        <v>0</v>
      </c>
      <c r="BE34" s="32">
        <f>IF(BD34=0,0,IF(DaB!CB34&gt;0,DaB!CB34-DaB!CA34+1,0))</f>
        <v>0</v>
      </c>
      <c r="BF34" s="30">
        <f>IF(BD34=0,0,IF(DaB!CC34&gt;0,DaB!CC34-MAX(DaB!BZ34:CB34),0))</f>
        <v>0</v>
      </c>
      <c r="BG34" s="34">
        <f>IF(BI34=0,0,MIN(DaB!$CE34:$CF34)-SUM($C34:BF34))</f>
        <v>0</v>
      </c>
      <c r="BH34" s="29">
        <f>IF(BI34=0,0,IF(DaB!CE34&gt;0,DaB!CF34-DaB!CE34,0))</f>
        <v>0</v>
      </c>
      <c r="BI34" s="33">
        <f>IF(DaB!CG34&gt;0,DaB!CG34-DaB!CF34+1,0)</f>
        <v>0</v>
      </c>
      <c r="BJ34" s="32">
        <f>IF(BI34=0,0,IF(DaB!CI34&gt;0,DaB!CI34-DaB!CH34+1,0))</f>
        <v>0</v>
      </c>
      <c r="BK34" s="30">
        <f>IF(BI34=0,0,IF(DaB!CJ34&gt;0,DaB!CJ34-MAX(DaB!CG34:CI34),0))</f>
        <v>0</v>
      </c>
      <c r="BL34" s="34">
        <f>IF(BN34=0,0,MIN(DaB!$CL34:$CM34)-SUM($C34:BK34))</f>
        <v>0</v>
      </c>
      <c r="BM34" s="29">
        <f>IF(BN34=0,0,IF(DaB!CL34&gt;0,DaB!CM34-DaB!CL34,0))</f>
        <v>0</v>
      </c>
      <c r="BN34" s="33">
        <f>IF(DaB!CN34&gt;0,DaB!CN34-DaB!CM34+1,0)</f>
        <v>0</v>
      </c>
      <c r="BO34" s="32">
        <f>IF(BN34=0,0,IF(DaB!CP34&gt;0,DaB!CP34-DaB!CO34+1,0))</f>
        <v>0</v>
      </c>
      <c r="BP34" s="30">
        <f>IF(BN34=0,0,IF(DaB!CQ34&gt;0,DaB!CQ34-MAX(DaB!CN34:CP34),0))</f>
        <v>0</v>
      </c>
      <c r="BQ34" s="34">
        <f>IF(BS34=0,0,MIN(DaB!$CS34:$CT34)-SUM($C34:BP34))</f>
        <v>0</v>
      </c>
      <c r="BR34" s="29">
        <f>IF(BS34=0,0,IF(DaB!CS34&gt;0,DaB!CT34-DaB!CS34,0))</f>
        <v>0</v>
      </c>
      <c r="BS34" s="33">
        <f>IF(DaB!CU34&gt;0,DaB!CU34-DaB!CT34+1,0)</f>
        <v>0</v>
      </c>
      <c r="BT34" s="32">
        <f>IF(BS34=0,0,IF(DaB!CW34&gt;0,DaB!CW34-DaB!CV34+1,0))</f>
        <v>0</v>
      </c>
      <c r="BU34" s="30">
        <f>IF(BS34=0,0,IF(DaB!CX34&gt;0,DaB!CX34-MAX(DaB!CU34:CW34),0))</f>
        <v>0</v>
      </c>
      <c r="BV34" s="34">
        <f>IF(BX34=0,0,MIN(DaB!$CZ34:$DA34)-SUM($C34:BU34))</f>
        <v>0</v>
      </c>
      <c r="BW34" s="29">
        <f>IF(BX34=0,0,IF(DaB!CZ34&gt;0,DaB!DA34-DaB!CZ34,0))</f>
        <v>0</v>
      </c>
      <c r="BX34" s="33">
        <f>IF(DaB!DB34&gt;0,DaB!DB34-DaB!DA34+1,0)</f>
        <v>0</v>
      </c>
      <c r="BY34" s="32">
        <f>IF(BX34=0,0,IF(DaB!DD34&gt;0,DaB!DD34-DaB!DC34+1,0))</f>
        <v>0</v>
      </c>
      <c r="BZ34" s="30">
        <f>IF(BX34=0,0,IF(DaB!DE34&gt;0,DaB!DE34-MAX(DaB!DB34:DD34),0))</f>
        <v>0</v>
      </c>
      <c r="CA34" s="34">
        <f>IF(CC34=0,0,MIN(DaB!$DG34:$DH34)-SUM($C34:BZ34))</f>
        <v>0</v>
      </c>
      <c r="CB34" s="29">
        <f>IF(CC34=0,0,IF(DaB!DG34&gt;0,DaB!DH34-DaB!DG34,0))</f>
        <v>0</v>
      </c>
      <c r="CC34" s="33">
        <f>IF(DaB!DI34&gt;0,DaB!DI34-DaB!DH34+1,0)</f>
        <v>0</v>
      </c>
      <c r="CD34" s="32">
        <f>IF(CC34=0,0,IF(DaB!DK34&gt;0,DaB!DK34-DaB!DJ34+1,0))</f>
        <v>0</v>
      </c>
      <c r="CE34" s="30">
        <f>IF(CC34=0,0,IF(DaB!DL34&gt;0,DaB!DL34-MAX(DaB!DI34:DK34),0))</f>
        <v>0</v>
      </c>
      <c r="CF34" s="34">
        <f>IF(CH34=0,0,MIN(DaB!$DN34:$DO34)-SUM($C34:CE34))</f>
        <v>0</v>
      </c>
      <c r="CG34" s="29">
        <f>IF(CH34=0,0,IF(DaB!DN34&gt;0,DaB!DO34-DaB!DN34,0))</f>
        <v>0</v>
      </c>
      <c r="CH34" s="33">
        <f>IF(DaB!DP34&gt;0,DaB!DP34-DaB!DO34+1,0)</f>
        <v>0</v>
      </c>
      <c r="CI34" s="32">
        <f>IF(CH34=0,0,IF(DaB!DR34&gt;0,DaB!DR34-DaB!DQ34+1,0))</f>
        <v>0</v>
      </c>
      <c r="CJ34" s="30">
        <f>IF(CH34=0,0,IF(DaB!DS34&gt;0,DaB!DS34-MAX(DaB!DP34:DR34),0))</f>
        <v>0</v>
      </c>
      <c r="CK34" s="34">
        <f>IF(CM34=0,0,MIN(DaB!$DU34:$DV34)-SUM($C34:CJ34))</f>
        <v>0</v>
      </c>
      <c r="CL34" s="29">
        <f>IF(CM34=0,0,IF(DaB!DU34&gt;0,DaB!DV34-DaB!DU34,0))</f>
        <v>0</v>
      </c>
      <c r="CM34" s="33">
        <f>IF(DaB!DW34&gt;0,DaB!DW34-DaB!DV34+1,0)</f>
        <v>0</v>
      </c>
      <c r="CN34" s="32">
        <f>IF(CM34=0,0,IF(DaB!DY34&gt;0,DaB!DY34-DaB!DX34+1,0))</f>
        <v>0</v>
      </c>
      <c r="CO34" s="30">
        <f>IF(CM34=0,0,IF(DaB!DZ34&gt;0,DaB!DZ34-MAX(DaB!DW34:DY34),0))</f>
        <v>0</v>
      </c>
      <c r="CP34" s="34">
        <f>IF(CR34=0,0,MIN(DaB!$EB34:$EC34)-SUM($C34:CO34))</f>
        <v>0</v>
      </c>
      <c r="CQ34" s="29">
        <f>IF(CR34=0,0,IF(DaB!EB34&gt;0,DaB!EC34-DaB!EB34,0))</f>
        <v>0</v>
      </c>
      <c r="CR34" s="33">
        <f>IF(DaB!ED34&gt;0,DaB!ED34-DaB!EC34+1,0)</f>
        <v>0</v>
      </c>
      <c r="CS34" s="32">
        <f>IF(CR34=0,0,IF(DaB!EF34&gt;0,DaB!EF34-DaB!EE34+1,0))</f>
        <v>0</v>
      </c>
      <c r="CT34" s="30">
        <f>IF(CR34=0,0,IF(DaB!EG34&gt;0,DaB!EG34-MAX(DaB!ED34:EF34),0))</f>
        <v>0</v>
      </c>
      <c r="CU34" s="34">
        <f>IF(CW34=0,0,MIN(DaB!$EI34:$EJ34)-SUM($C34:CT34))</f>
        <v>0</v>
      </c>
      <c r="CV34" s="29">
        <f>IF(CW34=0,0,IF(DaB!EI34&gt;0,DaB!EJ34-DaB!EI34,0))</f>
        <v>0</v>
      </c>
      <c r="CW34" s="33">
        <f>IF(DaB!EK34&gt;0,DaB!EK34-DaB!EJ34+1,0)</f>
        <v>0</v>
      </c>
      <c r="CX34" s="32">
        <f>IF(CW34=0,0,IF(DaB!EM34&gt;0,DaB!EM34-DaB!EL34+1,0))</f>
        <v>0</v>
      </c>
      <c r="CY34" s="30">
        <f>IF(CW34=0,0,IF(DaB!EN34&gt;0,DaB!EN34-MAX(DaB!EK34:EM34),0))</f>
        <v>0</v>
      </c>
      <c r="DF34" s="2">
        <f t="shared" ref="DF34:DF65" si="4">C34</f>
        <v>45474</v>
      </c>
      <c r="DG34" s="28"/>
      <c r="DH34" s="29"/>
      <c r="DI34" s="10"/>
      <c r="DJ34" s="10"/>
      <c r="DK34" s="11"/>
      <c r="DL34" s="11"/>
      <c r="DM34" s="30"/>
      <c r="DN34" s="28"/>
      <c r="DO34" s="29"/>
      <c r="DP34" s="10"/>
      <c r="DQ34" s="10"/>
      <c r="DR34" s="11"/>
      <c r="DS34" s="11"/>
      <c r="DT34" s="30"/>
      <c r="DU34" s="28"/>
      <c r="DV34" s="29"/>
      <c r="DW34" s="10"/>
      <c r="DX34" s="10"/>
      <c r="DY34" s="11"/>
      <c r="DZ34" s="11"/>
      <c r="EA34" s="30"/>
      <c r="EB34" s="28"/>
      <c r="EC34" s="29"/>
      <c r="ED34" s="10"/>
      <c r="EE34" s="10"/>
      <c r="EF34" s="11"/>
      <c r="EG34" s="11"/>
      <c r="EH34" s="30"/>
      <c r="EI34" s="34"/>
      <c r="EJ34" s="29"/>
      <c r="EK34" s="10"/>
      <c r="EL34" s="10"/>
      <c r="EM34" s="30"/>
      <c r="EN34" s="34"/>
      <c r="EO34" s="29"/>
      <c r="EP34" s="47"/>
      <c r="EQ34" s="47"/>
      <c r="ER34" s="30"/>
      <c r="ES34" s="34"/>
      <c r="ET34" s="29"/>
      <c r="EU34" s="47"/>
      <c r="EV34" s="47"/>
      <c r="EW34" s="30"/>
    </row>
    <row r="35" spans="1:153" x14ac:dyDescent="0.2">
      <c r="A35" s="2" t="str">
        <f>DaB!A35</f>
        <v xml:space="preserve">Calendar 15 </v>
      </c>
      <c r="B35" s="2" t="str">
        <f t="shared" si="3"/>
        <v>.</v>
      </c>
      <c r="C35" s="27">
        <f t="shared" si="1"/>
        <v>45474</v>
      </c>
      <c r="D35" s="34">
        <f>IFERROR(MIN(DaB!F35:K35)-C35,0)</f>
        <v>-45474</v>
      </c>
      <c r="E35" s="29">
        <f>IF(F35=0,0,IF(DaB!F35&gt;0,DaB!G35-DaB!F35,0))</f>
        <v>0</v>
      </c>
      <c r="F35" s="33">
        <f>IF(DaB!G35&gt;MAX(DaB!EV35,DaB!FJ35),DaB!H35-DaB!G35+1,
IF(DaB!H35&gt;0,DaB!H35-DaB!G35,0))</f>
        <v>0</v>
      </c>
      <c r="G35" s="32">
        <f>IF(F35=0,0,IF(DaB!J35&gt;0,DaB!J35-DaB!I35+1,0))</f>
        <v>0</v>
      </c>
      <c r="H35" s="30">
        <f>IF(F35=0,0,IF(DaB!K35&gt;0,DaB!K35-MAX(DaB!H35:J35),0))</f>
        <v>0</v>
      </c>
      <c r="I35" s="34">
        <f>IF(K35=0,0,MIN(DaB!$M35:$N35)-SUM($C35:H35))</f>
        <v>0</v>
      </c>
      <c r="J35" s="29">
        <f>IF(K35=0,0,IF(DaB!M35&gt;0,DaB!N35-DaB!M35,0))</f>
        <v>0</v>
      </c>
      <c r="K35" s="33">
        <f>IF(DaB!O35&gt;0,DaB!O35-DaB!N35+1,0)</f>
        <v>0</v>
      </c>
      <c r="L35" s="32">
        <f>IF(K35=0,0,IF(DaB!Q35&gt;0,DaB!Q35-DaB!P35+1,0))</f>
        <v>0</v>
      </c>
      <c r="M35" s="30">
        <f>IF(K35=0,0,IF(DaB!R35&gt;0,DaB!R35-MAX(DaB!O35:Q35),0))</f>
        <v>0</v>
      </c>
      <c r="N35" s="31">
        <f>IF(P35=0,0,MIN(DaB!$T35:$U35)-SUM($C35:M35))</f>
        <v>0</v>
      </c>
      <c r="O35" s="29">
        <f>IF(P35=0,0,IF(DaB!T35&gt;0,DaB!U35-DaB!T35,0))</f>
        <v>0</v>
      </c>
      <c r="P35" s="33">
        <f>IF(DaB!V35&gt;0,DaB!V35-DaB!U35+1,0)</f>
        <v>0</v>
      </c>
      <c r="Q35" s="32">
        <f>IF(P35=0,0,IF(DaB!X35&gt;0,DaB!X35-DaB!W35+1,0))</f>
        <v>0</v>
      </c>
      <c r="R35" s="30">
        <f>IF(P35=0,0,IF(DaB!Y35&gt;0,DaB!Y35-MAX(DaB!V35:X35),0))</f>
        <v>0</v>
      </c>
      <c r="S35" s="34">
        <f>IF(U35=0,0,MIN(DaB!$AA35:$AB35)-SUM($C35:R35))</f>
        <v>0</v>
      </c>
      <c r="T35" s="29">
        <f>IF(U35=0,0,IF(DaB!AA35&gt;0,DaB!AB35-DaB!AA35,0))</f>
        <v>0</v>
      </c>
      <c r="U35" s="33">
        <f>IF(DaB!AC35&gt;0,DaB!AC35-DaB!AB35+1,0)</f>
        <v>0</v>
      </c>
      <c r="V35" s="32">
        <f>IF(U35=0,0,IF(DaB!AE35&gt;0,DaB!AE35-DaB!AD35+1,0))</f>
        <v>0</v>
      </c>
      <c r="W35" s="30">
        <f>IF(U35=0,0,IF(DaB!AF35&gt;0,DaB!AF35-MAX(DaB!AC35:AE35),0))</f>
        <v>0</v>
      </c>
      <c r="X35" s="34">
        <f>IF(Z35=0,0,MIN(DaB!$AH35:$AI35)-SUM($C35:W35))</f>
        <v>0</v>
      </c>
      <c r="Y35" s="29">
        <f>IF(Z35=0,0,IF(DaB!AH35&gt;0,DaB!AI35-DaB!AH35,0))</f>
        <v>0</v>
      </c>
      <c r="Z35" s="33">
        <f>IF(DaB!AJ35&gt;0,DaB!AJ35-DaB!AI35+1,0)</f>
        <v>0</v>
      </c>
      <c r="AA35" s="32">
        <f>IF(Z35=0,0,IF(DaB!AL35&gt;0,DaB!AL35-DaB!AK35+1,0))</f>
        <v>0</v>
      </c>
      <c r="AB35" s="30">
        <f>IF(Z35=0,0,IF(DaB!AM35&gt;0,DaB!AM35-MAX(DaB!AJ35:AL35),0))</f>
        <v>0</v>
      </c>
      <c r="AC35" s="34">
        <f>IF(AE35=0,0,MIN(DaB!$AO35:$AP35)-SUM($C35:AB35))</f>
        <v>0</v>
      </c>
      <c r="AD35" s="29">
        <f>IF(AE35=0,0,IF(DaB!AO35&gt;0,DaB!AP35-DaB!AO35,0))</f>
        <v>0</v>
      </c>
      <c r="AE35" s="33">
        <f>IF(DaB!AQ35&gt;0,DaB!AQ35-DaB!AP35+1,0)</f>
        <v>0</v>
      </c>
      <c r="AF35" s="32">
        <f>IF(AE35=0,0,IF(DaB!AS35&gt;0,DaB!AS35-DaB!AR35+1,0))</f>
        <v>0</v>
      </c>
      <c r="AG35" s="30">
        <f>IF(AE35=0,0,IF(DaB!AT35&gt;0,DaB!AT35-MAX(DaB!AQ35:AS35),0))</f>
        <v>0</v>
      </c>
      <c r="AH35" s="34">
        <f>IF(AJ35=0,0,MIN(DaB!$AV35:$AW35)-SUM($C35:AG35))</f>
        <v>0</v>
      </c>
      <c r="AI35" s="29">
        <f>IF(AJ35=0,0,IF(DaB!AV35&gt;0,DaB!AW35-DaB!AV35,0))</f>
        <v>0</v>
      </c>
      <c r="AJ35" s="33">
        <f>IF(DaB!AX35&gt;0,DaB!AX35-DaB!AW35+1,0)</f>
        <v>0</v>
      </c>
      <c r="AK35" s="32">
        <f>IF(AJ35=0,0,IF(DaB!AZ35&gt;0,DaB!AZ35-DaB!AY35+1,0))</f>
        <v>0</v>
      </c>
      <c r="AL35" s="30">
        <f>IF(AJ35=0,0,IF(DaB!BA35&gt;0,DaB!BA35-MAX(DaB!AX35:AZ35),0))</f>
        <v>0</v>
      </c>
      <c r="AM35" s="34">
        <f>IF(AO35=0,0,MIN(DaB!$BC35:$BD35)-SUM($C35:AL35))</f>
        <v>0</v>
      </c>
      <c r="AN35" s="29">
        <f>IF(AO35=0,0,IF(DaB!BC35&gt;0,DaB!BD35-DaB!BC35,0))</f>
        <v>0</v>
      </c>
      <c r="AO35" s="33">
        <f>IF(DaB!BE35&gt;0,DaB!BE35-DaB!BD35+1,0)</f>
        <v>0</v>
      </c>
      <c r="AP35" s="32">
        <f>IF(AO35=0,0,IF(DaB!BG35&gt;0,DaB!BG35-DaB!BF35+1,0))</f>
        <v>0</v>
      </c>
      <c r="AQ35" s="30">
        <f>IF(AO35=0,0,IF(DaB!BH35&gt;0,DaB!BH35-MAX(DaB!BE35:BG35),0))</f>
        <v>0</v>
      </c>
      <c r="AR35" s="34">
        <f>IF(AT35=0,0,MIN(DaB!$BJ35:$BK35)-SUM($C35:AQ35))</f>
        <v>0</v>
      </c>
      <c r="AS35" s="29">
        <f>IF(AT35=0,0,IF(DaB!BJ35&gt;0,DaB!BK35-DaB!BJ35,0))</f>
        <v>0</v>
      </c>
      <c r="AT35" s="33">
        <f>IF(DaB!BL35&gt;0,DaB!BL35-DaB!BK35+1,0)</f>
        <v>0</v>
      </c>
      <c r="AU35" s="32">
        <f>IF(AT35=0,0,IF(DaB!BN35&gt;0,DaB!BN35-DaB!BM35+1,0))</f>
        <v>0</v>
      </c>
      <c r="AV35" s="30">
        <f>IF(AT35=0,0,IF(DaB!BO35&gt;0,DaB!BO35-MAX(DaB!BL35:BN35),0))</f>
        <v>0</v>
      </c>
      <c r="AW35" s="34">
        <f>IF(AY35=0,0,MIN(DaB!$BQ35:$BR35)-SUM($C35:AV35))</f>
        <v>0</v>
      </c>
      <c r="AX35" s="29">
        <f>IF(AY35=0,0,IF(DaB!BQ35&gt;0,DaB!BR35-DaB!BQ35,0))</f>
        <v>0</v>
      </c>
      <c r="AY35" s="33">
        <f>IF(DaB!BS35&gt;0,DaB!BS35-DaB!BR35+1,0)</f>
        <v>0</v>
      </c>
      <c r="AZ35" s="32">
        <f>IF(AY35=0,0,IF(DaB!BU35&gt;0,DaB!BU35-DaB!BT35+1,0))</f>
        <v>0</v>
      </c>
      <c r="BA35" s="30">
        <f>IF(AY35=0,0,IF(DaB!BV35&gt;0,DaB!BV35-MAX(DaB!BS35:BU35),0))</f>
        <v>0</v>
      </c>
      <c r="BB35" s="34">
        <f>IF(BD35=0,0,MIN(DaB!$BX35:$BY35)-SUM($C35:BA35))</f>
        <v>0</v>
      </c>
      <c r="BC35" s="29">
        <f>IF(BD35=0,0,IF(DaB!BX35&gt;0,DaB!BY35-DaB!BX35,0))</f>
        <v>0</v>
      </c>
      <c r="BD35" s="33">
        <f>IF(DaB!BZ35&gt;0,DaB!BZ35-DaB!BY35+1,0)</f>
        <v>0</v>
      </c>
      <c r="BE35" s="32">
        <f>IF(BD35=0,0,IF(DaB!CB35&gt;0,DaB!CB35-DaB!CA35+1,0))</f>
        <v>0</v>
      </c>
      <c r="BF35" s="30">
        <f>IF(BD35=0,0,IF(DaB!CC35&gt;0,DaB!CC35-MAX(DaB!BZ35:CB35),0))</f>
        <v>0</v>
      </c>
      <c r="BG35" s="34">
        <f>IF(BI35=0,0,MIN(DaB!$CE35:$CF35)-SUM($C35:BF35))</f>
        <v>0</v>
      </c>
      <c r="BH35" s="29">
        <f>IF(BI35=0,0,IF(DaB!CE35&gt;0,DaB!CF35-DaB!CE35,0))</f>
        <v>0</v>
      </c>
      <c r="BI35" s="33">
        <f>IF(DaB!CG35&gt;0,DaB!CG35-DaB!CF35+1,0)</f>
        <v>0</v>
      </c>
      <c r="BJ35" s="32">
        <f>IF(BI35=0,0,IF(DaB!CI35&gt;0,DaB!CI35-DaB!CH35+1,0))</f>
        <v>0</v>
      </c>
      <c r="BK35" s="30">
        <f>IF(BI35=0,0,IF(DaB!CJ35&gt;0,DaB!CJ35-MAX(DaB!CG35:CI35),0))</f>
        <v>0</v>
      </c>
      <c r="BL35" s="34">
        <f>IF(BN35=0,0,MIN(DaB!$CL35:$CM35)-SUM($C35:BK35))</f>
        <v>0</v>
      </c>
      <c r="BM35" s="29">
        <f>IF(BN35=0,0,IF(DaB!CL35&gt;0,DaB!CM35-DaB!CL35,0))</f>
        <v>0</v>
      </c>
      <c r="BN35" s="33">
        <f>IF(DaB!CN35&gt;0,DaB!CN35-DaB!CM35+1,0)</f>
        <v>0</v>
      </c>
      <c r="BO35" s="32">
        <f>IF(BN35=0,0,IF(DaB!CP35&gt;0,DaB!CP35-DaB!CO35+1,0))</f>
        <v>0</v>
      </c>
      <c r="BP35" s="30">
        <f>IF(BN35=0,0,IF(DaB!CQ35&gt;0,DaB!CQ35-MAX(DaB!CN35:CP35),0))</f>
        <v>0</v>
      </c>
      <c r="BQ35" s="34">
        <f>IF(BS35=0,0,MIN(DaB!$CS35:$CT35)-SUM($C35:BP35))</f>
        <v>0</v>
      </c>
      <c r="BR35" s="29">
        <f>IF(BS35=0,0,IF(DaB!CS35&gt;0,DaB!CT35-DaB!CS35,0))</f>
        <v>0</v>
      </c>
      <c r="BS35" s="33">
        <f>IF(DaB!CU35&gt;0,DaB!CU35-DaB!CT35+1,0)</f>
        <v>0</v>
      </c>
      <c r="BT35" s="32">
        <f>IF(BS35=0,0,IF(DaB!CW35&gt;0,DaB!CW35-DaB!CV35+1,0))</f>
        <v>0</v>
      </c>
      <c r="BU35" s="30">
        <f>IF(BS35=0,0,IF(DaB!CX35&gt;0,DaB!CX35-MAX(DaB!CU35:CW35),0))</f>
        <v>0</v>
      </c>
      <c r="BV35" s="34">
        <f>IF(BX35=0,0,MIN(DaB!$CZ35:$DA35)-SUM($C35:BU35))</f>
        <v>0</v>
      </c>
      <c r="BW35" s="29">
        <f>IF(BX35=0,0,IF(DaB!CZ35&gt;0,DaB!DA35-DaB!CZ35,0))</f>
        <v>0</v>
      </c>
      <c r="BX35" s="33">
        <f>IF(DaB!DB35&gt;0,DaB!DB35-DaB!DA35+1,0)</f>
        <v>0</v>
      </c>
      <c r="BY35" s="32">
        <f>IF(BX35=0,0,IF(DaB!DD35&gt;0,DaB!DD35-DaB!DC35+1,0))</f>
        <v>0</v>
      </c>
      <c r="BZ35" s="30">
        <f>IF(BX35=0,0,IF(DaB!DE35&gt;0,DaB!DE35-MAX(DaB!DB35:DD35),0))</f>
        <v>0</v>
      </c>
      <c r="CA35" s="34">
        <f>IF(CC35=0,0,MIN(DaB!$DG35:$DH35)-SUM($C35:BZ35))</f>
        <v>0</v>
      </c>
      <c r="CB35" s="29">
        <f>IF(CC35=0,0,IF(DaB!DG35&gt;0,DaB!DH35-DaB!DG35,0))</f>
        <v>0</v>
      </c>
      <c r="CC35" s="33">
        <f>IF(DaB!DI35&gt;0,DaB!DI35-DaB!DH35+1,0)</f>
        <v>0</v>
      </c>
      <c r="CD35" s="32">
        <f>IF(CC35=0,0,IF(DaB!DK35&gt;0,DaB!DK35-DaB!DJ35+1,0))</f>
        <v>0</v>
      </c>
      <c r="CE35" s="30">
        <f>IF(CC35=0,0,IF(DaB!DL35&gt;0,DaB!DL35-MAX(DaB!DI35:DK35),0))</f>
        <v>0</v>
      </c>
      <c r="CF35" s="34">
        <f>IF(CH35=0,0,MIN(DaB!$DN35:$DO35)-SUM($C35:CE35))</f>
        <v>0</v>
      </c>
      <c r="CG35" s="29">
        <f>IF(CH35=0,0,IF(DaB!DN35&gt;0,DaB!DO35-DaB!DN35,0))</f>
        <v>0</v>
      </c>
      <c r="CH35" s="33">
        <f>IF(DaB!DP35&gt;0,DaB!DP35-DaB!DO35+1,0)</f>
        <v>0</v>
      </c>
      <c r="CI35" s="32">
        <f>IF(CH35=0,0,IF(DaB!DR35&gt;0,DaB!DR35-DaB!DQ35+1,0))</f>
        <v>0</v>
      </c>
      <c r="CJ35" s="30">
        <f>IF(CH35=0,0,IF(DaB!DS35&gt;0,DaB!DS35-MAX(DaB!DP35:DR35),0))</f>
        <v>0</v>
      </c>
      <c r="CK35" s="34">
        <f>IF(CM35=0,0,MIN(DaB!$DU35:$DV35)-SUM($C35:CJ35))</f>
        <v>0</v>
      </c>
      <c r="CL35" s="29">
        <f>IF(CM35=0,0,IF(DaB!DU35&gt;0,DaB!DV35-DaB!DU35,0))</f>
        <v>0</v>
      </c>
      <c r="CM35" s="33">
        <f>IF(DaB!DW35&gt;0,DaB!DW35-DaB!DV35+1,0)</f>
        <v>0</v>
      </c>
      <c r="CN35" s="32">
        <f>IF(CM35=0,0,IF(DaB!DY35&gt;0,DaB!DY35-DaB!DX35+1,0))</f>
        <v>0</v>
      </c>
      <c r="CO35" s="30">
        <f>IF(CM35=0,0,IF(DaB!DZ35&gt;0,DaB!DZ35-MAX(DaB!DW35:DY35),0))</f>
        <v>0</v>
      </c>
      <c r="CP35" s="34">
        <f>IF(CR35=0,0,MIN(DaB!$EB35:$EC35)-SUM($C35:CO35))</f>
        <v>0</v>
      </c>
      <c r="CQ35" s="29">
        <f>IF(CR35=0,0,IF(DaB!EB35&gt;0,DaB!EC35-DaB!EB35,0))</f>
        <v>0</v>
      </c>
      <c r="CR35" s="33">
        <f>IF(DaB!ED35&gt;0,DaB!ED35-DaB!EC35+1,0)</f>
        <v>0</v>
      </c>
      <c r="CS35" s="32">
        <f>IF(CR35=0,0,IF(DaB!EF35&gt;0,DaB!EF35-DaB!EE35+1,0))</f>
        <v>0</v>
      </c>
      <c r="CT35" s="30">
        <f>IF(CR35=0,0,IF(DaB!EG35&gt;0,DaB!EG35-MAX(DaB!ED35:EF35),0))</f>
        <v>0</v>
      </c>
      <c r="CU35" s="34">
        <f>IF(CW35=0,0,MIN(DaB!$EI35:$EJ35)-SUM($C35:CT35))</f>
        <v>0</v>
      </c>
      <c r="CV35" s="29">
        <f>IF(CW35=0,0,IF(DaB!EI35&gt;0,DaB!EJ35-DaB!EI35,0))</f>
        <v>0</v>
      </c>
      <c r="CW35" s="33">
        <f>IF(DaB!EK35&gt;0,DaB!EK35-DaB!EJ35+1,0)</f>
        <v>0</v>
      </c>
      <c r="CX35" s="32">
        <f>IF(CW35=0,0,IF(DaB!EM35&gt;0,DaB!EM35-DaB!EL35+1,0))</f>
        <v>0</v>
      </c>
      <c r="CY35" s="30">
        <f>IF(CW35=0,0,IF(DaB!EN35&gt;0,DaB!EN35-MAX(DaB!EK35:EM35),0))</f>
        <v>0</v>
      </c>
      <c r="DF35" s="2">
        <f t="shared" si="4"/>
        <v>45474</v>
      </c>
      <c r="DG35" s="28"/>
      <c r="DH35" s="29"/>
      <c r="DI35" s="10"/>
      <c r="DJ35" s="10"/>
      <c r="DK35" s="11"/>
      <c r="DL35" s="11"/>
      <c r="DM35" s="30"/>
      <c r="DN35" s="28"/>
      <c r="DO35" s="29"/>
      <c r="DP35" s="10"/>
      <c r="DQ35" s="10"/>
      <c r="DR35" s="11"/>
      <c r="DS35" s="11"/>
      <c r="DT35" s="30"/>
      <c r="DU35" s="28"/>
      <c r="DV35" s="29"/>
      <c r="DW35" s="10"/>
      <c r="DX35" s="10"/>
      <c r="DY35" s="11"/>
      <c r="DZ35" s="11"/>
      <c r="EA35" s="30"/>
      <c r="EB35" s="28"/>
      <c r="EC35" s="29"/>
      <c r="ED35" s="10"/>
      <c r="EE35" s="10"/>
      <c r="EF35" s="11"/>
      <c r="EG35" s="11"/>
      <c r="EH35" s="30"/>
      <c r="EI35" s="34"/>
      <c r="EJ35" s="29"/>
      <c r="EK35" s="10"/>
      <c r="EL35" s="10"/>
      <c r="EM35" s="30"/>
      <c r="EN35" s="34"/>
      <c r="EO35" s="29"/>
      <c r="EP35" s="47"/>
      <c r="EQ35" s="47"/>
      <c r="ER35" s="30"/>
      <c r="ES35" s="34"/>
      <c r="ET35" s="29"/>
      <c r="EU35" s="47"/>
      <c r="EV35" s="47"/>
      <c r="EW35" s="30"/>
    </row>
    <row r="36" spans="1:153" x14ac:dyDescent="0.2">
      <c r="A36" s="2" t="str">
        <f>DaB!A36</f>
        <v>Calendar 16</v>
      </c>
      <c r="B36" s="2" t="str">
        <f t="shared" si="3"/>
        <v>.</v>
      </c>
      <c r="C36" s="27">
        <f t="shared" si="1"/>
        <v>45474</v>
      </c>
      <c r="D36" s="34">
        <f>IFERROR(MIN(DaB!F36:K36)-C36,0)</f>
        <v>-45474</v>
      </c>
      <c r="E36" s="29">
        <f>IF(F36=0,0,IF(DaB!F36&gt;0,DaB!G36-DaB!F36,0))</f>
        <v>0</v>
      </c>
      <c r="F36" s="33">
        <f>IF(DaB!G36&gt;MAX(DaB!EV36,DaB!FJ36),DaB!H36-DaB!G36+1,
IF(DaB!H36&gt;0,DaB!H36-DaB!G36,0))</f>
        <v>0</v>
      </c>
      <c r="G36" s="32">
        <f>IF(F36=0,0,IF(DaB!J36&gt;0,DaB!J36-DaB!I36+1,0))</f>
        <v>0</v>
      </c>
      <c r="H36" s="30">
        <f>IF(F36=0,0,IF(DaB!K36&gt;0,DaB!K36-MAX(DaB!H36:J36),0))</f>
        <v>0</v>
      </c>
      <c r="I36" s="34">
        <f>IF(K36=0,0,MIN(DaB!$M36:$N36)-SUM($C36:H36))</f>
        <v>0</v>
      </c>
      <c r="J36" s="29">
        <f>IF(K36=0,0,IF(DaB!M36&gt;0,DaB!N36-DaB!M36,0))</f>
        <v>0</v>
      </c>
      <c r="K36" s="33">
        <f>IF(DaB!O36&gt;0,DaB!O36-DaB!N36+1,0)</f>
        <v>0</v>
      </c>
      <c r="L36" s="32">
        <f>IF(K36=0,0,IF(DaB!Q36&gt;0,DaB!Q36-DaB!P36+1,0))</f>
        <v>0</v>
      </c>
      <c r="M36" s="30">
        <f>IF(K36=0,0,IF(DaB!R36&gt;0,DaB!R36-MAX(DaB!O36:Q36),0))</f>
        <v>0</v>
      </c>
      <c r="N36" s="31">
        <f>IF(P36=0,0,MIN(DaB!$T36:$U36)-SUM($C36:M36))</f>
        <v>0</v>
      </c>
      <c r="O36" s="29">
        <f>IF(P36=0,0,IF(DaB!T36&gt;0,DaB!U36-DaB!T36,0))</f>
        <v>0</v>
      </c>
      <c r="P36" s="33">
        <f>IF(DaB!V36&gt;0,DaB!V36-DaB!U36+1,0)</f>
        <v>0</v>
      </c>
      <c r="Q36" s="32">
        <f>IF(P36=0,0,IF(DaB!X36&gt;0,DaB!X36-DaB!W36+1,0))</f>
        <v>0</v>
      </c>
      <c r="R36" s="30">
        <f>IF(P36=0,0,IF(DaB!Y36&gt;0,DaB!Y36-MAX(DaB!V36:X36),0))</f>
        <v>0</v>
      </c>
      <c r="S36" s="34">
        <f>IF(U36=0,0,MIN(DaB!$AA36:$AB36)-SUM($C36:R36))</f>
        <v>0</v>
      </c>
      <c r="T36" s="29">
        <f>IF(U36=0,0,IF(DaB!AA36&gt;0,DaB!AB36-DaB!AA36,0))</f>
        <v>0</v>
      </c>
      <c r="U36" s="33">
        <f>IF(DaB!AC36&gt;0,DaB!AC36-DaB!AB36+1,0)</f>
        <v>0</v>
      </c>
      <c r="V36" s="32">
        <f>IF(U36=0,0,IF(DaB!AE36&gt;0,DaB!AE36-DaB!AD36+1,0))</f>
        <v>0</v>
      </c>
      <c r="W36" s="30">
        <f>IF(U36=0,0,IF(DaB!AF36&gt;0,DaB!AF36-MAX(DaB!AC36:AE36),0))</f>
        <v>0</v>
      </c>
      <c r="X36" s="34">
        <f>IF(Z36=0,0,MIN(DaB!$AH36:$AI36)-SUM($C36:W36))</f>
        <v>0</v>
      </c>
      <c r="Y36" s="29">
        <f>IF(Z36=0,0,IF(DaB!AH36&gt;0,DaB!AI36-DaB!AH36,0))</f>
        <v>0</v>
      </c>
      <c r="Z36" s="33">
        <f>IF(DaB!AJ36&gt;0,DaB!AJ36-DaB!AI36+1,0)</f>
        <v>0</v>
      </c>
      <c r="AA36" s="32">
        <f>IF(Z36=0,0,IF(DaB!AL36&gt;0,DaB!AL36-DaB!AK36+1,0))</f>
        <v>0</v>
      </c>
      <c r="AB36" s="30">
        <f>IF(Z36=0,0,IF(DaB!AM36&gt;0,DaB!AM36-MAX(DaB!AJ36:AL36),0))</f>
        <v>0</v>
      </c>
      <c r="AC36" s="34">
        <f>IF(AE36=0,0,MIN(DaB!$AO36:$AP36)-SUM($C36:AB36))</f>
        <v>0</v>
      </c>
      <c r="AD36" s="29">
        <f>IF(AE36=0,0,IF(DaB!AO36&gt;0,DaB!AP36-DaB!AO36,0))</f>
        <v>0</v>
      </c>
      <c r="AE36" s="33">
        <f>IF(DaB!AQ36&gt;0,DaB!AQ36-DaB!AP36+1,0)</f>
        <v>0</v>
      </c>
      <c r="AF36" s="32">
        <f>IF(AE36=0,0,IF(DaB!AS36&gt;0,DaB!AS36-DaB!AR36+1,0))</f>
        <v>0</v>
      </c>
      <c r="AG36" s="30">
        <f>IF(AE36=0,0,IF(DaB!AT36&gt;0,DaB!AT36-MAX(DaB!AQ36:AS36),0))</f>
        <v>0</v>
      </c>
      <c r="AH36" s="34">
        <f>IF(AJ36=0,0,MIN(DaB!$AV36:$AW36)-SUM($C36:AG36))</f>
        <v>0</v>
      </c>
      <c r="AI36" s="29">
        <f>IF(AJ36=0,0,IF(DaB!AV36&gt;0,DaB!AW36-DaB!AV36,0))</f>
        <v>0</v>
      </c>
      <c r="AJ36" s="33">
        <f>IF(DaB!AX36&gt;0,DaB!AX36-DaB!AW36+1,0)</f>
        <v>0</v>
      </c>
      <c r="AK36" s="32">
        <f>IF(AJ36=0,0,IF(DaB!AZ36&gt;0,DaB!AZ36-DaB!AY36+1,0))</f>
        <v>0</v>
      </c>
      <c r="AL36" s="30">
        <f>IF(AJ36=0,0,IF(DaB!BA36&gt;0,DaB!BA36-MAX(DaB!AX36:AZ36),0))</f>
        <v>0</v>
      </c>
      <c r="AM36" s="34">
        <f>IF(AO36=0,0,MIN(DaB!$BC36:$BD36)-SUM($C36:AL36))</f>
        <v>0</v>
      </c>
      <c r="AN36" s="29">
        <f>IF(AO36=0,0,IF(DaB!BC36&gt;0,DaB!BD36-DaB!BC36,0))</f>
        <v>0</v>
      </c>
      <c r="AO36" s="33">
        <f>IF(DaB!BE36&gt;0,DaB!BE36-DaB!BD36+1,0)</f>
        <v>0</v>
      </c>
      <c r="AP36" s="32">
        <f>IF(AO36=0,0,IF(DaB!BG36&gt;0,DaB!BG36-DaB!BF36+1,0))</f>
        <v>0</v>
      </c>
      <c r="AQ36" s="30">
        <f>IF(AO36=0,0,IF(DaB!BH36&gt;0,DaB!BH36-MAX(DaB!BE36:BG36),0))</f>
        <v>0</v>
      </c>
      <c r="AR36" s="34">
        <f>IF(AT36=0,0,MIN(DaB!$BJ36:$BK36)-SUM($C36:AQ36))</f>
        <v>0</v>
      </c>
      <c r="AS36" s="29">
        <f>IF(AT36=0,0,IF(DaB!BJ36&gt;0,DaB!BK36-DaB!BJ36,0))</f>
        <v>0</v>
      </c>
      <c r="AT36" s="33">
        <f>IF(DaB!BL36&gt;0,DaB!BL36-DaB!BK36+1,0)</f>
        <v>0</v>
      </c>
      <c r="AU36" s="32">
        <f>IF(AT36=0,0,IF(DaB!BN36&gt;0,DaB!BN36-DaB!BM36+1,0))</f>
        <v>0</v>
      </c>
      <c r="AV36" s="30">
        <f>IF(AT36=0,0,IF(DaB!BO36&gt;0,DaB!BO36-MAX(DaB!BL36:BN36),0))</f>
        <v>0</v>
      </c>
      <c r="AW36" s="34">
        <f>IF(AY36=0,0,MIN(DaB!$BQ36:$BR36)-SUM($C36:AV36))</f>
        <v>0</v>
      </c>
      <c r="AX36" s="29">
        <f>IF(AY36=0,0,IF(DaB!BQ36&gt;0,DaB!BR36-DaB!BQ36,0))</f>
        <v>0</v>
      </c>
      <c r="AY36" s="33">
        <f>IF(DaB!BS36&gt;0,DaB!BS36-DaB!BR36+1,0)</f>
        <v>0</v>
      </c>
      <c r="AZ36" s="32">
        <f>IF(AY36=0,0,IF(DaB!BU36&gt;0,DaB!BU36-DaB!BT36+1,0))</f>
        <v>0</v>
      </c>
      <c r="BA36" s="30">
        <f>IF(AY36=0,0,IF(DaB!BV36&gt;0,DaB!BV36-MAX(DaB!BS36:BU36),0))</f>
        <v>0</v>
      </c>
      <c r="BB36" s="34">
        <f>IF(BD36=0,0,MIN(DaB!$BX36:$BY36)-SUM($C36:BA36))</f>
        <v>0</v>
      </c>
      <c r="BC36" s="29">
        <f>IF(BD36=0,0,IF(DaB!BX36&gt;0,DaB!BY36-DaB!BX36,0))</f>
        <v>0</v>
      </c>
      <c r="BD36" s="33">
        <f>IF(DaB!BZ36&gt;0,DaB!BZ36-DaB!BY36+1,0)</f>
        <v>0</v>
      </c>
      <c r="BE36" s="32">
        <f>IF(BD36=0,0,IF(DaB!CB36&gt;0,DaB!CB36-DaB!CA36+1,0))</f>
        <v>0</v>
      </c>
      <c r="BF36" s="30">
        <f>IF(BD36=0,0,IF(DaB!CC36&gt;0,DaB!CC36-MAX(DaB!BZ36:CB36),0))</f>
        <v>0</v>
      </c>
      <c r="BG36" s="34">
        <f>IF(BI36=0,0,MIN(DaB!$CE36:$CF36)-SUM($C36:BF36))</f>
        <v>0</v>
      </c>
      <c r="BH36" s="29">
        <f>IF(BI36=0,0,IF(DaB!CE36&gt;0,DaB!CF36-DaB!CE36,0))</f>
        <v>0</v>
      </c>
      <c r="BI36" s="33">
        <f>IF(DaB!CG36&gt;0,DaB!CG36-DaB!CF36+1,0)</f>
        <v>0</v>
      </c>
      <c r="BJ36" s="32">
        <f>IF(BI36=0,0,IF(DaB!CI36&gt;0,DaB!CI36-DaB!CH36+1,0))</f>
        <v>0</v>
      </c>
      <c r="BK36" s="30">
        <f>IF(BI36=0,0,IF(DaB!CJ36&gt;0,DaB!CJ36-MAX(DaB!CG36:CI36),0))</f>
        <v>0</v>
      </c>
      <c r="BL36" s="34">
        <f>IF(BN36=0,0,MIN(DaB!$CL36:$CM36)-SUM($C36:BK36))</f>
        <v>0</v>
      </c>
      <c r="BM36" s="29">
        <f>IF(BN36=0,0,IF(DaB!CL36&gt;0,DaB!CM36-DaB!CL36,0))</f>
        <v>0</v>
      </c>
      <c r="BN36" s="33">
        <f>IF(DaB!CN36&gt;0,DaB!CN36-DaB!CM36+1,0)</f>
        <v>0</v>
      </c>
      <c r="BO36" s="32">
        <f>IF(BN36=0,0,IF(DaB!CP36&gt;0,DaB!CP36-DaB!CO36+1,0))</f>
        <v>0</v>
      </c>
      <c r="BP36" s="30">
        <f>IF(BN36=0,0,IF(DaB!CQ36&gt;0,DaB!CQ36-MAX(DaB!CN36:CP36),0))</f>
        <v>0</v>
      </c>
      <c r="BQ36" s="34">
        <f>IF(BS36=0,0,MIN(DaB!$CS36:$CT36)-SUM($C36:BP36))</f>
        <v>0</v>
      </c>
      <c r="BR36" s="29">
        <f>IF(BS36=0,0,IF(DaB!CS36&gt;0,DaB!CT36-DaB!CS36,0))</f>
        <v>0</v>
      </c>
      <c r="BS36" s="33">
        <f>IF(DaB!CU36&gt;0,DaB!CU36-DaB!CT36+1,0)</f>
        <v>0</v>
      </c>
      <c r="BT36" s="32">
        <f>IF(BS36=0,0,IF(DaB!CW36&gt;0,DaB!CW36-DaB!CV36+1,0))</f>
        <v>0</v>
      </c>
      <c r="BU36" s="30">
        <f>IF(BS36=0,0,IF(DaB!CX36&gt;0,DaB!CX36-MAX(DaB!CU36:CW36),0))</f>
        <v>0</v>
      </c>
      <c r="BV36" s="34">
        <f>IF(BX36=0,0,MIN(DaB!$CZ36:$DA36)-SUM($C36:BU36))</f>
        <v>0</v>
      </c>
      <c r="BW36" s="29">
        <f>IF(BX36=0,0,IF(DaB!CZ36&gt;0,DaB!DA36-DaB!CZ36,0))</f>
        <v>0</v>
      </c>
      <c r="BX36" s="33">
        <f>IF(DaB!DB36&gt;0,DaB!DB36-DaB!DA36+1,0)</f>
        <v>0</v>
      </c>
      <c r="BY36" s="32">
        <f>IF(BX36=0,0,IF(DaB!DD36&gt;0,DaB!DD36-DaB!DC36+1,0))</f>
        <v>0</v>
      </c>
      <c r="BZ36" s="30">
        <f>IF(BX36=0,0,IF(DaB!DE36&gt;0,DaB!DE36-MAX(DaB!DB36:DD36),0))</f>
        <v>0</v>
      </c>
      <c r="CA36" s="34">
        <f>IF(CC36=0,0,MIN(DaB!$DG36:$DH36)-SUM($C36:BZ36))</f>
        <v>0</v>
      </c>
      <c r="CB36" s="29">
        <f>IF(CC36=0,0,IF(DaB!DG36&gt;0,DaB!DH36-DaB!DG36,0))</f>
        <v>0</v>
      </c>
      <c r="CC36" s="33">
        <f>IF(DaB!DI36&gt;0,DaB!DI36-DaB!DH36+1,0)</f>
        <v>0</v>
      </c>
      <c r="CD36" s="32">
        <f>IF(CC36=0,0,IF(DaB!DK36&gt;0,DaB!DK36-DaB!DJ36+1,0))</f>
        <v>0</v>
      </c>
      <c r="CE36" s="30">
        <f>IF(CC36=0,0,IF(DaB!DL36&gt;0,DaB!DL36-MAX(DaB!DI36:DK36),0))</f>
        <v>0</v>
      </c>
      <c r="CF36" s="34">
        <f>IF(CH36=0,0,MIN(DaB!$DN36:$DO36)-SUM($C36:CE36))</f>
        <v>0</v>
      </c>
      <c r="CG36" s="29">
        <f>IF(CH36=0,0,IF(DaB!DN36&gt;0,DaB!DO36-DaB!DN36,0))</f>
        <v>0</v>
      </c>
      <c r="CH36" s="33">
        <f>IF(DaB!DP36&gt;0,DaB!DP36-DaB!DO36+1,0)</f>
        <v>0</v>
      </c>
      <c r="CI36" s="32">
        <f>IF(CH36=0,0,IF(DaB!DR36&gt;0,DaB!DR36-DaB!DQ36+1,0))</f>
        <v>0</v>
      </c>
      <c r="CJ36" s="30">
        <f>IF(CH36=0,0,IF(DaB!DS36&gt;0,DaB!DS36-MAX(DaB!DP36:DR36),0))</f>
        <v>0</v>
      </c>
      <c r="CK36" s="34">
        <f>IF(CM36=0,0,MIN(DaB!$DU36:$DV36)-SUM($C36:CJ36))</f>
        <v>0</v>
      </c>
      <c r="CL36" s="29">
        <f>IF(CM36=0,0,IF(DaB!DU36&gt;0,DaB!DV36-DaB!DU36,0))</f>
        <v>0</v>
      </c>
      <c r="CM36" s="33">
        <f>IF(DaB!DW36&gt;0,DaB!DW36-DaB!DV36+1,0)</f>
        <v>0</v>
      </c>
      <c r="CN36" s="32">
        <f>IF(CM36=0,0,IF(DaB!DY36&gt;0,DaB!DY36-DaB!DX36+1,0))</f>
        <v>0</v>
      </c>
      <c r="CO36" s="30">
        <f>IF(CM36=0,0,IF(DaB!DZ36&gt;0,DaB!DZ36-MAX(DaB!DW36:DY36),0))</f>
        <v>0</v>
      </c>
      <c r="CP36" s="34">
        <f>IF(CR36=0,0,MIN(DaB!$EB36:$EC36)-SUM($C36:CO36))</f>
        <v>0</v>
      </c>
      <c r="CQ36" s="29">
        <f>IF(CR36=0,0,IF(DaB!EB36&gt;0,DaB!EC36-DaB!EB36,0))</f>
        <v>0</v>
      </c>
      <c r="CR36" s="33">
        <f>IF(DaB!ED36&gt;0,DaB!ED36-DaB!EC36+1,0)</f>
        <v>0</v>
      </c>
      <c r="CS36" s="32">
        <f>IF(CR36=0,0,IF(DaB!EF36&gt;0,DaB!EF36-DaB!EE36+1,0))</f>
        <v>0</v>
      </c>
      <c r="CT36" s="30">
        <f>IF(CR36=0,0,IF(DaB!EG36&gt;0,DaB!EG36-MAX(DaB!ED36:EF36),0))</f>
        <v>0</v>
      </c>
      <c r="CU36" s="34">
        <f>IF(CW36=0,0,MIN(DaB!$EI36:$EJ36)-SUM($C36:CT36))</f>
        <v>0</v>
      </c>
      <c r="CV36" s="29">
        <f>IF(CW36=0,0,IF(DaB!EI36&gt;0,DaB!EJ36-DaB!EI36,0))</f>
        <v>0</v>
      </c>
      <c r="CW36" s="33">
        <f>IF(DaB!EK36&gt;0,DaB!EK36-DaB!EJ36+1,0)</f>
        <v>0</v>
      </c>
      <c r="CX36" s="32">
        <f>IF(CW36=0,0,IF(DaB!EM36&gt;0,DaB!EM36-DaB!EL36+1,0))</f>
        <v>0</v>
      </c>
      <c r="CY36" s="30">
        <f>IF(CW36=0,0,IF(DaB!EN36&gt;0,DaB!EN36-MAX(DaB!EK36:EM36),0))</f>
        <v>0</v>
      </c>
      <c r="DF36" s="2">
        <f t="shared" si="4"/>
        <v>45474</v>
      </c>
      <c r="DG36" s="28"/>
      <c r="DH36" s="29"/>
      <c r="DI36" s="10"/>
      <c r="DJ36" s="10"/>
      <c r="DK36" s="11"/>
      <c r="DL36" s="11"/>
      <c r="DM36" s="30"/>
      <c r="DN36" s="28"/>
      <c r="DO36" s="29"/>
      <c r="DP36" s="10"/>
      <c r="DQ36" s="10"/>
      <c r="DR36" s="11"/>
      <c r="DS36" s="11"/>
      <c r="DT36" s="30"/>
      <c r="DU36" s="28"/>
      <c r="DV36" s="29"/>
      <c r="DW36" s="10"/>
      <c r="DX36" s="10"/>
      <c r="DY36" s="11"/>
      <c r="DZ36" s="11"/>
      <c r="EA36" s="30"/>
      <c r="EB36" s="28"/>
      <c r="EC36" s="29"/>
      <c r="ED36" s="10"/>
      <c r="EE36" s="10"/>
      <c r="EF36" s="11"/>
      <c r="EG36" s="11"/>
      <c r="EH36" s="30"/>
      <c r="EI36" s="34"/>
      <c r="EJ36" s="29"/>
      <c r="EK36" s="10"/>
      <c r="EL36" s="10"/>
      <c r="EM36" s="30"/>
      <c r="EN36" s="34"/>
      <c r="EO36" s="29"/>
      <c r="EP36" s="47"/>
      <c r="EQ36" s="47"/>
      <c r="ER36" s="30"/>
      <c r="ES36" s="34"/>
      <c r="ET36" s="29"/>
      <c r="EU36" s="47"/>
      <c r="EV36" s="47"/>
      <c r="EW36" s="30"/>
    </row>
    <row r="37" spans="1:153" x14ac:dyDescent="0.2">
      <c r="A37" s="2" t="str">
        <f>DaB!A37</f>
        <v xml:space="preserve">Calendar 16 </v>
      </c>
      <c r="B37" s="2" t="str">
        <f t="shared" si="3"/>
        <v>.</v>
      </c>
      <c r="C37" s="27">
        <f t="shared" si="1"/>
        <v>45474</v>
      </c>
      <c r="D37" s="34">
        <f>IFERROR(MIN(DaB!F37:K37)-C37,0)</f>
        <v>-45474</v>
      </c>
      <c r="E37" s="29">
        <f>IF(F37=0,0,IF(DaB!F37&gt;0,DaB!G37-DaB!F37,0))</f>
        <v>0</v>
      </c>
      <c r="F37" s="33">
        <f>IF(DaB!G37&gt;MAX(DaB!EV37,DaB!FJ37),DaB!H37-DaB!G37+1,
IF(DaB!H37&gt;0,DaB!H37-DaB!G37,0))</f>
        <v>0</v>
      </c>
      <c r="G37" s="32">
        <f>IF(F37=0,0,IF(DaB!J37&gt;0,DaB!J37-DaB!I37+1,0))</f>
        <v>0</v>
      </c>
      <c r="H37" s="30">
        <f>IF(F37=0,0,IF(DaB!K37&gt;0,DaB!K37-MAX(DaB!H37:J37),0))</f>
        <v>0</v>
      </c>
      <c r="I37" s="34">
        <f>IF(K37=0,0,MIN(DaB!$M37:$N37)-SUM($C37:H37))</f>
        <v>0</v>
      </c>
      <c r="J37" s="29">
        <f>IF(K37=0,0,IF(DaB!M37&gt;0,DaB!N37-DaB!M37,0))</f>
        <v>0</v>
      </c>
      <c r="K37" s="33">
        <f>IF(DaB!O37&gt;0,DaB!O37-DaB!N37+1,0)</f>
        <v>0</v>
      </c>
      <c r="L37" s="32">
        <f>IF(K37=0,0,IF(DaB!Q37&gt;0,DaB!Q37-DaB!P37+1,0))</f>
        <v>0</v>
      </c>
      <c r="M37" s="30">
        <f>IF(K37=0,0,IF(DaB!R37&gt;0,DaB!R37-MAX(DaB!O37:Q37),0))</f>
        <v>0</v>
      </c>
      <c r="N37" s="31">
        <f>IF(P37=0,0,MIN(DaB!$T37:$U37)-SUM($C37:M37))</f>
        <v>0</v>
      </c>
      <c r="O37" s="29">
        <f>IF(P37=0,0,IF(DaB!T37&gt;0,DaB!U37-DaB!T37,0))</f>
        <v>0</v>
      </c>
      <c r="P37" s="33">
        <f>IF(DaB!V37&gt;0,DaB!V37-DaB!U37+1,0)</f>
        <v>0</v>
      </c>
      <c r="Q37" s="32">
        <f>IF(P37=0,0,IF(DaB!X37&gt;0,DaB!X37-DaB!W37+1,0))</f>
        <v>0</v>
      </c>
      <c r="R37" s="30">
        <f>IF(P37=0,0,IF(DaB!Y37&gt;0,DaB!Y37-MAX(DaB!V37:X37),0))</f>
        <v>0</v>
      </c>
      <c r="S37" s="34">
        <f>IF(U37=0,0,MIN(DaB!$AA37:$AB37)-SUM($C37:R37))</f>
        <v>0</v>
      </c>
      <c r="T37" s="29">
        <f>IF(U37=0,0,IF(DaB!AA37&gt;0,DaB!AB37-DaB!AA37,0))</f>
        <v>0</v>
      </c>
      <c r="U37" s="33">
        <f>IF(DaB!AC37&gt;0,DaB!AC37-DaB!AB37+1,0)</f>
        <v>0</v>
      </c>
      <c r="V37" s="32">
        <f>IF(U37=0,0,IF(DaB!AE37&gt;0,DaB!AE37-DaB!AD37+1,0))</f>
        <v>0</v>
      </c>
      <c r="W37" s="30">
        <f>IF(U37=0,0,IF(DaB!AF37&gt;0,DaB!AF37-MAX(DaB!AC37:AE37),0))</f>
        <v>0</v>
      </c>
      <c r="X37" s="34">
        <f>IF(Z37=0,0,MIN(DaB!$AH37:$AI37)-SUM($C37:W37))</f>
        <v>0</v>
      </c>
      <c r="Y37" s="29">
        <f>IF(Z37=0,0,IF(DaB!AH37&gt;0,DaB!AI37-DaB!AH37,0))</f>
        <v>0</v>
      </c>
      <c r="Z37" s="33">
        <f>IF(DaB!AJ37&gt;0,DaB!AJ37-DaB!AI37+1,0)</f>
        <v>0</v>
      </c>
      <c r="AA37" s="32">
        <f>IF(Z37=0,0,IF(DaB!AL37&gt;0,DaB!AL37-DaB!AK37+1,0))</f>
        <v>0</v>
      </c>
      <c r="AB37" s="30">
        <f>IF(Z37=0,0,IF(DaB!AM37&gt;0,DaB!AM37-MAX(DaB!AJ37:AL37),0))</f>
        <v>0</v>
      </c>
      <c r="AC37" s="34">
        <f>IF(AE37=0,0,MIN(DaB!$AO37:$AP37)-SUM($C37:AB37))</f>
        <v>0</v>
      </c>
      <c r="AD37" s="29">
        <f>IF(AE37=0,0,IF(DaB!AO37&gt;0,DaB!AP37-DaB!AO37,0))</f>
        <v>0</v>
      </c>
      <c r="AE37" s="33">
        <f>IF(DaB!AQ37&gt;0,DaB!AQ37-DaB!AP37+1,0)</f>
        <v>0</v>
      </c>
      <c r="AF37" s="32">
        <f>IF(AE37=0,0,IF(DaB!AS37&gt;0,DaB!AS37-DaB!AR37+1,0))</f>
        <v>0</v>
      </c>
      <c r="AG37" s="30">
        <f>IF(AE37=0,0,IF(DaB!AT37&gt;0,DaB!AT37-MAX(DaB!AQ37:AS37),0))</f>
        <v>0</v>
      </c>
      <c r="AH37" s="34">
        <f>IF(AJ37=0,0,MIN(DaB!$AV37:$AW37)-SUM($C37:AG37))</f>
        <v>0</v>
      </c>
      <c r="AI37" s="29">
        <f>IF(AJ37=0,0,IF(DaB!AV37&gt;0,DaB!AW37-DaB!AV37,0))</f>
        <v>0</v>
      </c>
      <c r="AJ37" s="33">
        <f>IF(DaB!AX37&gt;0,DaB!AX37-DaB!AW37+1,0)</f>
        <v>0</v>
      </c>
      <c r="AK37" s="32">
        <f>IF(AJ37=0,0,IF(DaB!AZ37&gt;0,DaB!AZ37-DaB!AY37+1,0))</f>
        <v>0</v>
      </c>
      <c r="AL37" s="30">
        <f>IF(AJ37=0,0,IF(DaB!BA37&gt;0,DaB!BA37-MAX(DaB!AX37:AZ37),0))</f>
        <v>0</v>
      </c>
      <c r="AM37" s="34">
        <f>IF(AO37=0,0,MIN(DaB!$BC37:$BD37)-SUM($C37:AL37))</f>
        <v>0</v>
      </c>
      <c r="AN37" s="29">
        <f>IF(AO37=0,0,IF(DaB!BC37&gt;0,DaB!BD37-DaB!BC37,0))</f>
        <v>0</v>
      </c>
      <c r="AO37" s="33">
        <f>IF(DaB!BE37&gt;0,DaB!BE37-DaB!BD37+1,0)</f>
        <v>0</v>
      </c>
      <c r="AP37" s="32">
        <f>IF(AO37=0,0,IF(DaB!BG37&gt;0,DaB!BG37-DaB!BF37+1,0))</f>
        <v>0</v>
      </c>
      <c r="AQ37" s="30">
        <f>IF(AO37=0,0,IF(DaB!BH37&gt;0,DaB!BH37-MAX(DaB!BE37:BG37),0))</f>
        <v>0</v>
      </c>
      <c r="AR37" s="34">
        <f>IF(AT37=0,0,MIN(DaB!$BJ37:$BK37)-SUM($C37:AQ37))</f>
        <v>0</v>
      </c>
      <c r="AS37" s="29">
        <f>IF(AT37=0,0,IF(DaB!BJ37&gt;0,DaB!BK37-DaB!BJ37,0))</f>
        <v>0</v>
      </c>
      <c r="AT37" s="33">
        <f>IF(DaB!BL37&gt;0,DaB!BL37-DaB!BK37+1,0)</f>
        <v>0</v>
      </c>
      <c r="AU37" s="32">
        <f>IF(AT37=0,0,IF(DaB!BN37&gt;0,DaB!BN37-DaB!BM37+1,0))</f>
        <v>0</v>
      </c>
      <c r="AV37" s="30">
        <f>IF(AT37=0,0,IF(DaB!BO37&gt;0,DaB!BO37-MAX(DaB!BL37:BN37),0))</f>
        <v>0</v>
      </c>
      <c r="AW37" s="34">
        <f>IF(AY37=0,0,MIN(DaB!$BQ37:$BR37)-SUM($C37:AV37))</f>
        <v>0</v>
      </c>
      <c r="AX37" s="29">
        <f>IF(AY37=0,0,IF(DaB!BQ37&gt;0,DaB!BR37-DaB!BQ37,0))</f>
        <v>0</v>
      </c>
      <c r="AY37" s="33">
        <f>IF(DaB!BS37&gt;0,DaB!BS37-DaB!BR37+1,0)</f>
        <v>0</v>
      </c>
      <c r="AZ37" s="32">
        <f>IF(AY37=0,0,IF(DaB!BU37&gt;0,DaB!BU37-DaB!BT37+1,0))</f>
        <v>0</v>
      </c>
      <c r="BA37" s="30">
        <f>IF(AY37=0,0,IF(DaB!BV37&gt;0,DaB!BV37-MAX(DaB!BS37:BU37),0))</f>
        <v>0</v>
      </c>
      <c r="BB37" s="34">
        <f>IF(BD37=0,0,MIN(DaB!$BX37:$BY37)-SUM($C37:BA37))</f>
        <v>0</v>
      </c>
      <c r="BC37" s="29">
        <f>IF(BD37=0,0,IF(DaB!BX37&gt;0,DaB!BY37-DaB!BX37,0))</f>
        <v>0</v>
      </c>
      <c r="BD37" s="33">
        <f>IF(DaB!BZ37&gt;0,DaB!BZ37-DaB!BY37+1,0)</f>
        <v>0</v>
      </c>
      <c r="BE37" s="32">
        <f>IF(BD37=0,0,IF(DaB!CB37&gt;0,DaB!CB37-DaB!CA37+1,0))</f>
        <v>0</v>
      </c>
      <c r="BF37" s="30">
        <f>IF(BD37=0,0,IF(DaB!CC37&gt;0,DaB!CC37-MAX(DaB!BZ37:CB37),0))</f>
        <v>0</v>
      </c>
      <c r="BG37" s="34">
        <f>IF(BI37=0,0,MIN(DaB!$CE37:$CF37)-SUM($C37:BF37))</f>
        <v>0</v>
      </c>
      <c r="BH37" s="29">
        <f>IF(BI37=0,0,IF(DaB!CE37&gt;0,DaB!CF37-DaB!CE37,0))</f>
        <v>0</v>
      </c>
      <c r="BI37" s="33">
        <f>IF(DaB!CG37&gt;0,DaB!CG37-DaB!CF37+1,0)</f>
        <v>0</v>
      </c>
      <c r="BJ37" s="32">
        <f>IF(BI37=0,0,IF(DaB!CI37&gt;0,DaB!CI37-DaB!CH37+1,0))</f>
        <v>0</v>
      </c>
      <c r="BK37" s="30">
        <f>IF(BI37=0,0,IF(DaB!CJ37&gt;0,DaB!CJ37-MAX(DaB!CG37:CI37),0))</f>
        <v>0</v>
      </c>
      <c r="BL37" s="34">
        <f>IF(BN37=0,0,MIN(DaB!$CL37:$CM37)-SUM($C37:BK37))</f>
        <v>0</v>
      </c>
      <c r="BM37" s="29">
        <f>IF(BN37=0,0,IF(DaB!CL37&gt;0,DaB!CM37-DaB!CL37,0))</f>
        <v>0</v>
      </c>
      <c r="BN37" s="33">
        <f>IF(DaB!CN37&gt;0,DaB!CN37-DaB!CM37+1,0)</f>
        <v>0</v>
      </c>
      <c r="BO37" s="32">
        <f>IF(BN37=0,0,IF(DaB!CP37&gt;0,DaB!CP37-DaB!CO37+1,0))</f>
        <v>0</v>
      </c>
      <c r="BP37" s="30">
        <f>IF(BN37=0,0,IF(DaB!CQ37&gt;0,DaB!CQ37-MAX(DaB!CN37:CP37),0))</f>
        <v>0</v>
      </c>
      <c r="BQ37" s="34">
        <f>IF(BS37=0,0,MIN(DaB!$CS37:$CT37)-SUM($C37:BP37))</f>
        <v>0</v>
      </c>
      <c r="BR37" s="29">
        <f>IF(BS37=0,0,IF(DaB!CS37&gt;0,DaB!CT37-DaB!CS37,0))</f>
        <v>0</v>
      </c>
      <c r="BS37" s="33">
        <f>IF(DaB!CU37&gt;0,DaB!CU37-DaB!CT37+1,0)</f>
        <v>0</v>
      </c>
      <c r="BT37" s="32">
        <f>IF(BS37=0,0,IF(DaB!CW37&gt;0,DaB!CW37-DaB!CV37+1,0))</f>
        <v>0</v>
      </c>
      <c r="BU37" s="30">
        <f>IF(BS37=0,0,IF(DaB!CX37&gt;0,DaB!CX37-MAX(DaB!CU37:CW37),0))</f>
        <v>0</v>
      </c>
      <c r="BV37" s="34">
        <f>IF(BX37=0,0,MIN(DaB!$CZ37:$DA37)-SUM($C37:BU37))</f>
        <v>0</v>
      </c>
      <c r="BW37" s="29">
        <f>IF(BX37=0,0,IF(DaB!CZ37&gt;0,DaB!DA37-DaB!CZ37,0))</f>
        <v>0</v>
      </c>
      <c r="BX37" s="33">
        <f>IF(DaB!DB37&gt;0,DaB!DB37-DaB!DA37+1,0)</f>
        <v>0</v>
      </c>
      <c r="BY37" s="32">
        <f>IF(BX37=0,0,IF(DaB!DD37&gt;0,DaB!DD37-DaB!DC37+1,0))</f>
        <v>0</v>
      </c>
      <c r="BZ37" s="30">
        <f>IF(BX37=0,0,IF(DaB!DE37&gt;0,DaB!DE37-MAX(DaB!DB37:DD37),0))</f>
        <v>0</v>
      </c>
      <c r="CA37" s="34">
        <f>IF(CC37=0,0,MIN(DaB!$DG37:$DH37)-SUM($C37:BZ37))</f>
        <v>0</v>
      </c>
      <c r="CB37" s="29">
        <f>IF(CC37=0,0,IF(DaB!DG37&gt;0,DaB!DH37-DaB!DG37,0))</f>
        <v>0</v>
      </c>
      <c r="CC37" s="33">
        <f>IF(DaB!DI37&gt;0,DaB!DI37-DaB!DH37+1,0)</f>
        <v>0</v>
      </c>
      <c r="CD37" s="32">
        <f>IF(CC37=0,0,IF(DaB!DK37&gt;0,DaB!DK37-DaB!DJ37+1,0))</f>
        <v>0</v>
      </c>
      <c r="CE37" s="30">
        <f>IF(CC37=0,0,IF(DaB!DL37&gt;0,DaB!DL37-MAX(DaB!DI37:DK37),0))</f>
        <v>0</v>
      </c>
      <c r="CF37" s="34">
        <f>IF(CH37=0,0,MIN(DaB!$DN37:$DO37)-SUM($C37:CE37))</f>
        <v>0</v>
      </c>
      <c r="CG37" s="29">
        <f>IF(CH37=0,0,IF(DaB!DN37&gt;0,DaB!DO37-DaB!DN37,0))</f>
        <v>0</v>
      </c>
      <c r="CH37" s="33">
        <f>IF(DaB!DP37&gt;0,DaB!DP37-DaB!DO37+1,0)</f>
        <v>0</v>
      </c>
      <c r="CI37" s="32">
        <f>IF(CH37=0,0,IF(DaB!DR37&gt;0,DaB!DR37-DaB!DQ37+1,0))</f>
        <v>0</v>
      </c>
      <c r="CJ37" s="30">
        <f>IF(CH37=0,0,IF(DaB!DS37&gt;0,DaB!DS37-MAX(DaB!DP37:DR37),0))</f>
        <v>0</v>
      </c>
      <c r="CK37" s="34">
        <f>IF(CM37=0,0,MIN(DaB!$DU37:$DV37)-SUM($C37:CJ37))</f>
        <v>0</v>
      </c>
      <c r="CL37" s="29">
        <f>IF(CM37=0,0,IF(DaB!DU37&gt;0,DaB!DV37-DaB!DU37,0))</f>
        <v>0</v>
      </c>
      <c r="CM37" s="33">
        <f>IF(DaB!DW37&gt;0,DaB!DW37-DaB!DV37+1,0)</f>
        <v>0</v>
      </c>
      <c r="CN37" s="32">
        <f>IF(CM37=0,0,IF(DaB!DY37&gt;0,DaB!DY37-DaB!DX37+1,0))</f>
        <v>0</v>
      </c>
      <c r="CO37" s="30">
        <f>IF(CM37=0,0,IF(DaB!DZ37&gt;0,DaB!DZ37-MAX(DaB!DW37:DY37),0))</f>
        <v>0</v>
      </c>
      <c r="CP37" s="34">
        <f>IF(CR37=0,0,MIN(DaB!$EB37:$EC37)-SUM($C37:CO37))</f>
        <v>0</v>
      </c>
      <c r="CQ37" s="29">
        <f>IF(CR37=0,0,IF(DaB!EB37&gt;0,DaB!EC37-DaB!EB37,0))</f>
        <v>0</v>
      </c>
      <c r="CR37" s="33">
        <f>IF(DaB!ED37&gt;0,DaB!ED37-DaB!EC37+1,0)</f>
        <v>0</v>
      </c>
      <c r="CS37" s="32">
        <f>IF(CR37=0,0,IF(DaB!EF37&gt;0,DaB!EF37-DaB!EE37+1,0))</f>
        <v>0</v>
      </c>
      <c r="CT37" s="30">
        <f>IF(CR37=0,0,IF(DaB!EG37&gt;0,DaB!EG37-MAX(DaB!ED37:EF37),0))</f>
        <v>0</v>
      </c>
      <c r="CU37" s="34">
        <f>IF(CW37=0,0,MIN(DaB!$EI37:$EJ37)-SUM($C37:CT37))</f>
        <v>0</v>
      </c>
      <c r="CV37" s="29">
        <f>IF(CW37=0,0,IF(DaB!EI37&gt;0,DaB!EJ37-DaB!EI37,0))</f>
        <v>0</v>
      </c>
      <c r="CW37" s="33">
        <f>IF(DaB!EK37&gt;0,DaB!EK37-DaB!EJ37+1,0)</f>
        <v>0</v>
      </c>
      <c r="CX37" s="32">
        <f>IF(CW37=0,0,IF(DaB!EM37&gt;0,DaB!EM37-DaB!EL37+1,0))</f>
        <v>0</v>
      </c>
      <c r="CY37" s="30">
        <f>IF(CW37=0,0,IF(DaB!EN37&gt;0,DaB!EN37-MAX(DaB!EK37:EM37),0))</f>
        <v>0</v>
      </c>
      <c r="DF37" s="2">
        <f t="shared" si="4"/>
        <v>45474</v>
      </c>
      <c r="DG37" s="28"/>
      <c r="DH37" s="29"/>
      <c r="DI37" s="10"/>
      <c r="DJ37" s="10"/>
      <c r="DK37" s="11"/>
      <c r="DL37" s="11"/>
      <c r="DM37" s="30"/>
      <c r="DN37" s="28"/>
      <c r="DO37" s="29"/>
      <c r="DP37" s="10"/>
      <c r="DQ37" s="10"/>
      <c r="DR37" s="11"/>
      <c r="DS37" s="11"/>
      <c r="DT37" s="30"/>
      <c r="DU37" s="28"/>
      <c r="DV37" s="29"/>
      <c r="DW37" s="10"/>
      <c r="DX37" s="10"/>
      <c r="DY37" s="11"/>
      <c r="DZ37" s="11"/>
      <c r="EA37" s="30"/>
      <c r="EB37" s="28"/>
      <c r="EC37" s="29"/>
      <c r="ED37" s="10"/>
      <c r="EE37" s="10"/>
      <c r="EF37" s="11"/>
      <c r="EG37" s="11"/>
      <c r="EH37" s="30"/>
      <c r="EI37" s="34"/>
      <c r="EJ37" s="29"/>
      <c r="EK37" s="10"/>
      <c r="EL37" s="10"/>
      <c r="EM37" s="30"/>
      <c r="EN37" s="34"/>
      <c r="EO37" s="29"/>
      <c r="EP37" s="47"/>
      <c r="EQ37" s="47"/>
      <c r="ER37" s="30"/>
      <c r="ES37" s="34"/>
      <c r="ET37" s="29"/>
      <c r="EU37" s="47"/>
      <c r="EV37" s="47"/>
      <c r="EW37" s="30"/>
    </row>
    <row r="38" spans="1:153" x14ac:dyDescent="0.2">
      <c r="A38" s="2" t="str">
        <f>DaB!A38</f>
        <v>Calendar 17</v>
      </c>
      <c r="B38" s="2" t="str">
        <f t="shared" si="3"/>
        <v>.</v>
      </c>
      <c r="C38" s="27">
        <f t="shared" si="1"/>
        <v>45474</v>
      </c>
      <c r="D38" s="34">
        <f>IFERROR(MIN(DaB!F38:K38)-C38,0)</f>
        <v>-45474</v>
      </c>
      <c r="E38" s="29">
        <f>IF(F38=0,0,IF(DaB!F38&gt;0,DaB!G38-DaB!F38,0))</f>
        <v>0</v>
      </c>
      <c r="F38" s="33">
        <f>IF(DaB!G38&gt;MAX(DaB!EV38,DaB!FJ38),DaB!H38-DaB!G38+1,
IF(DaB!H38&gt;0,DaB!H38-DaB!G38,0))</f>
        <v>0</v>
      </c>
      <c r="G38" s="32">
        <f>IF(F38=0,0,IF(DaB!J38&gt;0,DaB!J38-DaB!I38+1,0))</f>
        <v>0</v>
      </c>
      <c r="H38" s="30">
        <f>IF(F38=0,0,IF(DaB!K38&gt;0,DaB!K38-MAX(DaB!H38:J38),0))</f>
        <v>0</v>
      </c>
      <c r="I38" s="34">
        <f>IF(K38=0,0,MIN(DaB!$M38:$N38)-SUM($C38:H38))</f>
        <v>0</v>
      </c>
      <c r="J38" s="29">
        <f>IF(K38=0,0,IF(DaB!M38&gt;0,DaB!N38-DaB!M38,0))</f>
        <v>0</v>
      </c>
      <c r="K38" s="33">
        <f>IF(DaB!O38&gt;0,DaB!O38-DaB!N38+1,0)</f>
        <v>0</v>
      </c>
      <c r="L38" s="32">
        <f>IF(K38=0,0,IF(DaB!Q38&gt;0,DaB!Q38-DaB!P38+1,0))</f>
        <v>0</v>
      </c>
      <c r="M38" s="30">
        <f>IF(K38=0,0,IF(DaB!R38&gt;0,DaB!R38-MAX(DaB!O38:Q38),0))</f>
        <v>0</v>
      </c>
      <c r="N38" s="31">
        <f>IF(P38=0,0,MIN(DaB!$T38:$U38)-SUM($C38:M38))</f>
        <v>0</v>
      </c>
      <c r="O38" s="29">
        <f>IF(P38=0,0,IF(DaB!T38&gt;0,DaB!U38-DaB!T38,0))</f>
        <v>0</v>
      </c>
      <c r="P38" s="33">
        <f>IF(DaB!V38&gt;0,DaB!V38-DaB!U38+1,0)</f>
        <v>0</v>
      </c>
      <c r="Q38" s="32">
        <f>IF(P38=0,0,IF(DaB!X38&gt;0,DaB!X38-DaB!W38+1,0))</f>
        <v>0</v>
      </c>
      <c r="R38" s="30">
        <f>IF(P38=0,0,IF(DaB!Y38&gt;0,DaB!Y38-MAX(DaB!V38:X38),0))</f>
        <v>0</v>
      </c>
      <c r="S38" s="34">
        <f>IF(U38=0,0,MIN(DaB!$AA38:$AB38)-SUM($C38:R38))</f>
        <v>0</v>
      </c>
      <c r="T38" s="29">
        <f>IF(U38=0,0,IF(DaB!AA38&gt;0,DaB!AB38-DaB!AA38,0))</f>
        <v>0</v>
      </c>
      <c r="U38" s="33">
        <f>IF(DaB!AC38&gt;0,DaB!AC38-DaB!AB38+1,0)</f>
        <v>0</v>
      </c>
      <c r="V38" s="32">
        <f>IF(U38=0,0,IF(DaB!AE38&gt;0,DaB!AE38-DaB!AD38+1,0))</f>
        <v>0</v>
      </c>
      <c r="W38" s="30">
        <f>IF(U38=0,0,IF(DaB!AF38&gt;0,DaB!AF38-MAX(DaB!AC38:AE38),0))</f>
        <v>0</v>
      </c>
      <c r="X38" s="34">
        <f>IF(Z38=0,0,MIN(DaB!$AH38:$AI38)-SUM($C38:W38))</f>
        <v>0</v>
      </c>
      <c r="Y38" s="29">
        <f>IF(Z38=0,0,IF(DaB!AH38&gt;0,DaB!AI38-DaB!AH38,0))</f>
        <v>0</v>
      </c>
      <c r="Z38" s="33">
        <f>IF(DaB!AJ38&gt;0,DaB!AJ38-DaB!AI38+1,0)</f>
        <v>0</v>
      </c>
      <c r="AA38" s="32">
        <f>IF(Z38=0,0,IF(DaB!AL38&gt;0,DaB!AL38-DaB!AK38+1,0))</f>
        <v>0</v>
      </c>
      <c r="AB38" s="30">
        <f>IF(Z38=0,0,IF(DaB!AM38&gt;0,DaB!AM38-MAX(DaB!AJ38:AL38),0))</f>
        <v>0</v>
      </c>
      <c r="AC38" s="34">
        <f>IF(AE38=0,0,MIN(DaB!$AO38:$AP38)-SUM($C38:AB38))</f>
        <v>0</v>
      </c>
      <c r="AD38" s="29">
        <f>IF(AE38=0,0,IF(DaB!AO38&gt;0,DaB!AP38-DaB!AO38,0))</f>
        <v>0</v>
      </c>
      <c r="AE38" s="33">
        <f>IF(DaB!AQ38&gt;0,DaB!AQ38-DaB!AP38+1,0)</f>
        <v>0</v>
      </c>
      <c r="AF38" s="32">
        <f>IF(AE38=0,0,IF(DaB!AS38&gt;0,DaB!AS38-DaB!AR38+1,0))</f>
        <v>0</v>
      </c>
      <c r="AG38" s="30">
        <f>IF(AE38=0,0,IF(DaB!AT38&gt;0,DaB!AT38-MAX(DaB!AQ38:AS38),0))</f>
        <v>0</v>
      </c>
      <c r="AH38" s="34">
        <f>IF(AJ38=0,0,MIN(DaB!$AV38:$AW38)-SUM($C38:AG38))</f>
        <v>0</v>
      </c>
      <c r="AI38" s="29">
        <f>IF(AJ38=0,0,IF(DaB!AV38&gt;0,DaB!AW38-DaB!AV38,0))</f>
        <v>0</v>
      </c>
      <c r="AJ38" s="33">
        <f>IF(DaB!AX38&gt;0,DaB!AX38-DaB!AW38+1,0)</f>
        <v>0</v>
      </c>
      <c r="AK38" s="32">
        <f>IF(AJ38=0,0,IF(DaB!AZ38&gt;0,DaB!AZ38-DaB!AY38+1,0))</f>
        <v>0</v>
      </c>
      <c r="AL38" s="30">
        <f>IF(AJ38=0,0,IF(DaB!BA38&gt;0,DaB!BA38-MAX(DaB!AX38:AZ38),0))</f>
        <v>0</v>
      </c>
      <c r="AM38" s="34">
        <f>IF(AO38=0,0,MIN(DaB!$BC38:$BD38)-SUM($C38:AL38))</f>
        <v>0</v>
      </c>
      <c r="AN38" s="29">
        <f>IF(AO38=0,0,IF(DaB!BC38&gt;0,DaB!BD38-DaB!BC38,0))</f>
        <v>0</v>
      </c>
      <c r="AO38" s="33">
        <f>IF(DaB!BE38&gt;0,DaB!BE38-DaB!BD38+1,0)</f>
        <v>0</v>
      </c>
      <c r="AP38" s="32">
        <f>IF(AO38=0,0,IF(DaB!BG38&gt;0,DaB!BG38-DaB!BF38+1,0))</f>
        <v>0</v>
      </c>
      <c r="AQ38" s="30">
        <f>IF(AO38=0,0,IF(DaB!BH38&gt;0,DaB!BH38-MAX(DaB!BE38:BG38),0))</f>
        <v>0</v>
      </c>
      <c r="AR38" s="34">
        <f>IF(AT38=0,0,MIN(DaB!$BJ38:$BK38)-SUM($C38:AQ38))</f>
        <v>0</v>
      </c>
      <c r="AS38" s="29">
        <f>IF(AT38=0,0,IF(DaB!BJ38&gt;0,DaB!BK38-DaB!BJ38,0))</f>
        <v>0</v>
      </c>
      <c r="AT38" s="33">
        <f>IF(DaB!BL38&gt;0,DaB!BL38-DaB!BK38+1,0)</f>
        <v>0</v>
      </c>
      <c r="AU38" s="32">
        <f>IF(AT38=0,0,IF(DaB!BN38&gt;0,DaB!BN38-DaB!BM38+1,0))</f>
        <v>0</v>
      </c>
      <c r="AV38" s="30">
        <f>IF(AT38=0,0,IF(DaB!BO38&gt;0,DaB!BO38-MAX(DaB!BL38:BN38),0))</f>
        <v>0</v>
      </c>
      <c r="AW38" s="34">
        <f>IF(AY38=0,0,MIN(DaB!$BQ38:$BR38)-SUM($C38:AV38))</f>
        <v>0</v>
      </c>
      <c r="AX38" s="29">
        <f>IF(AY38=0,0,IF(DaB!BQ38&gt;0,DaB!BR38-DaB!BQ38,0))</f>
        <v>0</v>
      </c>
      <c r="AY38" s="33">
        <f>IF(DaB!BS38&gt;0,DaB!BS38-DaB!BR38+1,0)</f>
        <v>0</v>
      </c>
      <c r="AZ38" s="32">
        <f>IF(AY38=0,0,IF(DaB!BU38&gt;0,DaB!BU38-DaB!BT38+1,0))</f>
        <v>0</v>
      </c>
      <c r="BA38" s="30">
        <f>IF(AY38=0,0,IF(DaB!BV38&gt;0,DaB!BV38-MAX(DaB!BS38:BU38),0))</f>
        <v>0</v>
      </c>
      <c r="BB38" s="34">
        <f>IF(BD38=0,0,MIN(DaB!$BX38:$BY38)-SUM($C38:BA38))</f>
        <v>0</v>
      </c>
      <c r="BC38" s="29">
        <f>IF(BD38=0,0,IF(DaB!BX38&gt;0,DaB!BY38-DaB!BX38,0))</f>
        <v>0</v>
      </c>
      <c r="BD38" s="33">
        <f>IF(DaB!BZ38&gt;0,DaB!BZ38-DaB!BY38+1,0)</f>
        <v>0</v>
      </c>
      <c r="BE38" s="32">
        <f>IF(BD38=0,0,IF(DaB!CB38&gt;0,DaB!CB38-DaB!CA38+1,0))</f>
        <v>0</v>
      </c>
      <c r="BF38" s="30">
        <f>IF(BD38=0,0,IF(DaB!CC38&gt;0,DaB!CC38-MAX(DaB!BZ38:CB38),0))</f>
        <v>0</v>
      </c>
      <c r="BG38" s="34">
        <f>IF(BI38=0,0,MIN(DaB!$CE38:$CF38)-SUM($C38:BF38))</f>
        <v>0</v>
      </c>
      <c r="BH38" s="29">
        <f>IF(BI38=0,0,IF(DaB!CE38&gt;0,DaB!CF38-DaB!CE38,0))</f>
        <v>0</v>
      </c>
      <c r="BI38" s="33">
        <f>IF(DaB!CG38&gt;0,DaB!CG38-DaB!CF38+1,0)</f>
        <v>0</v>
      </c>
      <c r="BJ38" s="32">
        <f>IF(BI38=0,0,IF(DaB!CI38&gt;0,DaB!CI38-DaB!CH38+1,0))</f>
        <v>0</v>
      </c>
      <c r="BK38" s="30">
        <f>IF(BI38=0,0,IF(DaB!CJ38&gt;0,DaB!CJ38-MAX(DaB!CG38:CI38),0))</f>
        <v>0</v>
      </c>
      <c r="BL38" s="34">
        <f>IF(BN38=0,0,MIN(DaB!$CL38:$CM38)-SUM($C38:BK38))</f>
        <v>0</v>
      </c>
      <c r="BM38" s="29">
        <f>IF(BN38=0,0,IF(DaB!CL38&gt;0,DaB!CM38-DaB!CL38,0))</f>
        <v>0</v>
      </c>
      <c r="BN38" s="33">
        <f>IF(DaB!CN38&gt;0,DaB!CN38-DaB!CM38+1,0)</f>
        <v>0</v>
      </c>
      <c r="BO38" s="32">
        <f>IF(BN38=0,0,IF(DaB!CP38&gt;0,DaB!CP38-DaB!CO38+1,0))</f>
        <v>0</v>
      </c>
      <c r="BP38" s="30">
        <f>IF(BN38=0,0,IF(DaB!CQ38&gt;0,DaB!CQ38-MAX(DaB!CN38:CP38),0))</f>
        <v>0</v>
      </c>
      <c r="BQ38" s="34">
        <f>IF(BS38=0,0,MIN(DaB!$CS38:$CT38)-SUM($C38:BP38))</f>
        <v>0</v>
      </c>
      <c r="BR38" s="29">
        <f>IF(BS38=0,0,IF(DaB!CS38&gt;0,DaB!CT38-DaB!CS38,0))</f>
        <v>0</v>
      </c>
      <c r="BS38" s="33">
        <f>IF(DaB!CU38&gt;0,DaB!CU38-DaB!CT38+1,0)</f>
        <v>0</v>
      </c>
      <c r="BT38" s="32">
        <f>IF(BS38=0,0,IF(DaB!CW38&gt;0,DaB!CW38-DaB!CV38+1,0))</f>
        <v>0</v>
      </c>
      <c r="BU38" s="30">
        <f>IF(BS38=0,0,IF(DaB!CX38&gt;0,DaB!CX38-MAX(DaB!CU38:CW38),0))</f>
        <v>0</v>
      </c>
      <c r="BV38" s="34">
        <f>IF(BX38=0,0,MIN(DaB!$CZ38:$DA38)-SUM($C38:BU38))</f>
        <v>0</v>
      </c>
      <c r="BW38" s="29">
        <f>IF(BX38=0,0,IF(DaB!CZ38&gt;0,DaB!DA38-DaB!CZ38,0))</f>
        <v>0</v>
      </c>
      <c r="BX38" s="33">
        <f>IF(DaB!DB38&gt;0,DaB!DB38-DaB!DA38+1,0)</f>
        <v>0</v>
      </c>
      <c r="BY38" s="32">
        <f>IF(BX38=0,0,IF(DaB!DD38&gt;0,DaB!DD38-DaB!DC38+1,0))</f>
        <v>0</v>
      </c>
      <c r="BZ38" s="30">
        <f>IF(BX38=0,0,IF(DaB!DE38&gt;0,DaB!DE38-MAX(DaB!DB38:DD38),0))</f>
        <v>0</v>
      </c>
      <c r="CA38" s="34">
        <f>IF(CC38=0,0,MIN(DaB!$DG38:$DH38)-SUM($C38:BZ38))</f>
        <v>0</v>
      </c>
      <c r="CB38" s="29">
        <f>IF(CC38=0,0,IF(DaB!DG38&gt;0,DaB!DH38-DaB!DG38,0))</f>
        <v>0</v>
      </c>
      <c r="CC38" s="33">
        <f>IF(DaB!DI38&gt;0,DaB!DI38-DaB!DH38+1,0)</f>
        <v>0</v>
      </c>
      <c r="CD38" s="32">
        <f>IF(CC38=0,0,IF(DaB!DK38&gt;0,DaB!DK38-DaB!DJ38+1,0))</f>
        <v>0</v>
      </c>
      <c r="CE38" s="30">
        <f>IF(CC38=0,0,IF(DaB!DL38&gt;0,DaB!DL38-MAX(DaB!DI38:DK38),0))</f>
        <v>0</v>
      </c>
      <c r="CF38" s="34">
        <f>IF(CH38=0,0,MIN(DaB!$DN38:$DO38)-SUM($C38:CE38))</f>
        <v>0</v>
      </c>
      <c r="CG38" s="29">
        <f>IF(CH38=0,0,IF(DaB!DN38&gt;0,DaB!DO38-DaB!DN38,0))</f>
        <v>0</v>
      </c>
      <c r="CH38" s="33">
        <f>IF(DaB!DP38&gt;0,DaB!DP38-DaB!DO38+1,0)</f>
        <v>0</v>
      </c>
      <c r="CI38" s="32">
        <f>IF(CH38=0,0,IF(DaB!DR38&gt;0,DaB!DR38-DaB!DQ38+1,0))</f>
        <v>0</v>
      </c>
      <c r="CJ38" s="30">
        <f>IF(CH38=0,0,IF(DaB!DS38&gt;0,DaB!DS38-MAX(DaB!DP38:DR38),0))</f>
        <v>0</v>
      </c>
      <c r="CK38" s="34">
        <f>IF(CM38=0,0,MIN(DaB!$DU38:$DV38)-SUM($C38:CJ38))</f>
        <v>0</v>
      </c>
      <c r="CL38" s="29">
        <f>IF(CM38=0,0,IF(DaB!DU38&gt;0,DaB!DV38-DaB!DU38,0))</f>
        <v>0</v>
      </c>
      <c r="CM38" s="33">
        <f>IF(DaB!DW38&gt;0,DaB!DW38-DaB!DV38+1,0)</f>
        <v>0</v>
      </c>
      <c r="CN38" s="32">
        <f>IF(CM38=0,0,IF(DaB!DY38&gt;0,DaB!DY38-DaB!DX38+1,0))</f>
        <v>0</v>
      </c>
      <c r="CO38" s="30">
        <f>IF(CM38=0,0,IF(DaB!DZ38&gt;0,DaB!DZ38-MAX(DaB!DW38:DY38),0))</f>
        <v>0</v>
      </c>
      <c r="CP38" s="34">
        <f>IF(CR38=0,0,MIN(DaB!$EB38:$EC38)-SUM($C38:CO38))</f>
        <v>0</v>
      </c>
      <c r="CQ38" s="29">
        <f>IF(CR38=0,0,IF(DaB!EB38&gt;0,DaB!EC38-DaB!EB38,0))</f>
        <v>0</v>
      </c>
      <c r="CR38" s="33">
        <f>IF(DaB!ED38&gt;0,DaB!ED38-DaB!EC38+1,0)</f>
        <v>0</v>
      </c>
      <c r="CS38" s="32">
        <f>IF(CR38=0,0,IF(DaB!EF38&gt;0,DaB!EF38-DaB!EE38+1,0))</f>
        <v>0</v>
      </c>
      <c r="CT38" s="30">
        <f>IF(CR38=0,0,IF(DaB!EG38&gt;0,DaB!EG38-MAX(DaB!ED38:EF38),0))</f>
        <v>0</v>
      </c>
      <c r="CU38" s="34">
        <f>IF(CW38=0,0,MIN(DaB!$EI38:$EJ38)-SUM($C38:CT38))</f>
        <v>0</v>
      </c>
      <c r="CV38" s="29">
        <f>IF(CW38=0,0,IF(DaB!EI38&gt;0,DaB!EJ38-DaB!EI38,0))</f>
        <v>0</v>
      </c>
      <c r="CW38" s="33">
        <f>IF(DaB!EK38&gt;0,DaB!EK38-DaB!EJ38+1,0)</f>
        <v>0</v>
      </c>
      <c r="CX38" s="32">
        <f>IF(CW38=0,0,IF(DaB!EM38&gt;0,DaB!EM38-DaB!EL38+1,0))</f>
        <v>0</v>
      </c>
      <c r="CY38" s="30">
        <f>IF(CW38=0,0,IF(DaB!EN38&gt;0,DaB!EN38-MAX(DaB!EK38:EM38),0))</f>
        <v>0</v>
      </c>
      <c r="DF38" s="2">
        <f t="shared" si="4"/>
        <v>45474</v>
      </c>
      <c r="DG38" s="28"/>
      <c r="DH38" s="29"/>
      <c r="DI38" s="10"/>
      <c r="DJ38" s="10"/>
      <c r="DK38" s="11"/>
      <c r="DL38" s="11"/>
      <c r="DM38" s="30"/>
      <c r="DN38" s="28"/>
      <c r="DO38" s="29"/>
      <c r="DP38" s="10"/>
      <c r="DQ38" s="10"/>
      <c r="DR38" s="11"/>
      <c r="DS38" s="11"/>
      <c r="DT38" s="30"/>
      <c r="DU38" s="28"/>
      <c r="DV38" s="29"/>
      <c r="DW38" s="10"/>
      <c r="DX38" s="10"/>
      <c r="DY38" s="11"/>
      <c r="DZ38" s="11"/>
      <c r="EA38" s="30"/>
      <c r="EB38" s="28"/>
      <c r="EC38" s="29"/>
      <c r="ED38" s="10"/>
      <c r="EE38" s="10"/>
      <c r="EF38" s="11"/>
      <c r="EG38" s="11"/>
      <c r="EH38" s="30"/>
      <c r="EI38" s="34"/>
      <c r="EJ38" s="29"/>
      <c r="EK38" s="10"/>
      <c r="EL38" s="10"/>
      <c r="EM38" s="30"/>
      <c r="EN38" s="34"/>
      <c r="EO38" s="29"/>
      <c r="EP38" s="47"/>
      <c r="EQ38" s="47"/>
      <c r="ER38" s="30"/>
      <c r="ES38" s="34"/>
      <c r="ET38" s="29"/>
      <c r="EU38" s="47"/>
      <c r="EV38" s="47"/>
      <c r="EW38" s="30"/>
    </row>
    <row r="39" spans="1:153" x14ac:dyDescent="0.2">
      <c r="A39" s="2" t="str">
        <f>DaB!A39</f>
        <v xml:space="preserve">Calendar 17 </v>
      </c>
      <c r="B39" s="2" t="str">
        <f t="shared" si="3"/>
        <v>.</v>
      </c>
      <c r="C39" s="27">
        <f t="shared" si="1"/>
        <v>45474</v>
      </c>
      <c r="D39" s="34">
        <f>IFERROR(MIN(DaB!F39:K39)-C39,0)</f>
        <v>-45474</v>
      </c>
      <c r="E39" s="29">
        <f>IF(F39=0,0,IF(DaB!F39&gt;0,DaB!G39-DaB!F39,0))</f>
        <v>0</v>
      </c>
      <c r="F39" s="33">
        <f>IF(DaB!G39&gt;MAX(DaB!EV39,DaB!FJ39),DaB!H39-DaB!G39+1,
IF(DaB!H39&gt;0,DaB!H39-DaB!G39,0))</f>
        <v>0</v>
      </c>
      <c r="G39" s="32">
        <f>IF(F39=0,0,IF(DaB!J39&gt;0,DaB!J39-DaB!I39+1,0))</f>
        <v>0</v>
      </c>
      <c r="H39" s="30">
        <f>IF(F39=0,0,IF(DaB!K39&gt;0,DaB!K39-MAX(DaB!H39:J39),0))</f>
        <v>0</v>
      </c>
      <c r="I39" s="34">
        <f>IF(K39=0,0,MIN(DaB!$M39:$N39)-SUM($C39:H39))</f>
        <v>0</v>
      </c>
      <c r="J39" s="29">
        <f>IF(K39=0,0,IF(DaB!M39&gt;0,DaB!N39-DaB!M39,0))</f>
        <v>0</v>
      </c>
      <c r="K39" s="33">
        <f>IF(DaB!O39&gt;0,DaB!O39-DaB!N39+1,0)</f>
        <v>0</v>
      </c>
      <c r="L39" s="32">
        <f>IF(K39=0,0,IF(DaB!Q39&gt;0,DaB!Q39-DaB!P39+1,0))</f>
        <v>0</v>
      </c>
      <c r="M39" s="30">
        <f>IF(K39=0,0,IF(DaB!R39&gt;0,DaB!R39-MAX(DaB!O39:Q39),0))</f>
        <v>0</v>
      </c>
      <c r="N39" s="31">
        <f>IF(P39=0,0,MIN(DaB!$T39:$U39)-SUM($C39:M39))</f>
        <v>0</v>
      </c>
      <c r="O39" s="29">
        <f>IF(P39=0,0,IF(DaB!T39&gt;0,DaB!U39-DaB!T39,0))</f>
        <v>0</v>
      </c>
      <c r="P39" s="33">
        <f>IF(DaB!V39&gt;0,DaB!V39-DaB!U39+1,0)</f>
        <v>0</v>
      </c>
      <c r="Q39" s="32">
        <f>IF(P39=0,0,IF(DaB!X39&gt;0,DaB!X39-DaB!W39+1,0))</f>
        <v>0</v>
      </c>
      <c r="R39" s="30">
        <f>IF(P39=0,0,IF(DaB!Y39&gt;0,DaB!Y39-MAX(DaB!V39:X39),0))</f>
        <v>0</v>
      </c>
      <c r="S39" s="34">
        <f>IF(U39=0,0,MIN(DaB!$AA39:$AB39)-SUM($C39:R39))</f>
        <v>0</v>
      </c>
      <c r="T39" s="29">
        <f>IF(U39=0,0,IF(DaB!AA39&gt;0,DaB!AB39-DaB!AA39,0))</f>
        <v>0</v>
      </c>
      <c r="U39" s="33">
        <f>IF(DaB!AC39&gt;0,DaB!AC39-DaB!AB39+1,0)</f>
        <v>0</v>
      </c>
      <c r="V39" s="32">
        <f>IF(U39=0,0,IF(DaB!AE39&gt;0,DaB!AE39-DaB!AD39+1,0))</f>
        <v>0</v>
      </c>
      <c r="W39" s="30">
        <f>IF(U39=0,0,IF(DaB!AF39&gt;0,DaB!AF39-MAX(DaB!AC39:AE39),0))</f>
        <v>0</v>
      </c>
      <c r="X39" s="34">
        <f>IF(Z39=0,0,MIN(DaB!$AH39:$AI39)-SUM($C39:W39))</f>
        <v>0</v>
      </c>
      <c r="Y39" s="29">
        <f>IF(Z39=0,0,IF(DaB!AH39&gt;0,DaB!AI39-DaB!AH39,0))</f>
        <v>0</v>
      </c>
      <c r="Z39" s="33">
        <f>IF(DaB!AJ39&gt;0,DaB!AJ39-DaB!AI39+1,0)</f>
        <v>0</v>
      </c>
      <c r="AA39" s="32">
        <f>IF(Z39=0,0,IF(DaB!AL39&gt;0,DaB!AL39-DaB!AK39+1,0))</f>
        <v>0</v>
      </c>
      <c r="AB39" s="30">
        <f>IF(Z39=0,0,IF(DaB!AM39&gt;0,DaB!AM39-MAX(DaB!AJ39:AL39),0))</f>
        <v>0</v>
      </c>
      <c r="AC39" s="34">
        <f>IF(AE39=0,0,MIN(DaB!$AO39:$AP39)-SUM($C39:AB39))</f>
        <v>0</v>
      </c>
      <c r="AD39" s="29">
        <f>IF(AE39=0,0,IF(DaB!AO39&gt;0,DaB!AP39-DaB!AO39,0))</f>
        <v>0</v>
      </c>
      <c r="AE39" s="33">
        <f>IF(DaB!AQ39&gt;0,DaB!AQ39-DaB!AP39+1,0)</f>
        <v>0</v>
      </c>
      <c r="AF39" s="32">
        <f>IF(AE39=0,0,IF(DaB!AS39&gt;0,DaB!AS39-DaB!AR39+1,0))</f>
        <v>0</v>
      </c>
      <c r="AG39" s="30">
        <f>IF(AE39=0,0,IF(DaB!AT39&gt;0,DaB!AT39-MAX(DaB!AQ39:AS39),0))</f>
        <v>0</v>
      </c>
      <c r="AH39" s="34">
        <f>IF(AJ39=0,0,MIN(DaB!$AV39:$AW39)-SUM($C39:AG39))</f>
        <v>0</v>
      </c>
      <c r="AI39" s="29">
        <f>IF(AJ39=0,0,IF(DaB!AV39&gt;0,DaB!AW39-DaB!AV39,0))</f>
        <v>0</v>
      </c>
      <c r="AJ39" s="33">
        <f>IF(DaB!AX39&gt;0,DaB!AX39-DaB!AW39+1,0)</f>
        <v>0</v>
      </c>
      <c r="AK39" s="32">
        <f>IF(AJ39=0,0,IF(DaB!AZ39&gt;0,DaB!AZ39-DaB!AY39+1,0))</f>
        <v>0</v>
      </c>
      <c r="AL39" s="30">
        <f>IF(AJ39=0,0,IF(DaB!BA39&gt;0,DaB!BA39-MAX(DaB!AX39:AZ39),0))</f>
        <v>0</v>
      </c>
      <c r="AM39" s="34">
        <f>IF(AO39=0,0,MIN(DaB!$BC39:$BD39)-SUM($C39:AL39))</f>
        <v>0</v>
      </c>
      <c r="AN39" s="29">
        <f>IF(AO39=0,0,IF(DaB!BC39&gt;0,DaB!BD39-DaB!BC39,0))</f>
        <v>0</v>
      </c>
      <c r="AO39" s="33">
        <f>IF(DaB!BE39&gt;0,DaB!BE39-DaB!BD39+1,0)</f>
        <v>0</v>
      </c>
      <c r="AP39" s="32">
        <f>IF(AO39=0,0,IF(DaB!BG39&gt;0,DaB!BG39-DaB!BF39+1,0))</f>
        <v>0</v>
      </c>
      <c r="AQ39" s="30">
        <f>IF(AO39=0,0,IF(DaB!BH39&gt;0,DaB!BH39-MAX(DaB!BE39:BG39),0))</f>
        <v>0</v>
      </c>
      <c r="AR39" s="34">
        <f>IF(AT39=0,0,MIN(DaB!$BJ39:$BK39)-SUM($C39:AQ39))</f>
        <v>0</v>
      </c>
      <c r="AS39" s="29">
        <f>IF(AT39=0,0,IF(DaB!BJ39&gt;0,DaB!BK39-DaB!BJ39,0))</f>
        <v>0</v>
      </c>
      <c r="AT39" s="33">
        <f>IF(DaB!BL39&gt;0,DaB!BL39-DaB!BK39+1,0)</f>
        <v>0</v>
      </c>
      <c r="AU39" s="32">
        <f>IF(AT39=0,0,IF(DaB!BN39&gt;0,DaB!BN39-DaB!BM39+1,0))</f>
        <v>0</v>
      </c>
      <c r="AV39" s="30">
        <f>IF(AT39=0,0,IF(DaB!BO39&gt;0,DaB!BO39-MAX(DaB!BL39:BN39),0))</f>
        <v>0</v>
      </c>
      <c r="AW39" s="34">
        <f>IF(AY39=0,0,MIN(DaB!$BQ39:$BR39)-SUM($C39:AV39))</f>
        <v>0</v>
      </c>
      <c r="AX39" s="29">
        <f>IF(AY39=0,0,IF(DaB!BQ39&gt;0,DaB!BR39-DaB!BQ39,0))</f>
        <v>0</v>
      </c>
      <c r="AY39" s="33">
        <f>IF(DaB!BS39&gt;0,DaB!BS39-DaB!BR39+1,0)</f>
        <v>0</v>
      </c>
      <c r="AZ39" s="32">
        <f>IF(AY39=0,0,IF(DaB!BU39&gt;0,DaB!BU39-DaB!BT39+1,0))</f>
        <v>0</v>
      </c>
      <c r="BA39" s="30">
        <f>IF(AY39=0,0,IF(DaB!BV39&gt;0,DaB!BV39-MAX(DaB!BS39:BU39),0))</f>
        <v>0</v>
      </c>
      <c r="BB39" s="34">
        <f>IF(BD39=0,0,MIN(DaB!$BX39:$BY39)-SUM($C39:BA39))</f>
        <v>0</v>
      </c>
      <c r="BC39" s="29">
        <f>IF(BD39=0,0,IF(DaB!BX39&gt;0,DaB!BY39-DaB!BX39,0))</f>
        <v>0</v>
      </c>
      <c r="BD39" s="33">
        <f>IF(DaB!BZ39&gt;0,DaB!BZ39-DaB!BY39+1,0)</f>
        <v>0</v>
      </c>
      <c r="BE39" s="32">
        <f>IF(BD39=0,0,IF(DaB!CB39&gt;0,DaB!CB39-DaB!CA39+1,0))</f>
        <v>0</v>
      </c>
      <c r="BF39" s="30">
        <f>IF(BD39=0,0,IF(DaB!CC39&gt;0,DaB!CC39-MAX(DaB!BZ39:CB39),0))</f>
        <v>0</v>
      </c>
      <c r="BG39" s="34">
        <f>IF(BI39=0,0,MIN(DaB!$CE39:$CF39)-SUM($C39:BF39))</f>
        <v>0</v>
      </c>
      <c r="BH39" s="29">
        <f>IF(BI39=0,0,IF(DaB!CE39&gt;0,DaB!CF39-DaB!CE39,0))</f>
        <v>0</v>
      </c>
      <c r="BI39" s="33">
        <f>IF(DaB!CG39&gt;0,DaB!CG39-DaB!CF39+1,0)</f>
        <v>0</v>
      </c>
      <c r="BJ39" s="32">
        <f>IF(BI39=0,0,IF(DaB!CI39&gt;0,DaB!CI39-DaB!CH39+1,0))</f>
        <v>0</v>
      </c>
      <c r="BK39" s="30">
        <f>IF(BI39=0,0,IF(DaB!CJ39&gt;0,DaB!CJ39-MAX(DaB!CG39:CI39),0))</f>
        <v>0</v>
      </c>
      <c r="BL39" s="34">
        <f>IF(BN39=0,0,MIN(DaB!$CL39:$CM39)-SUM($C39:BK39))</f>
        <v>0</v>
      </c>
      <c r="BM39" s="29">
        <f>IF(BN39=0,0,IF(DaB!CL39&gt;0,DaB!CM39-DaB!CL39,0))</f>
        <v>0</v>
      </c>
      <c r="BN39" s="33">
        <f>IF(DaB!CN39&gt;0,DaB!CN39-DaB!CM39+1,0)</f>
        <v>0</v>
      </c>
      <c r="BO39" s="32">
        <f>IF(BN39=0,0,IF(DaB!CP39&gt;0,DaB!CP39-DaB!CO39+1,0))</f>
        <v>0</v>
      </c>
      <c r="BP39" s="30">
        <f>IF(BN39=0,0,IF(DaB!CQ39&gt;0,DaB!CQ39-MAX(DaB!CN39:CP39),0))</f>
        <v>0</v>
      </c>
      <c r="BQ39" s="34">
        <f>IF(BS39=0,0,MIN(DaB!$CS39:$CT39)-SUM($C39:BP39))</f>
        <v>0</v>
      </c>
      <c r="BR39" s="29">
        <f>IF(BS39=0,0,IF(DaB!CS39&gt;0,DaB!CT39-DaB!CS39,0))</f>
        <v>0</v>
      </c>
      <c r="BS39" s="33">
        <f>IF(DaB!CU39&gt;0,DaB!CU39-DaB!CT39+1,0)</f>
        <v>0</v>
      </c>
      <c r="BT39" s="32">
        <f>IF(BS39=0,0,IF(DaB!CW39&gt;0,DaB!CW39-DaB!CV39+1,0))</f>
        <v>0</v>
      </c>
      <c r="BU39" s="30">
        <f>IF(BS39=0,0,IF(DaB!CX39&gt;0,DaB!CX39-MAX(DaB!CU39:CW39),0))</f>
        <v>0</v>
      </c>
      <c r="BV39" s="34">
        <f>IF(BX39=0,0,MIN(DaB!$CZ39:$DA39)-SUM($C39:BU39))</f>
        <v>0</v>
      </c>
      <c r="BW39" s="29">
        <f>IF(BX39=0,0,IF(DaB!CZ39&gt;0,DaB!DA39-DaB!CZ39,0))</f>
        <v>0</v>
      </c>
      <c r="BX39" s="33">
        <f>IF(DaB!DB39&gt;0,DaB!DB39-DaB!DA39+1,0)</f>
        <v>0</v>
      </c>
      <c r="BY39" s="32">
        <f>IF(BX39=0,0,IF(DaB!DD39&gt;0,DaB!DD39-DaB!DC39+1,0))</f>
        <v>0</v>
      </c>
      <c r="BZ39" s="30">
        <f>IF(BX39=0,0,IF(DaB!DE39&gt;0,DaB!DE39-MAX(DaB!DB39:DD39),0))</f>
        <v>0</v>
      </c>
      <c r="CA39" s="34">
        <f>IF(CC39=0,0,MIN(DaB!$DG39:$DH39)-SUM($C39:BZ39))</f>
        <v>0</v>
      </c>
      <c r="CB39" s="29">
        <f>IF(CC39=0,0,IF(DaB!DG39&gt;0,DaB!DH39-DaB!DG39,0))</f>
        <v>0</v>
      </c>
      <c r="CC39" s="33">
        <f>IF(DaB!DI39&gt;0,DaB!DI39-DaB!DH39+1,0)</f>
        <v>0</v>
      </c>
      <c r="CD39" s="32">
        <f>IF(CC39=0,0,IF(DaB!DK39&gt;0,DaB!DK39-DaB!DJ39+1,0))</f>
        <v>0</v>
      </c>
      <c r="CE39" s="30">
        <f>IF(CC39=0,0,IF(DaB!DL39&gt;0,DaB!DL39-MAX(DaB!DI39:DK39),0))</f>
        <v>0</v>
      </c>
      <c r="CF39" s="34">
        <f>IF(CH39=0,0,MIN(DaB!$DN39:$DO39)-SUM($C39:CE39))</f>
        <v>0</v>
      </c>
      <c r="CG39" s="29">
        <f>IF(CH39=0,0,IF(DaB!DN39&gt;0,DaB!DO39-DaB!DN39,0))</f>
        <v>0</v>
      </c>
      <c r="CH39" s="33">
        <f>IF(DaB!DP39&gt;0,DaB!DP39-DaB!DO39+1,0)</f>
        <v>0</v>
      </c>
      <c r="CI39" s="32">
        <f>IF(CH39=0,0,IF(DaB!DR39&gt;0,DaB!DR39-DaB!DQ39+1,0))</f>
        <v>0</v>
      </c>
      <c r="CJ39" s="30">
        <f>IF(CH39=0,0,IF(DaB!DS39&gt;0,DaB!DS39-MAX(DaB!DP39:DR39),0))</f>
        <v>0</v>
      </c>
      <c r="CK39" s="34">
        <f>IF(CM39=0,0,MIN(DaB!$DU39:$DV39)-SUM($C39:CJ39))</f>
        <v>0</v>
      </c>
      <c r="CL39" s="29">
        <f>IF(CM39=0,0,IF(DaB!DU39&gt;0,DaB!DV39-DaB!DU39,0))</f>
        <v>0</v>
      </c>
      <c r="CM39" s="33">
        <f>IF(DaB!DW39&gt;0,DaB!DW39-DaB!DV39+1,0)</f>
        <v>0</v>
      </c>
      <c r="CN39" s="32">
        <f>IF(CM39=0,0,IF(DaB!DY39&gt;0,DaB!DY39-DaB!DX39+1,0))</f>
        <v>0</v>
      </c>
      <c r="CO39" s="30">
        <f>IF(CM39=0,0,IF(DaB!DZ39&gt;0,DaB!DZ39-MAX(DaB!DW39:DY39),0))</f>
        <v>0</v>
      </c>
      <c r="CP39" s="34">
        <f>IF(CR39=0,0,MIN(DaB!$EB39:$EC39)-SUM($C39:CO39))</f>
        <v>0</v>
      </c>
      <c r="CQ39" s="29">
        <f>IF(CR39=0,0,IF(DaB!EB39&gt;0,DaB!EC39-DaB!EB39,0))</f>
        <v>0</v>
      </c>
      <c r="CR39" s="33">
        <f>IF(DaB!ED39&gt;0,DaB!ED39-DaB!EC39+1,0)</f>
        <v>0</v>
      </c>
      <c r="CS39" s="32">
        <f>IF(CR39=0,0,IF(DaB!EF39&gt;0,DaB!EF39-DaB!EE39+1,0))</f>
        <v>0</v>
      </c>
      <c r="CT39" s="30">
        <f>IF(CR39=0,0,IF(DaB!EG39&gt;0,DaB!EG39-MAX(DaB!ED39:EF39),0))</f>
        <v>0</v>
      </c>
      <c r="CU39" s="34">
        <f>IF(CW39=0,0,MIN(DaB!$EI39:$EJ39)-SUM($C39:CT39))</f>
        <v>0</v>
      </c>
      <c r="CV39" s="29">
        <f>IF(CW39=0,0,IF(DaB!EI39&gt;0,DaB!EJ39-DaB!EI39,0))</f>
        <v>0</v>
      </c>
      <c r="CW39" s="33">
        <f>IF(DaB!EK39&gt;0,DaB!EK39-DaB!EJ39+1,0)</f>
        <v>0</v>
      </c>
      <c r="CX39" s="32">
        <f>IF(CW39=0,0,IF(DaB!EM39&gt;0,DaB!EM39-DaB!EL39+1,0))</f>
        <v>0</v>
      </c>
      <c r="CY39" s="30">
        <f>IF(CW39=0,0,IF(DaB!EN39&gt;0,DaB!EN39-MAX(DaB!EK39:EM39),0))</f>
        <v>0</v>
      </c>
      <c r="DF39" s="2">
        <f t="shared" si="4"/>
        <v>45474</v>
      </c>
      <c r="DG39" s="28"/>
      <c r="DH39" s="29"/>
      <c r="DI39" s="10"/>
      <c r="DJ39" s="10"/>
      <c r="DK39" s="11"/>
      <c r="DL39" s="11"/>
      <c r="DM39" s="30"/>
      <c r="DN39" s="28"/>
      <c r="DO39" s="29"/>
      <c r="DP39" s="10"/>
      <c r="DQ39" s="10"/>
      <c r="DR39" s="11"/>
      <c r="DS39" s="11"/>
      <c r="DT39" s="30"/>
      <c r="DU39" s="28"/>
      <c r="DV39" s="29"/>
      <c r="DW39" s="10"/>
      <c r="DX39" s="10"/>
      <c r="DY39" s="11"/>
      <c r="DZ39" s="11"/>
      <c r="EA39" s="30"/>
      <c r="EB39" s="28"/>
      <c r="EC39" s="29"/>
      <c r="ED39" s="10"/>
      <c r="EE39" s="10"/>
      <c r="EF39" s="11"/>
      <c r="EG39" s="11"/>
      <c r="EH39" s="30"/>
      <c r="EI39" s="34"/>
      <c r="EJ39" s="29"/>
      <c r="EK39" s="10"/>
      <c r="EL39" s="10"/>
      <c r="EM39" s="30"/>
      <c r="EN39" s="34"/>
      <c r="EO39" s="29"/>
      <c r="EP39" s="47"/>
      <c r="EQ39" s="47"/>
      <c r="ER39" s="30"/>
      <c r="ES39" s="34"/>
      <c r="ET39" s="29"/>
      <c r="EU39" s="47"/>
      <c r="EV39" s="47"/>
      <c r="EW39" s="30"/>
    </row>
    <row r="40" spans="1:153" x14ac:dyDescent="0.2">
      <c r="A40" s="2" t="str">
        <f>DaB!A40</f>
        <v>Calendar 18</v>
      </c>
      <c r="B40" s="2" t="str">
        <f t="shared" si="3"/>
        <v>.</v>
      </c>
      <c r="C40" s="27">
        <f t="shared" si="1"/>
        <v>45474</v>
      </c>
      <c r="D40" s="34">
        <f>IFERROR(MIN(DaB!F40:K40)-C40,0)</f>
        <v>-45474</v>
      </c>
      <c r="E40" s="29">
        <f>IF(F40=0,0,IF(DaB!F40&gt;0,DaB!G40-DaB!F40,0))</f>
        <v>0</v>
      </c>
      <c r="F40" s="33">
        <f>IF(DaB!G40&gt;MAX(DaB!EV40,DaB!FJ40),DaB!H40-DaB!G40+1,
IF(DaB!H40&gt;0,DaB!H40-DaB!G40,0))</f>
        <v>0</v>
      </c>
      <c r="G40" s="32">
        <f>IF(F40=0,0,IF(DaB!J40&gt;0,DaB!J40-DaB!I40+1,0))</f>
        <v>0</v>
      </c>
      <c r="H40" s="30">
        <f>IF(F40=0,0,IF(DaB!K40&gt;0,DaB!K40-MAX(DaB!H40:J40),0))</f>
        <v>0</v>
      </c>
      <c r="I40" s="34">
        <f>IF(K40=0,0,MIN(DaB!$M40:$N40)-SUM($C40:H40))</f>
        <v>0</v>
      </c>
      <c r="J40" s="29">
        <f>IF(K40=0,0,IF(DaB!M40&gt;0,DaB!N40-DaB!M40,0))</f>
        <v>0</v>
      </c>
      <c r="K40" s="33">
        <f>IF(DaB!O40&gt;0,DaB!O40-DaB!N40+1,0)</f>
        <v>0</v>
      </c>
      <c r="L40" s="32">
        <f>IF(K40=0,0,IF(DaB!Q40&gt;0,DaB!Q40-DaB!P40+1,0))</f>
        <v>0</v>
      </c>
      <c r="M40" s="30">
        <f>IF(K40=0,0,IF(DaB!R40&gt;0,DaB!R40-MAX(DaB!O40:Q40),0))</f>
        <v>0</v>
      </c>
      <c r="N40" s="31">
        <f>IF(P40=0,0,MIN(DaB!$T40:$U40)-SUM($C40:M40))</f>
        <v>0</v>
      </c>
      <c r="O40" s="29">
        <f>IF(P40=0,0,IF(DaB!T40&gt;0,DaB!U40-DaB!T40,0))</f>
        <v>0</v>
      </c>
      <c r="P40" s="33">
        <f>IF(DaB!V40&gt;0,DaB!V40-DaB!U40+1,0)</f>
        <v>0</v>
      </c>
      <c r="Q40" s="32">
        <f>IF(P40=0,0,IF(DaB!X40&gt;0,DaB!X40-DaB!W40+1,0))</f>
        <v>0</v>
      </c>
      <c r="R40" s="30">
        <f>IF(P40=0,0,IF(DaB!Y40&gt;0,DaB!Y40-MAX(DaB!V40:X40),0))</f>
        <v>0</v>
      </c>
      <c r="S40" s="34">
        <f>IF(U40=0,0,MIN(DaB!$AA40:$AB40)-SUM($C40:R40))</f>
        <v>0</v>
      </c>
      <c r="T40" s="29">
        <f>IF(U40=0,0,IF(DaB!AA40&gt;0,DaB!AB40-DaB!AA40,0))</f>
        <v>0</v>
      </c>
      <c r="U40" s="33">
        <f>IF(DaB!AC40&gt;0,DaB!AC40-DaB!AB40+1,0)</f>
        <v>0</v>
      </c>
      <c r="V40" s="32">
        <f>IF(U40=0,0,IF(DaB!AE40&gt;0,DaB!AE40-DaB!AD40+1,0))</f>
        <v>0</v>
      </c>
      <c r="W40" s="30">
        <f>IF(U40=0,0,IF(DaB!AF40&gt;0,DaB!AF40-MAX(DaB!AC40:AE40),0))</f>
        <v>0</v>
      </c>
      <c r="X40" s="34">
        <f>IF(Z40=0,0,MIN(DaB!$AH40:$AI40)-SUM($C40:W40))</f>
        <v>0</v>
      </c>
      <c r="Y40" s="29">
        <f>IF(Z40=0,0,IF(DaB!AH40&gt;0,DaB!AI40-DaB!AH40,0))</f>
        <v>0</v>
      </c>
      <c r="Z40" s="33">
        <f>IF(DaB!AJ40&gt;0,DaB!AJ40-DaB!AI40+1,0)</f>
        <v>0</v>
      </c>
      <c r="AA40" s="32">
        <f>IF(Z40=0,0,IF(DaB!AL40&gt;0,DaB!AL40-DaB!AK40+1,0))</f>
        <v>0</v>
      </c>
      <c r="AB40" s="30">
        <f>IF(Z40=0,0,IF(DaB!AM40&gt;0,DaB!AM40-MAX(DaB!AJ40:AL40),0))</f>
        <v>0</v>
      </c>
      <c r="AC40" s="34">
        <f>IF(AE40=0,0,MIN(DaB!$AO40:$AP40)-SUM($C40:AB40))</f>
        <v>0</v>
      </c>
      <c r="AD40" s="29">
        <f>IF(AE40=0,0,IF(DaB!AO40&gt;0,DaB!AP40-DaB!AO40,0))</f>
        <v>0</v>
      </c>
      <c r="AE40" s="33">
        <f>IF(DaB!AQ40&gt;0,DaB!AQ40-DaB!AP40+1,0)</f>
        <v>0</v>
      </c>
      <c r="AF40" s="32">
        <f>IF(AE40=0,0,IF(DaB!AS40&gt;0,DaB!AS40-DaB!AR40+1,0))</f>
        <v>0</v>
      </c>
      <c r="AG40" s="30">
        <f>IF(AE40=0,0,IF(DaB!AT40&gt;0,DaB!AT40-MAX(DaB!AQ40:AS40),0))</f>
        <v>0</v>
      </c>
      <c r="AH40" s="34">
        <f>IF(AJ40=0,0,MIN(DaB!$AV40:$AW40)-SUM($C40:AG40))</f>
        <v>0</v>
      </c>
      <c r="AI40" s="29">
        <f>IF(AJ40=0,0,IF(DaB!AV40&gt;0,DaB!AW40-DaB!AV40,0))</f>
        <v>0</v>
      </c>
      <c r="AJ40" s="33">
        <f>IF(DaB!AX40&gt;0,DaB!AX40-DaB!AW40+1,0)</f>
        <v>0</v>
      </c>
      <c r="AK40" s="32">
        <f>IF(AJ40=0,0,IF(DaB!AZ40&gt;0,DaB!AZ40-DaB!AY40+1,0))</f>
        <v>0</v>
      </c>
      <c r="AL40" s="30">
        <f>IF(AJ40=0,0,IF(DaB!BA40&gt;0,DaB!BA40-MAX(DaB!AX40:AZ40),0))</f>
        <v>0</v>
      </c>
      <c r="AM40" s="34">
        <f>IF(AO40=0,0,MIN(DaB!$BC40:$BD40)-SUM($C40:AL40))</f>
        <v>0</v>
      </c>
      <c r="AN40" s="29">
        <f>IF(AO40=0,0,IF(DaB!BC40&gt;0,DaB!BD40-DaB!BC40,0))</f>
        <v>0</v>
      </c>
      <c r="AO40" s="33">
        <f>IF(DaB!BE40&gt;0,DaB!BE40-DaB!BD40+1,0)</f>
        <v>0</v>
      </c>
      <c r="AP40" s="32">
        <f>IF(AO40=0,0,IF(DaB!BG40&gt;0,DaB!BG40-DaB!BF40+1,0))</f>
        <v>0</v>
      </c>
      <c r="AQ40" s="30">
        <f>IF(AO40=0,0,IF(DaB!BH40&gt;0,DaB!BH40-MAX(DaB!BE40:BG40),0))</f>
        <v>0</v>
      </c>
      <c r="AR40" s="34">
        <f>IF(AT40=0,0,MIN(DaB!$BJ40:$BK40)-SUM($C40:AQ40))</f>
        <v>0</v>
      </c>
      <c r="AS40" s="29">
        <f>IF(AT40=0,0,IF(DaB!BJ40&gt;0,DaB!BK40-DaB!BJ40,0))</f>
        <v>0</v>
      </c>
      <c r="AT40" s="33">
        <f>IF(DaB!BL40&gt;0,DaB!BL40-DaB!BK40+1,0)</f>
        <v>0</v>
      </c>
      <c r="AU40" s="32">
        <f>IF(AT40=0,0,IF(DaB!BN40&gt;0,DaB!BN40-DaB!BM40+1,0))</f>
        <v>0</v>
      </c>
      <c r="AV40" s="30">
        <f>IF(AT40=0,0,IF(DaB!BO40&gt;0,DaB!BO40-MAX(DaB!BL40:BN40),0))</f>
        <v>0</v>
      </c>
      <c r="AW40" s="34">
        <f>IF(AY40=0,0,MIN(DaB!$BQ40:$BR40)-SUM($C40:AV40))</f>
        <v>0</v>
      </c>
      <c r="AX40" s="29">
        <f>IF(AY40=0,0,IF(DaB!BQ40&gt;0,DaB!BR40-DaB!BQ40,0))</f>
        <v>0</v>
      </c>
      <c r="AY40" s="33">
        <f>IF(DaB!BS40&gt;0,DaB!BS40-DaB!BR40+1,0)</f>
        <v>0</v>
      </c>
      <c r="AZ40" s="32">
        <f>IF(AY40=0,0,IF(DaB!BU40&gt;0,DaB!BU40-DaB!BT40+1,0))</f>
        <v>0</v>
      </c>
      <c r="BA40" s="30">
        <f>IF(AY40=0,0,IF(DaB!BV40&gt;0,DaB!BV40-MAX(DaB!BS40:BU40),0))</f>
        <v>0</v>
      </c>
      <c r="BB40" s="34">
        <f>IF(BD40=0,0,MIN(DaB!$BX40:$BY40)-SUM($C40:BA40))</f>
        <v>0</v>
      </c>
      <c r="BC40" s="29">
        <f>IF(BD40=0,0,IF(DaB!BX40&gt;0,DaB!BY40-DaB!BX40,0))</f>
        <v>0</v>
      </c>
      <c r="BD40" s="33">
        <f>IF(DaB!BZ40&gt;0,DaB!BZ40-DaB!BY40+1,0)</f>
        <v>0</v>
      </c>
      <c r="BE40" s="32">
        <f>IF(BD40=0,0,IF(DaB!CB40&gt;0,DaB!CB40-DaB!CA40+1,0))</f>
        <v>0</v>
      </c>
      <c r="BF40" s="30">
        <f>IF(BD40=0,0,IF(DaB!CC40&gt;0,DaB!CC40-MAX(DaB!BZ40:CB40),0))</f>
        <v>0</v>
      </c>
      <c r="BG40" s="34">
        <f>IF(BI40=0,0,MIN(DaB!$CE40:$CF40)-SUM($C40:BF40))</f>
        <v>0</v>
      </c>
      <c r="BH40" s="29">
        <f>IF(BI40=0,0,IF(DaB!CE40&gt;0,DaB!CF40-DaB!CE40,0))</f>
        <v>0</v>
      </c>
      <c r="BI40" s="33">
        <f>IF(DaB!CG40&gt;0,DaB!CG40-DaB!CF40+1,0)</f>
        <v>0</v>
      </c>
      <c r="BJ40" s="32">
        <f>IF(BI40=0,0,IF(DaB!CI40&gt;0,DaB!CI40-DaB!CH40+1,0))</f>
        <v>0</v>
      </c>
      <c r="BK40" s="30">
        <f>IF(BI40=0,0,IF(DaB!CJ40&gt;0,DaB!CJ40-MAX(DaB!CG40:CI40),0))</f>
        <v>0</v>
      </c>
      <c r="BL40" s="34">
        <f>IF(BN40=0,0,MIN(DaB!$CL40:$CM40)-SUM($C40:BK40))</f>
        <v>0</v>
      </c>
      <c r="BM40" s="29">
        <f>IF(BN40=0,0,IF(DaB!CL40&gt;0,DaB!CM40-DaB!CL40,0))</f>
        <v>0</v>
      </c>
      <c r="BN40" s="33">
        <f>IF(DaB!CN40&gt;0,DaB!CN40-DaB!CM40+1,0)</f>
        <v>0</v>
      </c>
      <c r="BO40" s="32">
        <f>IF(BN40=0,0,IF(DaB!CP40&gt;0,DaB!CP40-DaB!CO40+1,0))</f>
        <v>0</v>
      </c>
      <c r="BP40" s="30">
        <f>IF(BN40=0,0,IF(DaB!CQ40&gt;0,DaB!CQ40-MAX(DaB!CN40:CP40),0))</f>
        <v>0</v>
      </c>
      <c r="BQ40" s="34">
        <f>IF(BS40=0,0,MIN(DaB!$CS40:$CT40)-SUM($C40:BP40))</f>
        <v>0</v>
      </c>
      <c r="BR40" s="29">
        <f>IF(BS40=0,0,IF(DaB!CS40&gt;0,DaB!CT40-DaB!CS40,0))</f>
        <v>0</v>
      </c>
      <c r="BS40" s="33">
        <f>IF(DaB!CU40&gt;0,DaB!CU40-DaB!CT40+1,0)</f>
        <v>0</v>
      </c>
      <c r="BT40" s="32">
        <f>IF(BS40=0,0,IF(DaB!CW40&gt;0,DaB!CW40-DaB!CV40+1,0))</f>
        <v>0</v>
      </c>
      <c r="BU40" s="30">
        <f>IF(BS40=0,0,IF(DaB!CX40&gt;0,DaB!CX40-MAX(DaB!CU40:CW40),0))</f>
        <v>0</v>
      </c>
      <c r="BV40" s="34">
        <f>IF(BX40=0,0,MIN(DaB!$CZ40:$DA40)-SUM($C40:BU40))</f>
        <v>0</v>
      </c>
      <c r="BW40" s="29">
        <f>IF(BX40=0,0,IF(DaB!CZ40&gt;0,DaB!DA40-DaB!CZ40,0))</f>
        <v>0</v>
      </c>
      <c r="BX40" s="33">
        <f>IF(DaB!DB40&gt;0,DaB!DB40-DaB!DA40+1,0)</f>
        <v>0</v>
      </c>
      <c r="BY40" s="32">
        <f>IF(BX40=0,0,IF(DaB!DD40&gt;0,DaB!DD40-DaB!DC40+1,0))</f>
        <v>0</v>
      </c>
      <c r="BZ40" s="30">
        <f>IF(BX40=0,0,IF(DaB!DE40&gt;0,DaB!DE40-MAX(DaB!DB40:DD40),0))</f>
        <v>0</v>
      </c>
      <c r="CA40" s="34">
        <f>IF(CC40=0,0,MIN(DaB!$DG40:$DH40)-SUM($C40:BZ40))</f>
        <v>0</v>
      </c>
      <c r="CB40" s="29">
        <f>IF(CC40=0,0,IF(DaB!DG40&gt;0,DaB!DH40-DaB!DG40,0))</f>
        <v>0</v>
      </c>
      <c r="CC40" s="33">
        <f>IF(DaB!DI40&gt;0,DaB!DI40-DaB!DH40+1,0)</f>
        <v>0</v>
      </c>
      <c r="CD40" s="32">
        <f>IF(CC40=0,0,IF(DaB!DK40&gt;0,DaB!DK40-DaB!DJ40+1,0))</f>
        <v>0</v>
      </c>
      <c r="CE40" s="30">
        <f>IF(CC40=0,0,IF(DaB!DL40&gt;0,DaB!DL40-MAX(DaB!DI40:DK40),0))</f>
        <v>0</v>
      </c>
      <c r="CF40" s="34">
        <f>IF(CH40=0,0,MIN(DaB!$DN40:$DO40)-SUM($C40:CE40))</f>
        <v>0</v>
      </c>
      <c r="CG40" s="29">
        <f>IF(CH40=0,0,IF(DaB!DN40&gt;0,DaB!DO40-DaB!DN40,0))</f>
        <v>0</v>
      </c>
      <c r="CH40" s="33">
        <f>IF(DaB!DP40&gt;0,DaB!DP40-DaB!DO40+1,0)</f>
        <v>0</v>
      </c>
      <c r="CI40" s="32">
        <f>IF(CH40=0,0,IF(DaB!DR40&gt;0,DaB!DR40-DaB!DQ40+1,0))</f>
        <v>0</v>
      </c>
      <c r="CJ40" s="30">
        <f>IF(CH40=0,0,IF(DaB!DS40&gt;0,DaB!DS40-MAX(DaB!DP40:DR40),0))</f>
        <v>0</v>
      </c>
      <c r="CK40" s="34">
        <f>IF(CM40=0,0,MIN(DaB!$DU40:$DV40)-SUM($C40:CJ40))</f>
        <v>0</v>
      </c>
      <c r="CL40" s="29">
        <f>IF(CM40=0,0,IF(DaB!DU40&gt;0,DaB!DV40-DaB!DU40,0))</f>
        <v>0</v>
      </c>
      <c r="CM40" s="33">
        <f>IF(DaB!DW40&gt;0,DaB!DW40-DaB!DV40+1,0)</f>
        <v>0</v>
      </c>
      <c r="CN40" s="32">
        <f>IF(CM40=0,0,IF(DaB!DY40&gt;0,DaB!DY40-DaB!DX40+1,0))</f>
        <v>0</v>
      </c>
      <c r="CO40" s="30">
        <f>IF(CM40=0,0,IF(DaB!DZ40&gt;0,DaB!DZ40-MAX(DaB!DW40:DY40),0))</f>
        <v>0</v>
      </c>
      <c r="CP40" s="34">
        <f>IF(CR40=0,0,MIN(DaB!$EB40:$EC40)-SUM($C40:CO40))</f>
        <v>0</v>
      </c>
      <c r="CQ40" s="29">
        <f>IF(CR40=0,0,IF(DaB!EB40&gt;0,DaB!EC40-DaB!EB40,0))</f>
        <v>0</v>
      </c>
      <c r="CR40" s="33">
        <f>IF(DaB!ED40&gt;0,DaB!ED40-DaB!EC40+1,0)</f>
        <v>0</v>
      </c>
      <c r="CS40" s="32">
        <f>IF(CR40=0,0,IF(DaB!EF40&gt;0,DaB!EF40-DaB!EE40+1,0))</f>
        <v>0</v>
      </c>
      <c r="CT40" s="30">
        <f>IF(CR40=0,0,IF(DaB!EG40&gt;0,DaB!EG40-MAX(DaB!ED40:EF40),0))</f>
        <v>0</v>
      </c>
      <c r="CU40" s="34">
        <f>IF(CW40=0,0,MIN(DaB!$EI40:$EJ40)-SUM($C40:CT40))</f>
        <v>0</v>
      </c>
      <c r="CV40" s="29">
        <f>IF(CW40=0,0,IF(DaB!EI40&gt;0,DaB!EJ40-DaB!EI40,0))</f>
        <v>0</v>
      </c>
      <c r="CW40" s="33">
        <f>IF(DaB!EK40&gt;0,DaB!EK40-DaB!EJ40+1,0)</f>
        <v>0</v>
      </c>
      <c r="CX40" s="32">
        <f>IF(CW40=0,0,IF(DaB!EM40&gt;0,DaB!EM40-DaB!EL40+1,0))</f>
        <v>0</v>
      </c>
      <c r="CY40" s="30">
        <f>IF(CW40=0,0,IF(DaB!EN40&gt;0,DaB!EN40-MAX(DaB!EK40:EM40),0))</f>
        <v>0</v>
      </c>
      <c r="DF40" s="2">
        <f t="shared" si="4"/>
        <v>45474</v>
      </c>
      <c r="DG40" s="28"/>
      <c r="DH40" s="29"/>
      <c r="DI40" s="10"/>
      <c r="DJ40" s="10"/>
      <c r="DK40" s="11"/>
      <c r="DL40" s="11"/>
      <c r="DM40" s="30"/>
      <c r="DN40" s="28"/>
      <c r="DO40" s="29"/>
      <c r="DP40" s="10"/>
      <c r="DQ40" s="10"/>
      <c r="DR40" s="11"/>
      <c r="DS40" s="11"/>
      <c r="DT40" s="30"/>
      <c r="DU40" s="28"/>
      <c r="DV40" s="29"/>
      <c r="DW40" s="10"/>
      <c r="DX40" s="10"/>
      <c r="DY40" s="11"/>
      <c r="DZ40" s="11"/>
      <c r="EA40" s="30"/>
      <c r="EB40" s="28"/>
      <c r="EC40" s="29"/>
      <c r="ED40" s="10"/>
      <c r="EE40" s="10"/>
      <c r="EF40" s="11"/>
      <c r="EG40" s="11"/>
      <c r="EH40" s="30"/>
      <c r="EI40" s="34"/>
      <c r="EJ40" s="29"/>
      <c r="EK40" s="10"/>
      <c r="EL40" s="10"/>
      <c r="EM40" s="30"/>
      <c r="EN40" s="34"/>
      <c r="EO40" s="29"/>
      <c r="EP40" s="47"/>
      <c r="EQ40" s="47"/>
      <c r="ER40" s="30"/>
      <c r="ES40" s="34"/>
      <c r="ET40" s="29"/>
      <c r="EU40" s="47"/>
      <c r="EV40" s="47"/>
      <c r="EW40" s="30"/>
    </row>
    <row r="41" spans="1:153" x14ac:dyDescent="0.2">
      <c r="A41" s="2" t="str">
        <f>DaB!A41</f>
        <v xml:space="preserve">Calendar 18 </v>
      </c>
      <c r="B41" s="2" t="str">
        <f t="shared" si="3"/>
        <v>.</v>
      </c>
      <c r="C41" s="27">
        <f t="shared" si="1"/>
        <v>45474</v>
      </c>
      <c r="D41" s="34">
        <f>IFERROR(MIN(DaB!F41:K41)-C41,0)</f>
        <v>-45474</v>
      </c>
      <c r="E41" s="29">
        <f>IF(F41=0,0,IF(DaB!F41&gt;0,DaB!G41-DaB!F41,0))</f>
        <v>0</v>
      </c>
      <c r="F41" s="33">
        <f>IF(DaB!G41&gt;MAX(DaB!EV41,DaB!FJ41),DaB!H41-DaB!G41+1,
IF(DaB!H41&gt;0,DaB!H41-DaB!G41,0))</f>
        <v>0</v>
      </c>
      <c r="G41" s="32">
        <f>IF(F41=0,0,IF(DaB!J41&gt;0,DaB!J41-DaB!I41+1,0))</f>
        <v>0</v>
      </c>
      <c r="H41" s="30">
        <f>IF(F41=0,0,IF(DaB!K41&gt;0,DaB!K41-MAX(DaB!H41:J41),0))</f>
        <v>0</v>
      </c>
      <c r="I41" s="34">
        <f>IF(K41=0,0,MIN(DaB!$M41:$N41)-SUM($C41:H41))</f>
        <v>0</v>
      </c>
      <c r="J41" s="29">
        <f>IF(K41=0,0,IF(DaB!M41&gt;0,DaB!N41-DaB!M41,0))</f>
        <v>0</v>
      </c>
      <c r="K41" s="33">
        <f>IF(DaB!O41&gt;0,DaB!O41-DaB!N41+1,0)</f>
        <v>0</v>
      </c>
      <c r="L41" s="32">
        <f>IF(K41=0,0,IF(DaB!Q41&gt;0,DaB!Q41-DaB!P41+1,0))</f>
        <v>0</v>
      </c>
      <c r="M41" s="30">
        <f>IF(K41=0,0,IF(DaB!R41&gt;0,DaB!R41-MAX(DaB!O41:Q41),0))</f>
        <v>0</v>
      </c>
      <c r="N41" s="31">
        <f>IF(P41=0,0,MIN(DaB!$T41:$U41)-SUM($C41:M41))</f>
        <v>0</v>
      </c>
      <c r="O41" s="29">
        <f>IF(P41=0,0,IF(DaB!T41&gt;0,DaB!U41-DaB!T41,0))</f>
        <v>0</v>
      </c>
      <c r="P41" s="33">
        <f>IF(DaB!V41&gt;0,DaB!V41-DaB!U41+1,0)</f>
        <v>0</v>
      </c>
      <c r="Q41" s="32">
        <f>IF(P41=0,0,IF(DaB!X41&gt;0,DaB!X41-DaB!W41+1,0))</f>
        <v>0</v>
      </c>
      <c r="R41" s="30">
        <f>IF(P41=0,0,IF(DaB!Y41&gt;0,DaB!Y41-MAX(DaB!V41:X41),0))</f>
        <v>0</v>
      </c>
      <c r="S41" s="34">
        <f>IF(U41=0,0,MIN(DaB!$AA41:$AB41)-SUM($C41:R41))</f>
        <v>0</v>
      </c>
      <c r="T41" s="29">
        <f>IF(U41=0,0,IF(DaB!AA41&gt;0,DaB!AB41-DaB!AA41,0))</f>
        <v>0</v>
      </c>
      <c r="U41" s="33">
        <f>IF(DaB!AC41&gt;0,DaB!AC41-DaB!AB41+1,0)</f>
        <v>0</v>
      </c>
      <c r="V41" s="32">
        <f>IF(U41=0,0,IF(DaB!AE41&gt;0,DaB!AE41-DaB!AD41+1,0))</f>
        <v>0</v>
      </c>
      <c r="W41" s="30">
        <f>IF(U41=0,0,IF(DaB!AF41&gt;0,DaB!AF41-MAX(DaB!AC41:AE41),0))</f>
        <v>0</v>
      </c>
      <c r="X41" s="34">
        <f>IF(Z41=0,0,MIN(DaB!$AH41:$AI41)-SUM($C41:W41))</f>
        <v>0</v>
      </c>
      <c r="Y41" s="29">
        <f>IF(Z41=0,0,IF(DaB!AH41&gt;0,DaB!AI41-DaB!AH41,0))</f>
        <v>0</v>
      </c>
      <c r="Z41" s="33">
        <f>IF(DaB!AJ41&gt;0,DaB!AJ41-DaB!AI41+1,0)</f>
        <v>0</v>
      </c>
      <c r="AA41" s="32">
        <f>IF(Z41=0,0,IF(DaB!AL41&gt;0,DaB!AL41-DaB!AK41+1,0))</f>
        <v>0</v>
      </c>
      <c r="AB41" s="30">
        <f>IF(Z41=0,0,IF(DaB!AM41&gt;0,DaB!AM41-MAX(DaB!AJ41:AL41),0))</f>
        <v>0</v>
      </c>
      <c r="AC41" s="34">
        <f>IF(AE41=0,0,MIN(DaB!$AO41:$AP41)-SUM($C41:AB41))</f>
        <v>0</v>
      </c>
      <c r="AD41" s="29">
        <f>IF(AE41=0,0,IF(DaB!AO41&gt;0,DaB!AP41-DaB!AO41,0))</f>
        <v>0</v>
      </c>
      <c r="AE41" s="33">
        <f>IF(DaB!AQ41&gt;0,DaB!AQ41-DaB!AP41+1,0)</f>
        <v>0</v>
      </c>
      <c r="AF41" s="32">
        <f>IF(AE41=0,0,IF(DaB!AS41&gt;0,DaB!AS41-DaB!AR41+1,0))</f>
        <v>0</v>
      </c>
      <c r="AG41" s="30">
        <f>IF(AE41=0,0,IF(DaB!AT41&gt;0,DaB!AT41-MAX(DaB!AQ41:AS41),0))</f>
        <v>0</v>
      </c>
      <c r="AH41" s="34">
        <f>IF(AJ41=0,0,MIN(DaB!$AV41:$AW41)-SUM($C41:AG41))</f>
        <v>0</v>
      </c>
      <c r="AI41" s="29">
        <f>IF(AJ41=0,0,IF(DaB!AV41&gt;0,DaB!AW41-DaB!AV41,0))</f>
        <v>0</v>
      </c>
      <c r="AJ41" s="33">
        <f>IF(DaB!AX41&gt;0,DaB!AX41-DaB!AW41+1,0)</f>
        <v>0</v>
      </c>
      <c r="AK41" s="32">
        <f>IF(AJ41=0,0,IF(DaB!AZ41&gt;0,DaB!AZ41-DaB!AY41+1,0))</f>
        <v>0</v>
      </c>
      <c r="AL41" s="30">
        <f>IF(AJ41=0,0,IF(DaB!BA41&gt;0,DaB!BA41-MAX(DaB!AX41:AZ41),0))</f>
        <v>0</v>
      </c>
      <c r="AM41" s="34">
        <f>IF(AO41=0,0,MIN(DaB!$BC41:$BD41)-SUM($C41:AL41))</f>
        <v>0</v>
      </c>
      <c r="AN41" s="29">
        <f>IF(AO41=0,0,IF(DaB!BC41&gt;0,DaB!BD41-DaB!BC41,0))</f>
        <v>0</v>
      </c>
      <c r="AO41" s="33">
        <f>IF(DaB!BE41&gt;0,DaB!BE41-DaB!BD41+1,0)</f>
        <v>0</v>
      </c>
      <c r="AP41" s="32">
        <f>IF(AO41=0,0,IF(DaB!BG41&gt;0,DaB!BG41-DaB!BF41+1,0))</f>
        <v>0</v>
      </c>
      <c r="AQ41" s="30">
        <f>IF(AO41=0,0,IF(DaB!BH41&gt;0,DaB!BH41-MAX(DaB!BE41:BG41),0))</f>
        <v>0</v>
      </c>
      <c r="AR41" s="34">
        <f>IF(AT41=0,0,MIN(DaB!$BJ41:$BK41)-SUM($C41:AQ41))</f>
        <v>0</v>
      </c>
      <c r="AS41" s="29">
        <f>IF(AT41=0,0,IF(DaB!BJ41&gt;0,DaB!BK41-DaB!BJ41,0))</f>
        <v>0</v>
      </c>
      <c r="AT41" s="33">
        <f>IF(DaB!BL41&gt;0,DaB!BL41-DaB!BK41+1,0)</f>
        <v>0</v>
      </c>
      <c r="AU41" s="32">
        <f>IF(AT41=0,0,IF(DaB!BN41&gt;0,DaB!BN41-DaB!BM41+1,0))</f>
        <v>0</v>
      </c>
      <c r="AV41" s="30">
        <f>IF(AT41=0,0,IF(DaB!BO41&gt;0,DaB!BO41-MAX(DaB!BL41:BN41),0))</f>
        <v>0</v>
      </c>
      <c r="AW41" s="34">
        <f>IF(AY41=0,0,MIN(DaB!$BQ41:$BR41)-SUM($C41:AV41))</f>
        <v>0</v>
      </c>
      <c r="AX41" s="29">
        <f>IF(AY41=0,0,IF(DaB!BQ41&gt;0,DaB!BR41-DaB!BQ41,0))</f>
        <v>0</v>
      </c>
      <c r="AY41" s="33">
        <f>IF(DaB!BS41&gt;0,DaB!BS41-DaB!BR41+1,0)</f>
        <v>0</v>
      </c>
      <c r="AZ41" s="32">
        <f>IF(AY41=0,0,IF(DaB!BU41&gt;0,DaB!BU41-DaB!BT41+1,0))</f>
        <v>0</v>
      </c>
      <c r="BA41" s="30">
        <f>IF(AY41=0,0,IF(DaB!BV41&gt;0,DaB!BV41-MAX(DaB!BS41:BU41),0))</f>
        <v>0</v>
      </c>
      <c r="BB41" s="34">
        <f>IF(BD41=0,0,MIN(DaB!$BX41:$BY41)-SUM($C41:BA41))</f>
        <v>0</v>
      </c>
      <c r="BC41" s="29">
        <f>IF(BD41=0,0,IF(DaB!BX41&gt;0,DaB!BY41-DaB!BX41,0))</f>
        <v>0</v>
      </c>
      <c r="BD41" s="33">
        <f>IF(DaB!BZ41&gt;0,DaB!BZ41-DaB!BY41+1,0)</f>
        <v>0</v>
      </c>
      <c r="BE41" s="32">
        <f>IF(BD41=0,0,IF(DaB!CB41&gt;0,DaB!CB41-DaB!CA41+1,0))</f>
        <v>0</v>
      </c>
      <c r="BF41" s="30">
        <f>IF(BD41=0,0,IF(DaB!CC41&gt;0,DaB!CC41-MAX(DaB!BZ41:CB41),0))</f>
        <v>0</v>
      </c>
      <c r="BG41" s="34">
        <f>IF(BI41=0,0,MIN(DaB!$CE41:$CF41)-SUM($C41:BF41))</f>
        <v>0</v>
      </c>
      <c r="BH41" s="29">
        <f>IF(BI41=0,0,IF(DaB!CE41&gt;0,DaB!CF41-DaB!CE41,0))</f>
        <v>0</v>
      </c>
      <c r="BI41" s="33">
        <f>IF(DaB!CG41&gt;0,DaB!CG41-DaB!CF41+1,0)</f>
        <v>0</v>
      </c>
      <c r="BJ41" s="32">
        <f>IF(BI41=0,0,IF(DaB!CI41&gt;0,DaB!CI41-DaB!CH41+1,0))</f>
        <v>0</v>
      </c>
      <c r="BK41" s="30">
        <f>IF(BI41=0,0,IF(DaB!CJ41&gt;0,DaB!CJ41-MAX(DaB!CG41:CI41),0))</f>
        <v>0</v>
      </c>
      <c r="BL41" s="34">
        <f>IF(BN41=0,0,MIN(DaB!$CL41:$CM41)-SUM($C41:BK41))</f>
        <v>0</v>
      </c>
      <c r="BM41" s="29">
        <f>IF(BN41=0,0,IF(DaB!CL41&gt;0,DaB!CM41-DaB!CL41,0))</f>
        <v>0</v>
      </c>
      <c r="BN41" s="33">
        <f>IF(DaB!CN41&gt;0,DaB!CN41-DaB!CM41+1,0)</f>
        <v>0</v>
      </c>
      <c r="BO41" s="32">
        <f>IF(BN41=0,0,IF(DaB!CP41&gt;0,DaB!CP41-DaB!CO41+1,0))</f>
        <v>0</v>
      </c>
      <c r="BP41" s="30">
        <f>IF(BN41=0,0,IF(DaB!CQ41&gt;0,DaB!CQ41-MAX(DaB!CN41:CP41),0))</f>
        <v>0</v>
      </c>
      <c r="BQ41" s="34">
        <f>IF(BS41=0,0,MIN(DaB!$CS41:$CT41)-SUM($C41:BP41))</f>
        <v>0</v>
      </c>
      <c r="BR41" s="29">
        <f>IF(BS41=0,0,IF(DaB!CS41&gt;0,DaB!CT41-DaB!CS41,0))</f>
        <v>0</v>
      </c>
      <c r="BS41" s="33">
        <f>IF(DaB!CU41&gt;0,DaB!CU41-DaB!CT41+1,0)</f>
        <v>0</v>
      </c>
      <c r="BT41" s="32">
        <f>IF(BS41=0,0,IF(DaB!CW41&gt;0,DaB!CW41-DaB!CV41+1,0))</f>
        <v>0</v>
      </c>
      <c r="BU41" s="30">
        <f>IF(BS41=0,0,IF(DaB!CX41&gt;0,DaB!CX41-MAX(DaB!CU41:CW41),0))</f>
        <v>0</v>
      </c>
      <c r="BV41" s="34">
        <f>IF(BX41=0,0,MIN(DaB!$CZ41:$DA41)-SUM($C41:BU41))</f>
        <v>0</v>
      </c>
      <c r="BW41" s="29">
        <f>IF(BX41=0,0,IF(DaB!CZ41&gt;0,DaB!DA41-DaB!CZ41,0))</f>
        <v>0</v>
      </c>
      <c r="BX41" s="33">
        <f>IF(DaB!DB41&gt;0,DaB!DB41-DaB!DA41+1,0)</f>
        <v>0</v>
      </c>
      <c r="BY41" s="32">
        <f>IF(BX41=0,0,IF(DaB!DD41&gt;0,DaB!DD41-DaB!DC41+1,0))</f>
        <v>0</v>
      </c>
      <c r="BZ41" s="30">
        <f>IF(BX41=0,0,IF(DaB!DE41&gt;0,DaB!DE41-MAX(DaB!DB41:DD41),0))</f>
        <v>0</v>
      </c>
      <c r="CA41" s="34">
        <f>IF(CC41=0,0,MIN(DaB!$DG41:$DH41)-SUM($C41:BZ41))</f>
        <v>0</v>
      </c>
      <c r="CB41" s="29">
        <f>IF(CC41=0,0,IF(DaB!DG41&gt;0,DaB!DH41-DaB!DG41,0))</f>
        <v>0</v>
      </c>
      <c r="CC41" s="33">
        <f>IF(DaB!DI41&gt;0,DaB!DI41-DaB!DH41+1,0)</f>
        <v>0</v>
      </c>
      <c r="CD41" s="32">
        <f>IF(CC41=0,0,IF(DaB!DK41&gt;0,DaB!DK41-DaB!DJ41+1,0))</f>
        <v>0</v>
      </c>
      <c r="CE41" s="30">
        <f>IF(CC41=0,0,IF(DaB!DL41&gt;0,DaB!DL41-MAX(DaB!DI41:DK41),0))</f>
        <v>0</v>
      </c>
      <c r="CF41" s="34">
        <f>IF(CH41=0,0,MIN(DaB!$DN41:$DO41)-SUM($C41:CE41))</f>
        <v>0</v>
      </c>
      <c r="CG41" s="29">
        <f>IF(CH41=0,0,IF(DaB!DN41&gt;0,DaB!DO41-DaB!DN41,0))</f>
        <v>0</v>
      </c>
      <c r="CH41" s="33">
        <f>IF(DaB!DP41&gt;0,DaB!DP41-DaB!DO41+1,0)</f>
        <v>0</v>
      </c>
      <c r="CI41" s="32">
        <f>IF(CH41=0,0,IF(DaB!DR41&gt;0,DaB!DR41-DaB!DQ41+1,0))</f>
        <v>0</v>
      </c>
      <c r="CJ41" s="30">
        <f>IF(CH41=0,0,IF(DaB!DS41&gt;0,DaB!DS41-MAX(DaB!DP41:DR41),0))</f>
        <v>0</v>
      </c>
      <c r="CK41" s="34">
        <f>IF(CM41=0,0,MIN(DaB!$DU41:$DV41)-SUM($C41:CJ41))</f>
        <v>0</v>
      </c>
      <c r="CL41" s="29">
        <f>IF(CM41=0,0,IF(DaB!DU41&gt;0,DaB!DV41-DaB!DU41,0))</f>
        <v>0</v>
      </c>
      <c r="CM41" s="33">
        <f>IF(DaB!DW41&gt;0,DaB!DW41-DaB!DV41+1,0)</f>
        <v>0</v>
      </c>
      <c r="CN41" s="32">
        <f>IF(CM41=0,0,IF(DaB!DY41&gt;0,DaB!DY41-DaB!DX41+1,0))</f>
        <v>0</v>
      </c>
      <c r="CO41" s="30">
        <f>IF(CM41=0,0,IF(DaB!DZ41&gt;0,DaB!DZ41-MAX(DaB!DW41:DY41),0))</f>
        <v>0</v>
      </c>
      <c r="CP41" s="34">
        <f>IF(CR41=0,0,MIN(DaB!$EB41:$EC41)-SUM($C41:CO41))</f>
        <v>0</v>
      </c>
      <c r="CQ41" s="29">
        <f>IF(CR41=0,0,IF(DaB!EB41&gt;0,DaB!EC41-DaB!EB41,0))</f>
        <v>0</v>
      </c>
      <c r="CR41" s="33">
        <f>IF(DaB!ED41&gt;0,DaB!ED41-DaB!EC41+1,0)</f>
        <v>0</v>
      </c>
      <c r="CS41" s="32">
        <f>IF(CR41=0,0,IF(DaB!EF41&gt;0,DaB!EF41-DaB!EE41+1,0))</f>
        <v>0</v>
      </c>
      <c r="CT41" s="30">
        <f>IF(CR41=0,0,IF(DaB!EG41&gt;0,DaB!EG41-MAX(DaB!ED41:EF41),0))</f>
        <v>0</v>
      </c>
      <c r="CU41" s="34">
        <f>IF(CW41=0,0,MIN(DaB!$EI41:$EJ41)-SUM($C41:CT41))</f>
        <v>0</v>
      </c>
      <c r="CV41" s="29">
        <f>IF(CW41=0,0,IF(DaB!EI41&gt;0,DaB!EJ41-DaB!EI41,0))</f>
        <v>0</v>
      </c>
      <c r="CW41" s="33">
        <f>IF(DaB!EK41&gt;0,DaB!EK41-DaB!EJ41+1,0)</f>
        <v>0</v>
      </c>
      <c r="CX41" s="32">
        <f>IF(CW41=0,0,IF(DaB!EM41&gt;0,DaB!EM41-DaB!EL41+1,0))</f>
        <v>0</v>
      </c>
      <c r="CY41" s="30">
        <f>IF(CW41=0,0,IF(DaB!EN41&gt;0,DaB!EN41-MAX(DaB!EK41:EM41),0))</f>
        <v>0</v>
      </c>
      <c r="DF41" s="2">
        <f t="shared" si="4"/>
        <v>45474</v>
      </c>
      <c r="DG41" s="28"/>
      <c r="DH41" s="29"/>
      <c r="DI41" s="10"/>
      <c r="DJ41" s="10"/>
      <c r="DK41" s="11"/>
      <c r="DL41" s="11"/>
      <c r="DM41" s="30"/>
      <c r="DN41" s="28"/>
      <c r="DO41" s="29"/>
      <c r="DP41" s="10"/>
      <c r="DQ41" s="10"/>
      <c r="DR41" s="11"/>
      <c r="DS41" s="11"/>
      <c r="DT41" s="30"/>
      <c r="DU41" s="28"/>
      <c r="DV41" s="29"/>
      <c r="DW41" s="10"/>
      <c r="DX41" s="10"/>
      <c r="DY41" s="11"/>
      <c r="DZ41" s="11"/>
      <c r="EA41" s="30"/>
      <c r="EB41" s="28"/>
      <c r="EC41" s="29"/>
      <c r="ED41" s="10"/>
      <c r="EE41" s="10"/>
      <c r="EF41" s="11"/>
      <c r="EG41" s="11"/>
      <c r="EH41" s="30"/>
      <c r="EI41" s="34"/>
      <c r="EJ41" s="29"/>
      <c r="EK41" s="10"/>
      <c r="EL41" s="10"/>
      <c r="EM41" s="30"/>
      <c r="EN41" s="34"/>
      <c r="EO41" s="29"/>
      <c r="EP41" s="47"/>
      <c r="EQ41" s="47"/>
      <c r="ER41" s="30"/>
      <c r="ES41" s="34"/>
      <c r="ET41" s="29"/>
      <c r="EU41" s="47"/>
      <c r="EV41" s="47"/>
      <c r="EW41" s="30"/>
    </row>
    <row r="42" spans="1:153" x14ac:dyDescent="0.2">
      <c r="A42" s="2" t="str">
        <f>DaB!A42</f>
        <v>Calendar 19</v>
      </c>
      <c r="B42" s="2" t="str">
        <f t="shared" si="3"/>
        <v>.</v>
      </c>
      <c r="C42" s="27">
        <f t="shared" si="1"/>
        <v>45474</v>
      </c>
      <c r="D42" s="34">
        <f>IFERROR(MIN(DaB!F42:K42)-C42,0)</f>
        <v>-45474</v>
      </c>
      <c r="E42" s="29">
        <f>IF(F42=0,0,IF(DaB!F42&gt;0,DaB!G42-DaB!F42,0))</f>
        <v>0</v>
      </c>
      <c r="F42" s="33">
        <f>IF(DaB!G42&gt;MAX(DaB!EV42,DaB!FJ42),DaB!H42-DaB!G42+1,
IF(DaB!H42&gt;0,DaB!H42-DaB!G42,0))</f>
        <v>0</v>
      </c>
      <c r="G42" s="32">
        <f>IF(F42=0,0,IF(DaB!J42&gt;0,DaB!J42-DaB!I42+1,0))</f>
        <v>0</v>
      </c>
      <c r="H42" s="30">
        <f>IF(F42=0,0,IF(DaB!K42&gt;0,DaB!K42-MAX(DaB!H42:J42),0))</f>
        <v>0</v>
      </c>
      <c r="I42" s="34">
        <f>IF(K42=0,0,MIN(DaB!$M42:$N42)-SUM($C42:H42))</f>
        <v>0</v>
      </c>
      <c r="J42" s="29">
        <f>IF(K42=0,0,IF(DaB!M42&gt;0,DaB!N42-DaB!M42,0))</f>
        <v>0</v>
      </c>
      <c r="K42" s="33">
        <f>IF(DaB!O42&gt;0,DaB!O42-DaB!N42+1,0)</f>
        <v>0</v>
      </c>
      <c r="L42" s="32">
        <f>IF(K42=0,0,IF(DaB!Q42&gt;0,DaB!Q42-DaB!P42+1,0))</f>
        <v>0</v>
      </c>
      <c r="M42" s="30">
        <f>IF(K42=0,0,IF(DaB!R42&gt;0,DaB!R42-MAX(DaB!O42:Q42),0))</f>
        <v>0</v>
      </c>
      <c r="N42" s="31">
        <f>IF(P42=0,0,MIN(DaB!$T42:$U42)-SUM($C42:M42))</f>
        <v>0</v>
      </c>
      <c r="O42" s="29">
        <f>IF(P42=0,0,IF(DaB!T42&gt;0,DaB!U42-DaB!T42,0))</f>
        <v>0</v>
      </c>
      <c r="P42" s="33">
        <f>IF(DaB!V42&gt;0,DaB!V42-DaB!U42+1,0)</f>
        <v>0</v>
      </c>
      <c r="Q42" s="32">
        <f>IF(P42=0,0,IF(DaB!X42&gt;0,DaB!X42-DaB!W42+1,0))</f>
        <v>0</v>
      </c>
      <c r="R42" s="30">
        <f>IF(P42=0,0,IF(DaB!Y42&gt;0,DaB!Y42-MAX(DaB!V42:X42),0))</f>
        <v>0</v>
      </c>
      <c r="S42" s="34">
        <f>IF(U42=0,0,MIN(DaB!$AA42:$AB42)-SUM($C42:R42))</f>
        <v>0</v>
      </c>
      <c r="T42" s="29">
        <f>IF(U42=0,0,IF(DaB!AA42&gt;0,DaB!AB42-DaB!AA42,0))</f>
        <v>0</v>
      </c>
      <c r="U42" s="33">
        <f>IF(DaB!AC42&gt;0,DaB!AC42-DaB!AB42+1,0)</f>
        <v>0</v>
      </c>
      <c r="V42" s="32">
        <f>IF(U42=0,0,IF(DaB!AE42&gt;0,DaB!AE42-DaB!AD42+1,0))</f>
        <v>0</v>
      </c>
      <c r="W42" s="30">
        <f>IF(U42=0,0,IF(DaB!AF42&gt;0,DaB!AF42-MAX(DaB!AC42:AE42),0))</f>
        <v>0</v>
      </c>
      <c r="X42" s="34">
        <f>IF(Z42=0,0,MIN(DaB!$AH42:$AI42)-SUM($C42:W42))</f>
        <v>0</v>
      </c>
      <c r="Y42" s="29">
        <f>IF(Z42=0,0,IF(DaB!AH42&gt;0,DaB!AI42-DaB!AH42,0))</f>
        <v>0</v>
      </c>
      <c r="Z42" s="33">
        <f>IF(DaB!AJ42&gt;0,DaB!AJ42-DaB!AI42+1,0)</f>
        <v>0</v>
      </c>
      <c r="AA42" s="32">
        <f>IF(Z42=0,0,IF(DaB!AL42&gt;0,DaB!AL42-DaB!AK42+1,0))</f>
        <v>0</v>
      </c>
      <c r="AB42" s="30">
        <f>IF(Z42=0,0,IF(DaB!AM42&gt;0,DaB!AM42-MAX(DaB!AJ42:AL42),0))</f>
        <v>0</v>
      </c>
      <c r="AC42" s="34">
        <f>IF(AE42=0,0,MIN(DaB!$AO42:$AP42)-SUM($C42:AB42))</f>
        <v>0</v>
      </c>
      <c r="AD42" s="29">
        <f>IF(AE42=0,0,IF(DaB!AO42&gt;0,DaB!AP42-DaB!AO42,0))</f>
        <v>0</v>
      </c>
      <c r="AE42" s="33">
        <f>IF(DaB!AQ42&gt;0,DaB!AQ42-DaB!AP42+1,0)</f>
        <v>0</v>
      </c>
      <c r="AF42" s="32">
        <f>IF(AE42=0,0,IF(DaB!AS42&gt;0,DaB!AS42-DaB!AR42+1,0))</f>
        <v>0</v>
      </c>
      <c r="AG42" s="30">
        <f>IF(AE42=0,0,IF(DaB!AT42&gt;0,DaB!AT42-MAX(DaB!AQ42:AS42),0))</f>
        <v>0</v>
      </c>
      <c r="AH42" s="34">
        <f>IF(AJ42=0,0,MIN(DaB!$AV42:$AW42)-SUM($C42:AG42))</f>
        <v>0</v>
      </c>
      <c r="AI42" s="29">
        <f>IF(AJ42=0,0,IF(DaB!AV42&gt;0,DaB!AW42-DaB!AV42,0))</f>
        <v>0</v>
      </c>
      <c r="AJ42" s="33">
        <f>IF(DaB!AX42&gt;0,DaB!AX42-DaB!AW42+1,0)</f>
        <v>0</v>
      </c>
      <c r="AK42" s="32">
        <f>IF(AJ42=0,0,IF(DaB!AZ42&gt;0,DaB!AZ42-DaB!AY42+1,0))</f>
        <v>0</v>
      </c>
      <c r="AL42" s="30">
        <f>IF(AJ42=0,0,IF(DaB!BA42&gt;0,DaB!BA42-MAX(DaB!AX42:AZ42),0))</f>
        <v>0</v>
      </c>
      <c r="AM42" s="34">
        <f>IF(AO42=0,0,MIN(DaB!$BC42:$BD42)-SUM($C42:AL42))</f>
        <v>0</v>
      </c>
      <c r="AN42" s="29">
        <f>IF(AO42=0,0,IF(DaB!BC42&gt;0,DaB!BD42-DaB!BC42,0))</f>
        <v>0</v>
      </c>
      <c r="AO42" s="33">
        <f>IF(DaB!BE42&gt;0,DaB!BE42-DaB!BD42+1,0)</f>
        <v>0</v>
      </c>
      <c r="AP42" s="32">
        <f>IF(AO42=0,0,IF(DaB!BG42&gt;0,DaB!BG42-DaB!BF42+1,0))</f>
        <v>0</v>
      </c>
      <c r="AQ42" s="30">
        <f>IF(AO42=0,0,IF(DaB!BH42&gt;0,DaB!BH42-MAX(DaB!BE42:BG42),0))</f>
        <v>0</v>
      </c>
      <c r="AR42" s="34">
        <f>IF(AT42=0,0,MIN(DaB!$BJ42:$BK42)-SUM($C42:AQ42))</f>
        <v>0</v>
      </c>
      <c r="AS42" s="29">
        <f>IF(AT42=0,0,IF(DaB!BJ42&gt;0,DaB!BK42-DaB!BJ42,0))</f>
        <v>0</v>
      </c>
      <c r="AT42" s="33">
        <f>IF(DaB!BL42&gt;0,DaB!BL42-DaB!BK42+1,0)</f>
        <v>0</v>
      </c>
      <c r="AU42" s="32">
        <f>IF(AT42=0,0,IF(DaB!BN42&gt;0,DaB!BN42-DaB!BM42+1,0))</f>
        <v>0</v>
      </c>
      <c r="AV42" s="30">
        <f>IF(AT42=0,0,IF(DaB!BO42&gt;0,DaB!BO42-MAX(DaB!BL42:BN42),0))</f>
        <v>0</v>
      </c>
      <c r="AW42" s="34">
        <f>IF(AY42=0,0,MIN(DaB!$BQ42:$BR42)-SUM($C42:AV42))</f>
        <v>0</v>
      </c>
      <c r="AX42" s="29">
        <f>IF(AY42=0,0,IF(DaB!BQ42&gt;0,DaB!BR42-DaB!BQ42,0))</f>
        <v>0</v>
      </c>
      <c r="AY42" s="33">
        <f>IF(DaB!BS42&gt;0,DaB!BS42-DaB!BR42+1,0)</f>
        <v>0</v>
      </c>
      <c r="AZ42" s="32">
        <f>IF(AY42=0,0,IF(DaB!BU42&gt;0,DaB!BU42-DaB!BT42+1,0))</f>
        <v>0</v>
      </c>
      <c r="BA42" s="30">
        <f>IF(AY42=0,0,IF(DaB!BV42&gt;0,DaB!BV42-MAX(DaB!BS42:BU42),0))</f>
        <v>0</v>
      </c>
      <c r="BB42" s="34">
        <f>IF(BD42=0,0,MIN(DaB!$BX42:$BY42)-SUM($C42:BA42))</f>
        <v>0</v>
      </c>
      <c r="BC42" s="29">
        <f>IF(BD42=0,0,IF(DaB!BX42&gt;0,DaB!BY42-DaB!BX42,0))</f>
        <v>0</v>
      </c>
      <c r="BD42" s="33">
        <f>IF(DaB!BZ42&gt;0,DaB!BZ42-DaB!BY42+1,0)</f>
        <v>0</v>
      </c>
      <c r="BE42" s="32">
        <f>IF(BD42=0,0,IF(DaB!CB42&gt;0,DaB!CB42-DaB!CA42+1,0))</f>
        <v>0</v>
      </c>
      <c r="BF42" s="30">
        <f>IF(BD42=0,0,IF(DaB!CC42&gt;0,DaB!CC42-MAX(DaB!BZ42:CB42),0))</f>
        <v>0</v>
      </c>
      <c r="BG42" s="34">
        <f>IF(BI42=0,0,MIN(DaB!$CE42:$CF42)-SUM($C42:BF42))</f>
        <v>0</v>
      </c>
      <c r="BH42" s="29">
        <f>IF(BI42=0,0,IF(DaB!CE42&gt;0,DaB!CF42-DaB!CE42,0))</f>
        <v>0</v>
      </c>
      <c r="BI42" s="33">
        <f>IF(DaB!CG42&gt;0,DaB!CG42-DaB!CF42+1,0)</f>
        <v>0</v>
      </c>
      <c r="BJ42" s="32">
        <f>IF(BI42=0,0,IF(DaB!CI42&gt;0,DaB!CI42-DaB!CH42+1,0))</f>
        <v>0</v>
      </c>
      <c r="BK42" s="30">
        <f>IF(BI42=0,0,IF(DaB!CJ42&gt;0,DaB!CJ42-MAX(DaB!CG42:CI42),0))</f>
        <v>0</v>
      </c>
      <c r="BL42" s="34">
        <f>IF(BN42=0,0,MIN(DaB!$CL42:$CM42)-SUM($C42:BK42))</f>
        <v>0</v>
      </c>
      <c r="BM42" s="29">
        <f>IF(BN42=0,0,IF(DaB!CL42&gt;0,DaB!CM42-DaB!CL42,0))</f>
        <v>0</v>
      </c>
      <c r="BN42" s="33">
        <f>IF(DaB!CN42&gt;0,DaB!CN42-DaB!CM42+1,0)</f>
        <v>0</v>
      </c>
      <c r="BO42" s="32">
        <f>IF(BN42=0,0,IF(DaB!CP42&gt;0,DaB!CP42-DaB!CO42+1,0))</f>
        <v>0</v>
      </c>
      <c r="BP42" s="30">
        <f>IF(BN42=0,0,IF(DaB!CQ42&gt;0,DaB!CQ42-MAX(DaB!CN42:CP42),0))</f>
        <v>0</v>
      </c>
      <c r="BQ42" s="34">
        <f>IF(BS42=0,0,MIN(DaB!$CS42:$CT42)-SUM($C42:BP42))</f>
        <v>0</v>
      </c>
      <c r="BR42" s="29">
        <f>IF(BS42=0,0,IF(DaB!CS42&gt;0,DaB!CT42-DaB!CS42,0))</f>
        <v>0</v>
      </c>
      <c r="BS42" s="33">
        <f>IF(DaB!CU42&gt;0,DaB!CU42-DaB!CT42+1,0)</f>
        <v>0</v>
      </c>
      <c r="BT42" s="32">
        <f>IF(BS42=0,0,IF(DaB!CW42&gt;0,DaB!CW42-DaB!CV42+1,0))</f>
        <v>0</v>
      </c>
      <c r="BU42" s="30">
        <f>IF(BS42=0,0,IF(DaB!CX42&gt;0,DaB!CX42-MAX(DaB!CU42:CW42),0))</f>
        <v>0</v>
      </c>
      <c r="BV42" s="34">
        <f>IF(BX42=0,0,MIN(DaB!$CZ42:$DA42)-SUM($C42:BU42))</f>
        <v>0</v>
      </c>
      <c r="BW42" s="29">
        <f>IF(BX42=0,0,IF(DaB!CZ42&gt;0,DaB!DA42-DaB!CZ42,0))</f>
        <v>0</v>
      </c>
      <c r="BX42" s="33">
        <f>IF(DaB!DB42&gt;0,DaB!DB42-DaB!DA42+1,0)</f>
        <v>0</v>
      </c>
      <c r="BY42" s="32">
        <f>IF(BX42=0,0,IF(DaB!DD42&gt;0,DaB!DD42-DaB!DC42+1,0))</f>
        <v>0</v>
      </c>
      <c r="BZ42" s="30">
        <f>IF(BX42=0,0,IF(DaB!DE42&gt;0,DaB!DE42-MAX(DaB!DB42:DD42),0))</f>
        <v>0</v>
      </c>
      <c r="CA42" s="34">
        <f>IF(CC42=0,0,MIN(DaB!$DG42:$DH42)-SUM($C42:BZ42))</f>
        <v>0</v>
      </c>
      <c r="CB42" s="29">
        <f>IF(CC42=0,0,IF(DaB!DG42&gt;0,DaB!DH42-DaB!DG42,0))</f>
        <v>0</v>
      </c>
      <c r="CC42" s="33">
        <f>IF(DaB!DI42&gt;0,DaB!DI42-DaB!DH42+1,0)</f>
        <v>0</v>
      </c>
      <c r="CD42" s="32">
        <f>IF(CC42=0,0,IF(DaB!DK42&gt;0,DaB!DK42-DaB!DJ42+1,0))</f>
        <v>0</v>
      </c>
      <c r="CE42" s="30">
        <f>IF(CC42=0,0,IF(DaB!DL42&gt;0,DaB!DL42-MAX(DaB!DI42:DK42),0))</f>
        <v>0</v>
      </c>
      <c r="CF42" s="34">
        <f>IF(CH42=0,0,MIN(DaB!$DN42:$DO42)-SUM($C42:CE42))</f>
        <v>0</v>
      </c>
      <c r="CG42" s="29">
        <f>IF(CH42=0,0,IF(DaB!DN42&gt;0,DaB!DO42-DaB!DN42,0))</f>
        <v>0</v>
      </c>
      <c r="CH42" s="33">
        <f>IF(DaB!DP42&gt;0,DaB!DP42-DaB!DO42+1,0)</f>
        <v>0</v>
      </c>
      <c r="CI42" s="32">
        <f>IF(CH42=0,0,IF(DaB!DR42&gt;0,DaB!DR42-DaB!DQ42+1,0))</f>
        <v>0</v>
      </c>
      <c r="CJ42" s="30">
        <f>IF(CH42=0,0,IF(DaB!DS42&gt;0,DaB!DS42-MAX(DaB!DP42:DR42),0))</f>
        <v>0</v>
      </c>
      <c r="CK42" s="34">
        <f>IF(CM42=0,0,MIN(DaB!$DU42:$DV42)-SUM($C42:CJ42))</f>
        <v>0</v>
      </c>
      <c r="CL42" s="29">
        <f>IF(CM42=0,0,IF(DaB!DU42&gt;0,DaB!DV42-DaB!DU42,0))</f>
        <v>0</v>
      </c>
      <c r="CM42" s="33">
        <f>IF(DaB!DW42&gt;0,DaB!DW42-DaB!DV42+1,0)</f>
        <v>0</v>
      </c>
      <c r="CN42" s="32">
        <f>IF(CM42=0,0,IF(DaB!DY42&gt;0,DaB!DY42-DaB!DX42+1,0))</f>
        <v>0</v>
      </c>
      <c r="CO42" s="30">
        <f>IF(CM42=0,0,IF(DaB!DZ42&gt;0,DaB!DZ42-MAX(DaB!DW42:DY42),0))</f>
        <v>0</v>
      </c>
      <c r="CP42" s="34">
        <f>IF(CR42=0,0,MIN(DaB!$EB42:$EC42)-SUM($C42:CO42))</f>
        <v>0</v>
      </c>
      <c r="CQ42" s="29">
        <f>IF(CR42=0,0,IF(DaB!EB42&gt;0,DaB!EC42-DaB!EB42,0))</f>
        <v>0</v>
      </c>
      <c r="CR42" s="33">
        <f>IF(DaB!ED42&gt;0,DaB!ED42-DaB!EC42+1,0)</f>
        <v>0</v>
      </c>
      <c r="CS42" s="32">
        <f>IF(CR42=0,0,IF(DaB!EF42&gt;0,DaB!EF42-DaB!EE42+1,0))</f>
        <v>0</v>
      </c>
      <c r="CT42" s="30">
        <f>IF(CR42=0,0,IF(DaB!EG42&gt;0,DaB!EG42-MAX(DaB!ED42:EF42),0))</f>
        <v>0</v>
      </c>
      <c r="CU42" s="34">
        <f>IF(CW42=0,0,MIN(DaB!$EI42:$EJ42)-SUM($C42:CT42))</f>
        <v>0</v>
      </c>
      <c r="CV42" s="29">
        <f>IF(CW42=0,0,IF(DaB!EI42&gt;0,DaB!EJ42-DaB!EI42,0))</f>
        <v>0</v>
      </c>
      <c r="CW42" s="33">
        <f>IF(DaB!EK42&gt;0,DaB!EK42-DaB!EJ42+1,0)</f>
        <v>0</v>
      </c>
      <c r="CX42" s="32">
        <f>IF(CW42=0,0,IF(DaB!EM42&gt;0,DaB!EM42-DaB!EL42+1,0))</f>
        <v>0</v>
      </c>
      <c r="CY42" s="30">
        <f>IF(CW42=0,0,IF(DaB!EN42&gt;0,DaB!EN42-MAX(DaB!EK42:EM42),0))</f>
        <v>0</v>
      </c>
      <c r="DF42" s="2">
        <f t="shared" si="4"/>
        <v>45474</v>
      </c>
      <c r="DG42" s="28"/>
      <c r="DH42" s="29"/>
      <c r="DI42" s="10"/>
      <c r="DJ42" s="10"/>
      <c r="DK42" s="11"/>
      <c r="DL42" s="11"/>
      <c r="DM42" s="30"/>
      <c r="DN42" s="28"/>
      <c r="DO42" s="29"/>
      <c r="DP42" s="10"/>
      <c r="DQ42" s="10"/>
      <c r="DR42" s="11"/>
      <c r="DS42" s="11"/>
      <c r="DT42" s="30"/>
      <c r="DU42" s="28"/>
      <c r="DV42" s="29"/>
      <c r="DW42" s="10"/>
      <c r="DX42" s="10"/>
      <c r="DY42" s="11"/>
      <c r="DZ42" s="11"/>
      <c r="EA42" s="30"/>
      <c r="EB42" s="28"/>
      <c r="EC42" s="29"/>
      <c r="ED42" s="10"/>
      <c r="EE42" s="10"/>
      <c r="EF42" s="11"/>
      <c r="EG42" s="11"/>
      <c r="EH42" s="30"/>
      <c r="EI42" s="34"/>
      <c r="EJ42" s="29"/>
      <c r="EK42" s="10"/>
      <c r="EL42" s="10"/>
      <c r="EM42" s="30"/>
      <c r="EN42" s="34"/>
      <c r="EO42" s="29"/>
      <c r="EP42" s="47"/>
      <c r="EQ42" s="47"/>
      <c r="ER42" s="30"/>
      <c r="ES42" s="34"/>
      <c r="ET42" s="29"/>
      <c r="EU42" s="47"/>
      <c r="EV42" s="47"/>
      <c r="EW42" s="30"/>
    </row>
    <row r="43" spans="1:153" x14ac:dyDescent="0.2">
      <c r="A43" s="2" t="str">
        <f>DaB!A43</f>
        <v>Calendar 19</v>
      </c>
      <c r="B43" s="2" t="str">
        <f t="shared" si="3"/>
        <v>.</v>
      </c>
      <c r="C43" s="27">
        <f t="shared" si="1"/>
        <v>45474</v>
      </c>
      <c r="D43" s="34">
        <f>IFERROR(MIN(DaB!F43:K43)-C43,0)</f>
        <v>-45474</v>
      </c>
      <c r="E43" s="29">
        <f>IF(F43=0,0,IF(DaB!F43&gt;0,DaB!G43-DaB!F43,0))</f>
        <v>0</v>
      </c>
      <c r="F43" s="33">
        <f>IF(DaB!G43&gt;MAX(DaB!EV43,DaB!FJ43),DaB!H43-DaB!G43+1,
IF(DaB!H43&gt;0,DaB!H43-DaB!G43,0))</f>
        <v>0</v>
      </c>
      <c r="G43" s="32">
        <f>IF(F43=0,0,IF(DaB!J43&gt;0,DaB!J43-DaB!I43+1,0))</f>
        <v>0</v>
      </c>
      <c r="H43" s="30">
        <f>IF(F43=0,0,IF(DaB!K43&gt;0,DaB!K43-MAX(DaB!H43:J43),0))</f>
        <v>0</v>
      </c>
      <c r="I43" s="34">
        <f>IF(K43=0,0,MIN(DaB!$M43:$N43)-SUM($C43:H43))</f>
        <v>0</v>
      </c>
      <c r="J43" s="29">
        <f>IF(K43=0,0,IF(DaB!M43&gt;0,DaB!N43-DaB!M43,0))</f>
        <v>0</v>
      </c>
      <c r="K43" s="33">
        <f>IF(DaB!O43&gt;0,DaB!O43-DaB!N43+1,0)</f>
        <v>0</v>
      </c>
      <c r="L43" s="32">
        <f>IF(K43=0,0,IF(DaB!Q43&gt;0,DaB!Q43-DaB!P43+1,0))</f>
        <v>0</v>
      </c>
      <c r="M43" s="30">
        <f>IF(K43=0,0,IF(DaB!R43&gt;0,DaB!R43-MAX(DaB!O43:Q43),0))</f>
        <v>0</v>
      </c>
      <c r="N43" s="31">
        <f>IF(P43=0,0,MIN(DaB!$T43:$U43)-SUM($C43:M43))</f>
        <v>0</v>
      </c>
      <c r="O43" s="29">
        <f>IF(P43=0,0,IF(DaB!T43&gt;0,DaB!U43-DaB!T43,0))</f>
        <v>0</v>
      </c>
      <c r="P43" s="33">
        <f>IF(DaB!V43&gt;0,DaB!V43-DaB!U43+1,0)</f>
        <v>0</v>
      </c>
      <c r="Q43" s="32">
        <f>IF(P43=0,0,IF(DaB!X43&gt;0,DaB!X43-DaB!W43+1,0))</f>
        <v>0</v>
      </c>
      <c r="R43" s="30">
        <f>IF(P43=0,0,IF(DaB!Y43&gt;0,DaB!Y43-MAX(DaB!V43:X43),0))</f>
        <v>0</v>
      </c>
      <c r="S43" s="34">
        <f>IF(U43=0,0,MIN(DaB!$AA43:$AB43)-SUM($C43:R43))</f>
        <v>0</v>
      </c>
      <c r="T43" s="29">
        <f>IF(U43=0,0,IF(DaB!AA43&gt;0,DaB!AB43-DaB!AA43,0))</f>
        <v>0</v>
      </c>
      <c r="U43" s="33">
        <f>IF(DaB!AC43&gt;0,DaB!AC43-DaB!AB43+1,0)</f>
        <v>0</v>
      </c>
      <c r="V43" s="32">
        <f>IF(U43=0,0,IF(DaB!AE43&gt;0,DaB!AE43-DaB!AD43+1,0))</f>
        <v>0</v>
      </c>
      <c r="W43" s="30">
        <f>IF(U43=0,0,IF(DaB!AF43&gt;0,DaB!AF43-MAX(DaB!AC43:AE43),0))</f>
        <v>0</v>
      </c>
      <c r="X43" s="34">
        <f>IF(Z43=0,0,MIN(DaB!$AH43:$AI43)-SUM($C43:W43))</f>
        <v>0</v>
      </c>
      <c r="Y43" s="29">
        <f>IF(Z43=0,0,IF(DaB!AH43&gt;0,DaB!AI43-DaB!AH43,0))</f>
        <v>0</v>
      </c>
      <c r="Z43" s="33">
        <f>IF(DaB!AJ43&gt;0,DaB!AJ43-DaB!AI43+1,0)</f>
        <v>0</v>
      </c>
      <c r="AA43" s="32">
        <f>IF(Z43=0,0,IF(DaB!AL43&gt;0,DaB!AL43-DaB!AK43+1,0))</f>
        <v>0</v>
      </c>
      <c r="AB43" s="30">
        <f>IF(Z43=0,0,IF(DaB!AM43&gt;0,DaB!AM43-MAX(DaB!AJ43:AL43),0))</f>
        <v>0</v>
      </c>
      <c r="AC43" s="34">
        <f>IF(AE43=0,0,MIN(DaB!$AO43:$AP43)-SUM($C43:AB43))</f>
        <v>0</v>
      </c>
      <c r="AD43" s="29">
        <f>IF(AE43=0,0,IF(DaB!AO43&gt;0,DaB!AP43-DaB!AO43,0))</f>
        <v>0</v>
      </c>
      <c r="AE43" s="33">
        <f>IF(DaB!AQ43&gt;0,DaB!AQ43-DaB!AP43+1,0)</f>
        <v>0</v>
      </c>
      <c r="AF43" s="32">
        <f>IF(AE43=0,0,IF(DaB!AS43&gt;0,DaB!AS43-DaB!AR43+1,0))</f>
        <v>0</v>
      </c>
      <c r="AG43" s="30">
        <f>IF(AE43=0,0,IF(DaB!AT43&gt;0,DaB!AT43-MAX(DaB!AQ43:AS43),0))</f>
        <v>0</v>
      </c>
      <c r="AH43" s="34">
        <f>IF(AJ43=0,0,MIN(DaB!$AV43:$AW43)-SUM($C43:AG43))</f>
        <v>0</v>
      </c>
      <c r="AI43" s="29">
        <f>IF(AJ43=0,0,IF(DaB!AV43&gt;0,DaB!AW43-DaB!AV43,0))</f>
        <v>0</v>
      </c>
      <c r="AJ43" s="33">
        <f>IF(DaB!AX43&gt;0,DaB!AX43-DaB!AW43+1,0)</f>
        <v>0</v>
      </c>
      <c r="AK43" s="32">
        <f>IF(AJ43=0,0,IF(DaB!AZ43&gt;0,DaB!AZ43-DaB!AY43+1,0))</f>
        <v>0</v>
      </c>
      <c r="AL43" s="30">
        <f>IF(AJ43=0,0,IF(DaB!BA43&gt;0,DaB!BA43-MAX(DaB!AX43:AZ43),0))</f>
        <v>0</v>
      </c>
      <c r="AM43" s="34">
        <f>IF(AO43=0,0,MIN(DaB!$BC43:$BD43)-SUM($C43:AL43))</f>
        <v>0</v>
      </c>
      <c r="AN43" s="29">
        <f>IF(AO43=0,0,IF(DaB!BC43&gt;0,DaB!BD43-DaB!BC43,0))</f>
        <v>0</v>
      </c>
      <c r="AO43" s="33">
        <f>IF(DaB!BE43&gt;0,DaB!BE43-DaB!BD43+1,0)</f>
        <v>0</v>
      </c>
      <c r="AP43" s="32">
        <f>IF(AO43=0,0,IF(DaB!BG43&gt;0,DaB!BG43-DaB!BF43+1,0))</f>
        <v>0</v>
      </c>
      <c r="AQ43" s="30">
        <f>IF(AO43=0,0,IF(DaB!BH43&gt;0,DaB!BH43-MAX(DaB!BE43:BG43),0))</f>
        <v>0</v>
      </c>
      <c r="AR43" s="34">
        <f>IF(AT43=0,0,MIN(DaB!$BJ43:$BK43)-SUM($C43:AQ43))</f>
        <v>0</v>
      </c>
      <c r="AS43" s="29">
        <f>IF(AT43=0,0,IF(DaB!BJ43&gt;0,DaB!BK43-DaB!BJ43,0))</f>
        <v>0</v>
      </c>
      <c r="AT43" s="33">
        <f>IF(DaB!BL43&gt;0,DaB!BL43-DaB!BK43+1,0)</f>
        <v>0</v>
      </c>
      <c r="AU43" s="32">
        <f>IF(AT43=0,0,IF(DaB!BN43&gt;0,DaB!BN43-DaB!BM43+1,0))</f>
        <v>0</v>
      </c>
      <c r="AV43" s="30">
        <f>IF(AT43=0,0,IF(DaB!BO43&gt;0,DaB!BO43-MAX(DaB!BL43:BN43),0))</f>
        <v>0</v>
      </c>
      <c r="AW43" s="34">
        <f>IF(AY43=0,0,MIN(DaB!$BQ43:$BR43)-SUM($C43:AV43))</f>
        <v>0</v>
      </c>
      <c r="AX43" s="29">
        <f>IF(AY43=0,0,IF(DaB!BQ43&gt;0,DaB!BR43-DaB!BQ43,0))</f>
        <v>0</v>
      </c>
      <c r="AY43" s="33">
        <f>IF(DaB!BS43&gt;0,DaB!BS43-DaB!BR43+1,0)</f>
        <v>0</v>
      </c>
      <c r="AZ43" s="32">
        <f>IF(AY43=0,0,IF(DaB!BU43&gt;0,DaB!BU43-DaB!BT43+1,0))</f>
        <v>0</v>
      </c>
      <c r="BA43" s="30">
        <f>IF(AY43=0,0,IF(DaB!BV43&gt;0,DaB!BV43-MAX(DaB!BS43:BU43),0))</f>
        <v>0</v>
      </c>
      <c r="BB43" s="34">
        <f>IF(BD43=0,0,MIN(DaB!$BX43:$BY43)-SUM($C43:BA43))</f>
        <v>0</v>
      </c>
      <c r="BC43" s="29">
        <f>IF(BD43=0,0,IF(DaB!BX43&gt;0,DaB!BY43-DaB!BX43,0))</f>
        <v>0</v>
      </c>
      <c r="BD43" s="33">
        <f>IF(DaB!BZ43&gt;0,DaB!BZ43-DaB!BY43+1,0)</f>
        <v>0</v>
      </c>
      <c r="BE43" s="32">
        <f>IF(BD43=0,0,IF(DaB!CB43&gt;0,DaB!CB43-DaB!CA43+1,0))</f>
        <v>0</v>
      </c>
      <c r="BF43" s="30">
        <f>IF(BD43=0,0,IF(DaB!CC43&gt;0,DaB!CC43-MAX(DaB!BZ43:CB43),0))</f>
        <v>0</v>
      </c>
      <c r="BG43" s="34">
        <f>IF(BI43=0,0,MIN(DaB!$CE43:$CF43)-SUM($C43:BF43))</f>
        <v>0</v>
      </c>
      <c r="BH43" s="29">
        <f>IF(BI43=0,0,IF(DaB!CE43&gt;0,DaB!CF43-DaB!CE43,0))</f>
        <v>0</v>
      </c>
      <c r="BI43" s="33">
        <f>IF(DaB!CG43&gt;0,DaB!CG43-DaB!CF43+1,0)</f>
        <v>0</v>
      </c>
      <c r="BJ43" s="32">
        <f>IF(BI43=0,0,IF(DaB!CI43&gt;0,DaB!CI43-DaB!CH43+1,0))</f>
        <v>0</v>
      </c>
      <c r="BK43" s="30">
        <f>IF(BI43=0,0,IF(DaB!CJ43&gt;0,DaB!CJ43-MAX(DaB!CG43:CI43),0))</f>
        <v>0</v>
      </c>
      <c r="BL43" s="34">
        <f>IF(BN43=0,0,MIN(DaB!$CL43:$CM43)-SUM($C43:BK43))</f>
        <v>0</v>
      </c>
      <c r="BM43" s="29">
        <f>IF(BN43=0,0,IF(DaB!CL43&gt;0,DaB!CM43-DaB!CL43,0))</f>
        <v>0</v>
      </c>
      <c r="BN43" s="33">
        <f>IF(DaB!CN43&gt;0,DaB!CN43-DaB!CM43+1,0)</f>
        <v>0</v>
      </c>
      <c r="BO43" s="32">
        <f>IF(BN43=0,0,IF(DaB!CP43&gt;0,DaB!CP43-DaB!CO43+1,0))</f>
        <v>0</v>
      </c>
      <c r="BP43" s="30">
        <f>IF(BN43=0,0,IF(DaB!CQ43&gt;0,DaB!CQ43-MAX(DaB!CN43:CP43),0))</f>
        <v>0</v>
      </c>
      <c r="BQ43" s="34">
        <f>IF(BS43=0,0,MIN(DaB!$CS43:$CT43)-SUM($C43:BP43))</f>
        <v>0</v>
      </c>
      <c r="BR43" s="29">
        <f>IF(BS43=0,0,IF(DaB!CS43&gt;0,DaB!CT43-DaB!CS43,0))</f>
        <v>0</v>
      </c>
      <c r="BS43" s="33">
        <f>IF(DaB!CU43&gt;0,DaB!CU43-DaB!CT43+1,0)</f>
        <v>0</v>
      </c>
      <c r="BT43" s="32">
        <f>IF(BS43=0,0,IF(DaB!CW43&gt;0,DaB!CW43-DaB!CV43+1,0))</f>
        <v>0</v>
      </c>
      <c r="BU43" s="30">
        <f>IF(BS43=0,0,IF(DaB!CX43&gt;0,DaB!CX43-MAX(DaB!CU43:CW43),0))</f>
        <v>0</v>
      </c>
      <c r="BV43" s="34">
        <f>IF(BX43=0,0,MIN(DaB!$CZ43:$DA43)-SUM($C43:BU43))</f>
        <v>0</v>
      </c>
      <c r="BW43" s="29">
        <f>IF(BX43=0,0,IF(DaB!CZ43&gt;0,DaB!DA43-DaB!CZ43,0))</f>
        <v>0</v>
      </c>
      <c r="BX43" s="33">
        <f>IF(DaB!DB43&gt;0,DaB!DB43-DaB!DA43+1,0)</f>
        <v>0</v>
      </c>
      <c r="BY43" s="32">
        <f>IF(BX43=0,0,IF(DaB!DD43&gt;0,DaB!DD43-DaB!DC43+1,0))</f>
        <v>0</v>
      </c>
      <c r="BZ43" s="30">
        <f>IF(BX43=0,0,IF(DaB!DE43&gt;0,DaB!DE43-MAX(DaB!DB43:DD43),0))</f>
        <v>0</v>
      </c>
      <c r="CA43" s="34">
        <f>IF(CC43=0,0,MIN(DaB!$DG43:$DH43)-SUM($C43:BZ43))</f>
        <v>0</v>
      </c>
      <c r="CB43" s="29">
        <f>IF(CC43=0,0,IF(DaB!DG43&gt;0,DaB!DH43-DaB!DG43,0))</f>
        <v>0</v>
      </c>
      <c r="CC43" s="33">
        <f>IF(DaB!DI43&gt;0,DaB!DI43-DaB!DH43+1,0)</f>
        <v>0</v>
      </c>
      <c r="CD43" s="32">
        <f>IF(CC43=0,0,IF(DaB!DK43&gt;0,DaB!DK43-DaB!DJ43+1,0))</f>
        <v>0</v>
      </c>
      <c r="CE43" s="30">
        <f>IF(CC43=0,0,IF(DaB!DL43&gt;0,DaB!DL43-MAX(DaB!DI43:DK43),0))</f>
        <v>0</v>
      </c>
      <c r="CF43" s="34">
        <f>IF(CH43=0,0,MIN(DaB!$DN43:$DO43)-SUM($C43:CE43))</f>
        <v>0</v>
      </c>
      <c r="CG43" s="29">
        <f>IF(CH43=0,0,IF(DaB!DN43&gt;0,DaB!DO43-DaB!DN43,0))</f>
        <v>0</v>
      </c>
      <c r="CH43" s="33">
        <f>IF(DaB!DP43&gt;0,DaB!DP43-DaB!DO43+1,0)</f>
        <v>0</v>
      </c>
      <c r="CI43" s="32">
        <f>IF(CH43=0,0,IF(DaB!DR43&gt;0,DaB!DR43-DaB!DQ43+1,0))</f>
        <v>0</v>
      </c>
      <c r="CJ43" s="30">
        <f>IF(CH43=0,0,IF(DaB!DS43&gt;0,DaB!DS43-MAX(DaB!DP43:DR43),0))</f>
        <v>0</v>
      </c>
      <c r="CK43" s="34">
        <f>IF(CM43=0,0,MIN(DaB!$DU43:$DV43)-SUM($C43:CJ43))</f>
        <v>0</v>
      </c>
      <c r="CL43" s="29">
        <f>IF(CM43=0,0,IF(DaB!DU43&gt;0,DaB!DV43-DaB!DU43,0))</f>
        <v>0</v>
      </c>
      <c r="CM43" s="33">
        <f>IF(DaB!DW43&gt;0,DaB!DW43-DaB!DV43+1,0)</f>
        <v>0</v>
      </c>
      <c r="CN43" s="32">
        <f>IF(CM43=0,0,IF(DaB!DY43&gt;0,DaB!DY43-DaB!DX43+1,0))</f>
        <v>0</v>
      </c>
      <c r="CO43" s="30">
        <f>IF(CM43=0,0,IF(DaB!DZ43&gt;0,DaB!DZ43-MAX(DaB!DW43:DY43),0))</f>
        <v>0</v>
      </c>
      <c r="CP43" s="34">
        <f>IF(CR43=0,0,MIN(DaB!$EB43:$EC43)-SUM($C43:CO43))</f>
        <v>0</v>
      </c>
      <c r="CQ43" s="29">
        <f>IF(CR43=0,0,IF(DaB!EB43&gt;0,DaB!EC43-DaB!EB43,0))</f>
        <v>0</v>
      </c>
      <c r="CR43" s="33">
        <f>IF(DaB!ED43&gt;0,DaB!ED43-DaB!EC43+1,0)</f>
        <v>0</v>
      </c>
      <c r="CS43" s="32">
        <f>IF(CR43=0,0,IF(DaB!EF43&gt;0,DaB!EF43-DaB!EE43+1,0))</f>
        <v>0</v>
      </c>
      <c r="CT43" s="30">
        <f>IF(CR43=0,0,IF(DaB!EG43&gt;0,DaB!EG43-MAX(DaB!ED43:EF43),0))</f>
        <v>0</v>
      </c>
      <c r="CU43" s="34">
        <f>IF(CW43=0,0,MIN(DaB!$EI43:$EJ43)-SUM($C43:CT43))</f>
        <v>0</v>
      </c>
      <c r="CV43" s="29">
        <f>IF(CW43=0,0,IF(DaB!EI43&gt;0,DaB!EJ43-DaB!EI43,0))</f>
        <v>0</v>
      </c>
      <c r="CW43" s="33">
        <f>IF(DaB!EK43&gt;0,DaB!EK43-DaB!EJ43+1,0)</f>
        <v>0</v>
      </c>
      <c r="CX43" s="32">
        <f>IF(CW43=0,0,IF(DaB!EM43&gt;0,DaB!EM43-DaB!EL43+1,0))</f>
        <v>0</v>
      </c>
      <c r="CY43" s="30">
        <f>IF(CW43=0,0,IF(DaB!EN43&gt;0,DaB!EN43-MAX(DaB!EK43:EM43),0))</f>
        <v>0</v>
      </c>
      <c r="DF43" s="2">
        <f t="shared" si="4"/>
        <v>45474</v>
      </c>
      <c r="DG43" s="28"/>
      <c r="DH43" s="29"/>
      <c r="DI43" s="10"/>
      <c r="DJ43" s="10"/>
      <c r="DK43" s="11"/>
      <c r="DL43" s="11"/>
      <c r="DM43" s="30"/>
      <c r="DN43" s="28"/>
      <c r="DO43" s="29"/>
      <c r="DP43" s="10"/>
      <c r="DQ43" s="10"/>
      <c r="DR43" s="11"/>
      <c r="DS43" s="11"/>
      <c r="DT43" s="30"/>
      <c r="DU43" s="28"/>
      <c r="DV43" s="29"/>
      <c r="DW43" s="10"/>
      <c r="DX43" s="10"/>
      <c r="DY43" s="11"/>
      <c r="DZ43" s="11"/>
      <c r="EA43" s="30"/>
      <c r="EB43" s="28"/>
      <c r="EC43" s="29"/>
      <c r="ED43" s="10"/>
      <c r="EE43" s="10"/>
      <c r="EF43" s="11"/>
      <c r="EG43" s="11"/>
      <c r="EH43" s="30"/>
      <c r="EI43" s="34"/>
      <c r="EJ43" s="29"/>
      <c r="EK43" s="10"/>
      <c r="EL43" s="10"/>
      <c r="EM43" s="30"/>
      <c r="EN43" s="34"/>
      <c r="EO43" s="29"/>
      <c r="EP43" s="47"/>
      <c r="EQ43" s="47"/>
      <c r="ER43" s="30"/>
      <c r="ES43" s="34"/>
      <c r="ET43" s="29"/>
      <c r="EU43" s="47"/>
      <c r="EV43" s="47"/>
      <c r="EW43" s="30"/>
    </row>
    <row r="44" spans="1:153" x14ac:dyDescent="0.2">
      <c r="A44" s="2" t="str">
        <f>DaB!A44</f>
        <v>Calendar 20</v>
      </c>
      <c r="B44" s="2" t="str">
        <f t="shared" si="3"/>
        <v>.</v>
      </c>
      <c r="C44" s="27">
        <f t="shared" si="1"/>
        <v>45474</v>
      </c>
      <c r="D44" s="34">
        <f>IFERROR(MIN(DaB!F44:K44)-C44,0)</f>
        <v>-45474</v>
      </c>
      <c r="E44" s="29">
        <f>IF(F44=0,0,IF(DaB!F44&gt;0,DaB!G44-DaB!F44,0))</f>
        <v>0</v>
      </c>
      <c r="F44" s="33">
        <f>IF(DaB!G44&gt;MAX(DaB!EV44,DaB!FJ44),DaB!H44-DaB!G44+1,
IF(DaB!H44&gt;0,DaB!H44-DaB!G44,0))</f>
        <v>0</v>
      </c>
      <c r="G44" s="32">
        <f>IF(F44=0,0,IF(DaB!J44&gt;0,DaB!J44-DaB!I44+1,0))</f>
        <v>0</v>
      </c>
      <c r="H44" s="30">
        <f>IF(F44=0,0,IF(DaB!K44&gt;0,DaB!K44-MAX(DaB!H44:J44),0))</f>
        <v>0</v>
      </c>
      <c r="I44" s="34">
        <f>IF(K44=0,0,MIN(DaB!$M44:$N44)-SUM($C44:H44))</f>
        <v>0</v>
      </c>
      <c r="J44" s="29">
        <f>IF(K44=0,0,IF(DaB!M44&gt;0,DaB!N44-DaB!M44,0))</f>
        <v>0</v>
      </c>
      <c r="K44" s="33">
        <f>IF(DaB!O44&gt;0,DaB!O44-DaB!N44+1,0)</f>
        <v>0</v>
      </c>
      <c r="L44" s="32">
        <f>IF(K44=0,0,IF(DaB!Q44&gt;0,DaB!Q44-DaB!P44+1,0))</f>
        <v>0</v>
      </c>
      <c r="M44" s="30">
        <f>IF(K44=0,0,IF(DaB!R44&gt;0,DaB!R44-MAX(DaB!O44:Q44),0))</f>
        <v>0</v>
      </c>
      <c r="N44" s="31">
        <f>IF(P44=0,0,MIN(DaB!$T44:$U44)-SUM($C44:M44))</f>
        <v>0</v>
      </c>
      <c r="O44" s="29">
        <f>IF(P44=0,0,IF(DaB!T44&gt;0,DaB!U44-DaB!T44,0))</f>
        <v>0</v>
      </c>
      <c r="P44" s="33">
        <f>IF(DaB!V44&gt;0,DaB!V44-DaB!U44+1,0)</f>
        <v>0</v>
      </c>
      <c r="Q44" s="32">
        <f>IF(P44=0,0,IF(DaB!X44&gt;0,DaB!X44-DaB!W44+1,0))</f>
        <v>0</v>
      </c>
      <c r="R44" s="30">
        <f>IF(P44=0,0,IF(DaB!Y44&gt;0,DaB!Y44-MAX(DaB!V44:X44),0))</f>
        <v>0</v>
      </c>
      <c r="S44" s="34">
        <f>IF(U44=0,0,MIN(DaB!$AA44:$AB44)-SUM($C44:R44))</f>
        <v>0</v>
      </c>
      <c r="T44" s="29">
        <f>IF(U44=0,0,IF(DaB!AA44&gt;0,DaB!AB44-DaB!AA44,0))</f>
        <v>0</v>
      </c>
      <c r="U44" s="33">
        <f>IF(DaB!AC44&gt;0,DaB!AC44-DaB!AB44+1,0)</f>
        <v>0</v>
      </c>
      <c r="V44" s="32">
        <f>IF(U44=0,0,IF(DaB!AE44&gt;0,DaB!AE44-DaB!AD44+1,0))</f>
        <v>0</v>
      </c>
      <c r="W44" s="30">
        <f>IF(U44=0,0,IF(DaB!AF44&gt;0,DaB!AF44-MAX(DaB!AC44:AE44),0))</f>
        <v>0</v>
      </c>
      <c r="X44" s="34">
        <f>IF(Z44=0,0,MIN(DaB!$AH44:$AI44)-SUM($C44:W44))</f>
        <v>0</v>
      </c>
      <c r="Y44" s="29">
        <f>IF(Z44=0,0,IF(DaB!AH44&gt;0,DaB!AI44-DaB!AH44,0))</f>
        <v>0</v>
      </c>
      <c r="Z44" s="33">
        <f>IF(DaB!AJ44&gt;0,DaB!AJ44-DaB!AI44+1,0)</f>
        <v>0</v>
      </c>
      <c r="AA44" s="32">
        <f>IF(Z44=0,0,IF(DaB!AL44&gt;0,DaB!AL44-DaB!AK44+1,0))</f>
        <v>0</v>
      </c>
      <c r="AB44" s="30">
        <f>IF(Z44=0,0,IF(DaB!AM44&gt;0,DaB!AM44-MAX(DaB!AJ44:AL44),0))</f>
        <v>0</v>
      </c>
      <c r="AC44" s="34">
        <f>IF(AE44=0,0,MIN(DaB!$AO44:$AP44)-SUM($C44:AB44))</f>
        <v>0</v>
      </c>
      <c r="AD44" s="29">
        <f>IF(AE44=0,0,IF(DaB!AO44&gt;0,DaB!AP44-DaB!AO44,0))</f>
        <v>0</v>
      </c>
      <c r="AE44" s="33">
        <f>IF(DaB!AQ44&gt;0,DaB!AQ44-DaB!AP44+1,0)</f>
        <v>0</v>
      </c>
      <c r="AF44" s="32">
        <f>IF(AE44=0,0,IF(DaB!AS44&gt;0,DaB!AS44-DaB!AR44+1,0))</f>
        <v>0</v>
      </c>
      <c r="AG44" s="30">
        <f>IF(AE44=0,0,IF(DaB!AT44&gt;0,DaB!AT44-MAX(DaB!AQ44:AS44),0))</f>
        <v>0</v>
      </c>
      <c r="AH44" s="34">
        <f>IF(AJ44=0,0,MIN(DaB!$AV44:$AW44)-SUM($C44:AG44))</f>
        <v>0</v>
      </c>
      <c r="AI44" s="29">
        <f>IF(AJ44=0,0,IF(DaB!AV44&gt;0,DaB!AW44-DaB!AV44,0))</f>
        <v>0</v>
      </c>
      <c r="AJ44" s="33">
        <f>IF(DaB!AX44&gt;0,DaB!AX44-DaB!AW44+1,0)</f>
        <v>0</v>
      </c>
      <c r="AK44" s="32">
        <f>IF(AJ44=0,0,IF(DaB!AZ44&gt;0,DaB!AZ44-DaB!AY44+1,0))</f>
        <v>0</v>
      </c>
      <c r="AL44" s="30">
        <f>IF(AJ44=0,0,IF(DaB!BA44&gt;0,DaB!BA44-MAX(DaB!AX44:AZ44),0))</f>
        <v>0</v>
      </c>
      <c r="AM44" s="34">
        <f>IF(AO44=0,0,MIN(DaB!$BC44:$BD44)-SUM($C44:AL44))</f>
        <v>0</v>
      </c>
      <c r="AN44" s="29">
        <f>IF(AO44=0,0,IF(DaB!BC44&gt;0,DaB!BD44-DaB!BC44,0))</f>
        <v>0</v>
      </c>
      <c r="AO44" s="33">
        <f>IF(DaB!BE44&gt;0,DaB!BE44-DaB!BD44+1,0)</f>
        <v>0</v>
      </c>
      <c r="AP44" s="32">
        <f>IF(AO44=0,0,IF(DaB!BG44&gt;0,DaB!BG44-DaB!BF44+1,0))</f>
        <v>0</v>
      </c>
      <c r="AQ44" s="30">
        <f>IF(AO44=0,0,IF(DaB!BH44&gt;0,DaB!BH44-MAX(DaB!BE44:BG44),0))</f>
        <v>0</v>
      </c>
      <c r="AR44" s="34">
        <f>IF(AT44=0,0,MIN(DaB!$BJ44:$BK44)-SUM($C44:AQ44))</f>
        <v>0</v>
      </c>
      <c r="AS44" s="29">
        <f>IF(AT44=0,0,IF(DaB!BJ44&gt;0,DaB!BK44-DaB!BJ44,0))</f>
        <v>0</v>
      </c>
      <c r="AT44" s="33">
        <f>IF(DaB!BL44&gt;0,DaB!BL44-DaB!BK44+1,0)</f>
        <v>0</v>
      </c>
      <c r="AU44" s="32">
        <f>IF(AT44=0,0,IF(DaB!BN44&gt;0,DaB!BN44-DaB!BM44+1,0))</f>
        <v>0</v>
      </c>
      <c r="AV44" s="30">
        <f>IF(AT44=0,0,IF(DaB!BO44&gt;0,DaB!BO44-MAX(DaB!BL44:BN44),0))</f>
        <v>0</v>
      </c>
      <c r="AW44" s="34">
        <f>IF(AY44=0,0,MIN(DaB!$BQ44:$BR44)-SUM($C44:AV44))</f>
        <v>0</v>
      </c>
      <c r="AX44" s="29">
        <f>IF(AY44=0,0,IF(DaB!BQ44&gt;0,DaB!BR44-DaB!BQ44,0))</f>
        <v>0</v>
      </c>
      <c r="AY44" s="33">
        <f>IF(DaB!BS44&gt;0,DaB!BS44-DaB!BR44+1,0)</f>
        <v>0</v>
      </c>
      <c r="AZ44" s="32">
        <f>IF(AY44=0,0,IF(DaB!BU44&gt;0,DaB!BU44-DaB!BT44+1,0))</f>
        <v>0</v>
      </c>
      <c r="BA44" s="30">
        <f>IF(AY44=0,0,IF(DaB!BV44&gt;0,DaB!BV44-MAX(DaB!BS44:BU44),0))</f>
        <v>0</v>
      </c>
      <c r="BB44" s="34">
        <f>IF(BD44=0,0,MIN(DaB!$BX44:$BY44)-SUM($C44:BA44))</f>
        <v>0</v>
      </c>
      <c r="BC44" s="29">
        <f>IF(BD44=0,0,IF(DaB!BX44&gt;0,DaB!BY44-DaB!BX44,0))</f>
        <v>0</v>
      </c>
      <c r="BD44" s="33">
        <f>IF(DaB!BZ44&gt;0,DaB!BZ44-DaB!BY44+1,0)</f>
        <v>0</v>
      </c>
      <c r="BE44" s="32">
        <f>IF(BD44=0,0,IF(DaB!CB44&gt;0,DaB!CB44-DaB!CA44+1,0))</f>
        <v>0</v>
      </c>
      <c r="BF44" s="30">
        <f>IF(BD44=0,0,IF(DaB!CC44&gt;0,DaB!CC44-MAX(DaB!BZ44:CB44),0))</f>
        <v>0</v>
      </c>
      <c r="BG44" s="34">
        <f>IF(BI44=0,0,MIN(DaB!$CE44:$CF44)-SUM($C44:BF44))</f>
        <v>0</v>
      </c>
      <c r="BH44" s="29">
        <f>IF(BI44=0,0,IF(DaB!CE44&gt;0,DaB!CF44-DaB!CE44,0))</f>
        <v>0</v>
      </c>
      <c r="BI44" s="33">
        <f>IF(DaB!CG44&gt;0,DaB!CG44-DaB!CF44+1,0)</f>
        <v>0</v>
      </c>
      <c r="BJ44" s="32">
        <f>IF(BI44=0,0,IF(DaB!CI44&gt;0,DaB!CI44-DaB!CH44+1,0))</f>
        <v>0</v>
      </c>
      <c r="BK44" s="30">
        <f>IF(BI44=0,0,IF(DaB!CJ44&gt;0,DaB!CJ44-MAX(DaB!CG44:CI44),0))</f>
        <v>0</v>
      </c>
      <c r="BL44" s="34">
        <f>IF(BN44=0,0,MIN(DaB!$CL44:$CM44)-SUM($C44:BK44))</f>
        <v>0</v>
      </c>
      <c r="BM44" s="29">
        <f>IF(BN44=0,0,IF(DaB!CL44&gt;0,DaB!CM44-DaB!CL44,0))</f>
        <v>0</v>
      </c>
      <c r="BN44" s="33">
        <f>IF(DaB!CN44&gt;0,DaB!CN44-DaB!CM44+1,0)</f>
        <v>0</v>
      </c>
      <c r="BO44" s="32">
        <f>IF(BN44=0,0,IF(DaB!CP44&gt;0,DaB!CP44-DaB!CO44+1,0))</f>
        <v>0</v>
      </c>
      <c r="BP44" s="30">
        <f>IF(BN44=0,0,IF(DaB!CQ44&gt;0,DaB!CQ44-MAX(DaB!CN44:CP44),0))</f>
        <v>0</v>
      </c>
      <c r="BQ44" s="34">
        <f>IF(BS44=0,0,MIN(DaB!$CS44:$CT44)-SUM($C44:BP44))</f>
        <v>0</v>
      </c>
      <c r="BR44" s="29">
        <f>IF(BS44=0,0,IF(DaB!CS44&gt;0,DaB!CT44-DaB!CS44,0))</f>
        <v>0</v>
      </c>
      <c r="BS44" s="33">
        <f>IF(DaB!CU44&gt;0,DaB!CU44-DaB!CT44+1,0)</f>
        <v>0</v>
      </c>
      <c r="BT44" s="32">
        <f>IF(BS44=0,0,IF(DaB!CW44&gt;0,DaB!CW44-DaB!CV44+1,0))</f>
        <v>0</v>
      </c>
      <c r="BU44" s="30">
        <f>IF(BS44=0,0,IF(DaB!CX44&gt;0,DaB!CX44-MAX(DaB!CU44:CW44),0))</f>
        <v>0</v>
      </c>
      <c r="BV44" s="34">
        <f>IF(BX44=0,0,MIN(DaB!$CZ44:$DA44)-SUM($C44:BU44))</f>
        <v>0</v>
      </c>
      <c r="BW44" s="29">
        <f>IF(BX44=0,0,IF(DaB!CZ44&gt;0,DaB!DA44-DaB!CZ44,0))</f>
        <v>0</v>
      </c>
      <c r="BX44" s="33">
        <f>IF(DaB!DB44&gt;0,DaB!DB44-DaB!DA44+1,0)</f>
        <v>0</v>
      </c>
      <c r="BY44" s="32">
        <f>IF(BX44=0,0,IF(DaB!DD44&gt;0,DaB!DD44-DaB!DC44+1,0))</f>
        <v>0</v>
      </c>
      <c r="BZ44" s="30">
        <f>IF(BX44=0,0,IF(DaB!DE44&gt;0,DaB!DE44-MAX(DaB!DB44:DD44),0))</f>
        <v>0</v>
      </c>
      <c r="CA44" s="34">
        <f>IF(CC44=0,0,MIN(DaB!$DG44:$DH44)-SUM($C44:BZ44))</f>
        <v>0</v>
      </c>
      <c r="CB44" s="29">
        <f>IF(CC44=0,0,IF(DaB!DG44&gt;0,DaB!DH44-DaB!DG44,0))</f>
        <v>0</v>
      </c>
      <c r="CC44" s="33">
        <f>IF(DaB!DI44&gt;0,DaB!DI44-DaB!DH44+1,0)</f>
        <v>0</v>
      </c>
      <c r="CD44" s="32">
        <f>IF(CC44=0,0,IF(DaB!DK44&gt;0,DaB!DK44-DaB!DJ44+1,0))</f>
        <v>0</v>
      </c>
      <c r="CE44" s="30">
        <f>IF(CC44=0,0,IF(DaB!DL44&gt;0,DaB!DL44-MAX(DaB!DI44:DK44),0))</f>
        <v>0</v>
      </c>
      <c r="CF44" s="34">
        <f>IF(CH44=0,0,MIN(DaB!$DN44:$DO44)-SUM($C44:CE44))</f>
        <v>0</v>
      </c>
      <c r="CG44" s="29">
        <f>IF(CH44=0,0,IF(DaB!DN44&gt;0,DaB!DO44-DaB!DN44,0))</f>
        <v>0</v>
      </c>
      <c r="CH44" s="33">
        <f>IF(DaB!DP44&gt;0,DaB!DP44-DaB!DO44+1,0)</f>
        <v>0</v>
      </c>
      <c r="CI44" s="32">
        <f>IF(CH44=0,0,IF(DaB!DR44&gt;0,DaB!DR44-DaB!DQ44+1,0))</f>
        <v>0</v>
      </c>
      <c r="CJ44" s="30">
        <f>IF(CH44=0,0,IF(DaB!DS44&gt;0,DaB!DS44-MAX(DaB!DP44:DR44),0))</f>
        <v>0</v>
      </c>
      <c r="CK44" s="34">
        <f>IF(CM44=0,0,MIN(DaB!$DU44:$DV44)-SUM($C44:CJ44))</f>
        <v>0</v>
      </c>
      <c r="CL44" s="29">
        <f>IF(CM44=0,0,IF(DaB!DU44&gt;0,DaB!DV44-DaB!DU44,0))</f>
        <v>0</v>
      </c>
      <c r="CM44" s="33">
        <f>IF(DaB!DW44&gt;0,DaB!DW44-DaB!DV44+1,0)</f>
        <v>0</v>
      </c>
      <c r="CN44" s="32">
        <f>IF(CM44=0,0,IF(DaB!DY44&gt;0,DaB!DY44-DaB!DX44+1,0))</f>
        <v>0</v>
      </c>
      <c r="CO44" s="30">
        <f>IF(CM44=0,0,IF(DaB!DZ44&gt;0,DaB!DZ44-MAX(DaB!DW44:DY44),0))</f>
        <v>0</v>
      </c>
      <c r="CP44" s="34">
        <f>IF(CR44=0,0,MIN(DaB!$EB44:$EC44)-SUM($C44:CO44))</f>
        <v>0</v>
      </c>
      <c r="CQ44" s="29">
        <f>IF(CR44=0,0,IF(DaB!EB44&gt;0,DaB!EC44-DaB!EB44,0))</f>
        <v>0</v>
      </c>
      <c r="CR44" s="33">
        <f>IF(DaB!ED44&gt;0,DaB!ED44-DaB!EC44+1,0)</f>
        <v>0</v>
      </c>
      <c r="CS44" s="32">
        <f>IF(CR44=0,0,IF(DaB!EF44&gt;0,DaB!EF44-DaB!EE44+1,0))</f>
        <v>0</v>
      </c>
      <c r="CT44" s="30">
        <f>IF(CR44=0,0,IF(DaB!EG44&gt;0,DaB!EG44-MAX(DaB!ED44:EF44),0))</f>
        <v>0</v>
      </c>
      <c r="CU44" s="34">
        <f>IF(CW44=0,0,MIN(DaB!$EI44:$EJ44)-SUM($C44:CT44))</f>
        <v>0</v>
      </c>
      <c r="CV44" s="29">
        <f>IF(CW44=0,0,IF(DaB!EI44&gt;0,DaB!EJ44-DaB!EI44,0))</f>
        <v>0</v>
      </c>
      <c r="CW44" s="33">
        <f>IF(DaB!EK44&gt;0,DaB!EK44-DaB!EJ44+1,0)</f>
        <v>0</v>
      </c>
      <c r="CX44" s="32">
        <f>IF(CW44=0,0,IF(DaB!EM44&gt;0,DaB!EM44-DaB!EL44+1,0))</f>
        <v>0</v>
      </c>
      <c r="CY44" s="30">
        <f>IF(CW44=0,0,IF(DaB!EN44&gt;0,DaB!EN44-MAX(DaB!EK44:EM44),0))</f>
        <v>0</v>
      </c>
      <c r="DF44" s="2">
        <f t="shared" si="4"/>
        <v>45474</v>
      </c>
      <c r="DG44" s="28"/>
      <c r="DH44" s="29"/>
      <c r="DI44" s="10"/>
      <c r="DJ44" s="10"/>
      <c r="DK44" s="11"/>
      <c r="DL44" s="11"/>
      <c r="DM44" s="30"/>
      <c r="DN44" s="28"/>
      <c r="DO44" s="29"/>
      <c r="DP44" s="10"/>
      <c r="DQ44" s="10"/>
      <c r="DR44" s="11"/>
      <c r="DS44" s="11"/>
      <c r="DT44" s="30"/>
      <c r="DU44" s="28"/>
      <c r="DV44" s="29"/>
      <c r="DW44" s="10"/>
      <c r="DX44" s="10"/>
      <c r="DY44" s="11"/>
      <c r="DZ44" s="11"/>
      <c r="EA44" s="30"/>
      <c r="EB44" s="28"/>
      <c r="EC44" s="29"/>
      <c r="ED44" s="10"/>
      <c r="EE44" s="10"/>
      <c r="EF44" s="11"/>
      <c r="EG44" s="11"/>
      <c r="EH44" s="30"/>
      <c r="EI44" s="34"/>
      <c r="EJ44" s="29"/>
      <c r="EK44" s="10"/>
      <c r="EL44" s="10"/>
      <c r="EM44" s="30"/>
      <c r="EN44" s="34"/>
      <c r="EO44" s="29"/>
      <c r="EP44" s="47"/>
      <c r="EQ44" s="47"/>
      <c r="ER44" s="30"/>
      <c r="ES44" s="34"/>
      <c r="ET44" s="29"/>
      <c r="EU44" s="47"/>
      <c r="EV44" s="47"/>
      <c r="EW44" s="30"/>
    </row>
    <row r="45" spans="1:153" x14ac:dyDescent="0.2">
      <c r="A45" s="2" t="str">
        <f>DaB!A45</f>
        <v>Calendar 20</v>
      </c>
      <c r="B45" s="2" t="str">
        <f t="shared" si="3"/>
        <v>.</v>
      </c>
      <c r="C45" s="27">
        <f t="shared" si="1"/>
        <v>45474</v>
      </c>
      <c r="D45" s="34">
        <f>IFERROR(MIN(DaB!F45:K45)-C45,0)</f>
        <v>-45474</v>
      </c>
      <c r="E45" s="29">
        <f>IF(F45=0,0,IF(DaB!F45&gt;0,DaB!G45-DaB!F45,0))</f>
        <v>0</v>
      </c>
      <c r="F45" s="33">
        <f>IF(DaB!G45&gt;MAX(DaB!EV45,DaB!FJ45),DaB!H45-DaB!G45+1,
IF(DaB!H45&gt;0,DaB!H45-DaB!G45,0))</f>
        <v>0</v>
      </c>
      <c r="G45" s="32">
        <f>IF(F45=0,0,IF(DaB!J45&gt;0,DaB!J45-DaB!I45+1,0))</f>
        <v>0</v>
      </c>
      <c r="H45" s="30">
        <f>IF(F45=0,0,IF(DaB!K45&gt;0,DaB!K45-MAX(DaB!H45:J45),0))</f>
        <v>0</v>
      </c>
      <c r="I45" s="34">
        <f>IF(K45=0,0,MIN(DaB!$M45:$N45)-SUM($C45:H45))</f>
        <v>0</v>
      </c>
      <c r="J45" s="29">
        <f>IF(K45=0,0,IF(DaB!M45&gt;0,DaB!N45-DaB!M45,0))</f>
        <v>0</v>
      </c>
      <c r="K45" s="33">
        <f>IF(DaB!O45&gt;0,DaB!O45-DaB!N45+1,0)</f>
        <v>0</v>
      </c>
      <c r="L45" s="32">
        <f>IF(K45=0,0,IF(DaB!Q45&gt;0,DaB!Q45-DaB!P45+1,0))</f>
        <v>0</v>
      </c>
      <c r="M45" s="30">
        <f>IF(K45=0,0,IF(DaB!R45&gt;0,DaB!R45-MAX(DaB!O45:Q45),0))</f>
        <v>0</v>
      </c>
      <c r="N45" s="31">
        <f>IF(P45=0,0,MIN(DaB!$T45:$U45)-SUM($C45:M45))</f>
        <v>0</v>
      </c>
      <c r="O45" s="29">
        <f>IF(P45=0,0,IF(DaB!T45&gt;0,DaB!U45-DaB!T45,0))</f>
        <v>0</v>
      </c>
      <c r="P45" s="33">
        <f>IF(DaB!V45&gt;0,DaB!V45-DaB!U45+1,0)</f>
        <v>0</v>
      </c>
      <c r="Q45" s="32">
        <f>IF(P45=0,0,IF(DaB!X45&gt;0,DaB!X45-DaB!W45+1,0))</f>
        <v>0</v>
      </c>
      <c r="R45" s="30">
        <f>IF(P45=0,0,IF(DaB!Y45&gt;0,DaB!Y45-MAX(DaB!V45:X45),0))</f>
        <v>0</v>
      </c>
      <c r="S45" s="34">
        <f>IF(U45=0,0,MIN(DaB!$AA45:$AB45)-SUM($C45:R45))</f>
        <v>0</v>
      </c>
      <c r="T45" s="29">
        <f>IF(U45=0,0,IF(DaB!AA45&gt;0,DaB!AB45-DaB!AA45,0))</f>
        <v>0</v>
      </c>
      <c r="U45" s="33">
        <f>IF(DaB!AC45&gt;0,DaB!AC45-DaB!AB45+1,0)</f>
        <v>0</v>
      </c>
      <c r="V45" s="32">
        <f>IF(U45=0,0,IF(DaB!AE45&gt;0,DaB!AE45-DaB!AD45+1,0))</f>
        <v>0</v>
      </c>
      <c r="W45" s="30">
        <f>IF(U45=0,0,IF(DaB!AF45&gt;0,DaB!AF45-MAX(DaB!AC45:AE45),0))</f>
        <v>0</v>
      </c>
      <c r="X45" s="34">
        <f>IF(Z45=0,0,MIN(DaB!$AH45:$AI45)-SUM($C45:W45))</f>
        <v>0</v>
      </c>
      <c r="Y45" s="29">
        <f>IF(Z45=0,0,IF(DaB!AH45&gt;0,DaB!AI45-DaB!AH45,0))</f>
        <v>0</v>
      </c>
      <c r="Z45" s="33">
        <f>IF(DaB!AJ45&gt;0,DaB!AJ45-DaB!AI45+1,0)</f>
        <v>0</v>
      </c>
      <c r="AA45" s="32">
        <f>IF(Z45=0,0,IF(DaB!AL45&gt;0,DaB!AL45-DaB!AK45+1,0))</f>
        <v>0</v>
      </c>
      <c r="AB45" s="30">
        <f>IF(Z45=0,0,IF(DaB!AM45&gt;0,DaB!AM45-MAX(DaB!AJ45:AL45),0))</f>
        <v>0</v>
      </c>
      <c r="AC45" s="34">
        <f>IF(AE45=0,0,MIN(DaB!$AO45:$AP45)-SUM($C45:AB45))</f>
        <v>0</v>
      </c>
      <c r="AD45" s="29">
        <f>IF(AE45=0,0,IF(DaB!AO45&gt;0,DaB!AP45-DaB!AO45,0))</f>
        <v>0</v>
      </c>
      <c r="AE45" s="33">
        <f>IF(DaB!AQ45&gt;0,DaB!AQ45-DaB!AP45+1,0)</f>
        <v>0</v>
      </c>
      <c r="AF45" s="32">
        <f>IF(AE45=0,0,IF(DaB!AS45&gt;0,DaB!AS45-DaB!AR45+1,0))</f>
        <v>0</v>
      </c>
      <c r="AG45" s="30">
        <f>IF(AE45=0,0,IF(DaB!AT45&gt;0,DaB!AT45-MAX(DaB!AQ45:AS45),0))</f>
        <v>0</v>
      </c>
      <c r="AH45" s="34">
        <f>IF(AJ45=0,0,MIN(DaB!$AV45:$AW45)-SUM($C45:AG45))</f>
        <v>0</v>
      </c>
      <c r="AI45" s="29">
        <f>IF(AJ45=0,0,IF(DaB!AV45&gt;0,DaB!AW45-DaB!AV45,0))</f>
        <v>0</v>
      </c>
      <c r="AJ45" s="33">
        <f>IF(DaB!AX45&gt;0,DaB!AX45-DaB!AW45+1,0)</f>
        <v>0</v>
      </c>
      <c r="AK45" s="32">
        <f>IF(AJ45=0,0,IF(DaB!AZ45&gt;0,DaB!AZ45-DaB!AY45+1,0))</f>
        <v>0</v>
      </c>
      <c r="AL45" s="30">
        <f>IF(AJ45=0,0,IF(DaB!BA45&gt;0,DaB!BA45-MAX(DaB!AX45:AZ45),0))</f>
        <v>0</v>
      </c>
      <c r="AM45" s="34">
        <f>IF(AO45=0,0,MIN(DaB!$BC45:$BD45)-SUM($C45:AL45))</f>
        <v>0</v>
      </c>
      <c r="AN45" s="29">
        <f>IF(AO45=0,0,IF(DaB!BC45&gt;0,DaB!BD45-DaB!BC45,0))</f>
        <v>0</v>
      </c>
      <c r="AO45" s="33">
        <f>IF(DaB!BE45&gt;0,DaB!BE45-DaB!BD45+1,0)</f>
        <v>0</v>
      </c>
      <c r="AP45" s="32">
        <f>IF(AO45=0,0,IF(DaB!BG45&gt;0,DaB!BG45-DaB!BF45+1,0))</f>
        <v>0</v>
      </c>
      <c r="AQ45" s="30">
        <f>IF(AO45=0,0,IF(DaB!BH45&gt;0,DaB!BH45-MAX(DaB!BE45:BG45),0))</f>
        <v>0</v>
      </c>
      <c r="AR45" s="34">
        <f>IF(AT45=0,0,MIN(DaB!$BJ45:$BK45)-SUM($C45:AQ45))</f>
        <v>0</v>
      </c>
      <c r="AS45" s="29">
        <f>IF(AT45=0,0,IF(DaB!BJ45&gt;0,DaB!BK45-DaB!BJ45,0))</f>
        <v>0</v>
      </c>
      <c r="AT45" s="33">
        <f>IF(DaB!BL45&gt;0,DaB!BL45-DaB!BK45+1,0)</f>
        <v>0</v>
      </c>
      <c r="AU45" s="32">
        <f>IF(AT45=0,0,IF(DaB!BN45&gt;0,DaB!BN45-DaB!BM45+1,0))</f>
        <v>0</v>
      </c>
      <c r="AV45" s="30">
        <f>IF(AT45=0,0,IF(DaB!BO45&gt;0,DaB!BO45-MAX(DaB!BL45:BN45),0))</f>
        <v>0</v>
      </c>
      <c r="AW45" s="34">
        <f>IF(AY45=0,0,MIN(DaB!$BQ45:$BR45)-SUM($C45:AV45))</f>
        <v>0</v>
      </c>
      <c r="AX45" s="29">
        <f>IF(AY45=0,0,IF(DaB!BQ45&gt;0,DaB!BR45-DaB!BQ45,0))</f>
        <v>0</v>
      </c>
      <c r="AY45" s="33">
        <f>IF(DaB!BS45&gt;0,DaB!BS45-DaB!BR45+1,0)</f>
        <v>0</v>
      </c>
      <c r="AZ45" s="32">
        <f>IF(AY45=0,0,IF(DaB!BU45&gt;0,DaB!BU45-DaB!BT45+1,0))</f>
        <v>0</v>
      </c>
      <c r="BA45" s="30">
        <f>IF(AY45=0,0,IF(DaB!BV45&gt;0,DaB!BV45-MAX(DaB!BS45:BU45),0))</f>
        <v>0</v>
      </c>
      <c r="BB45" s="34">
        <f>IF(BD45=0,0,MIN(DaB!$BX45:$BY45)-SUM($C45:BA45))</f>
        <v>0</v>
      </c>
      <c r="BC45" s="29">
        <f>IF(BD45=0,0,IF(DaB!BX45&gt;0,DaB!BY45-DaB!BX45,0))</f>
        <v>0</v>
      </c>
      <c r="BD45" s="33">
        <f>IF(DaB!BZ45&gt;0,DaB!BZ45-DaB!BY45+1,0)</f>
        <v>0</v>
      </c>
      <c r="BE45" s="32">
        <f>IF(BD45=0,0,IF(DaB!CB45&gt;0,DaB!CB45-DaB!CA45+1,0))</f>
        <v>0</v>
      </c>
      <c r="BF45" s="30">
        <f>IF(BD45=0,0,IF(DaB!CC45&gt;0,DaB!CC45-MAX(DaB!BZ45:CB45),0))</f>
        <v>0</v>
      </c>
      <c r="BG45" s="34">
        <f>IF(BI45=0,0,MIN(DaB!$CE45:$CF45)-SUM($C45:BF45))</f>
        <v>0</v>
      </c>
      <c r="BH45" s="29">
        <f>IF(BI45=0,0,IF(DaB!CE45&gt;0,DaB!CF45-DaB!CE45,0))</f>
        <v>0</v>
      </c>
      <c r="BI45" s="33">
        <f>IF(DaB!CG45&gt;0,DaB!CG45-DaB!CF45+1,0)</f>
        <v>0</v>
      </c>
      <c r="BJ45" s="32">
        <f>IF(BI45=0,0,IF(DaB!CI45&gt;0,DaB!CI45-DaB!CH45+1,0))</f>
        <v>0</v>
      </c>
      <c r="BK45" s="30">
        <f>IF(BI45=0,0,IF(DaB!CJ45&gt;0,DaB!CJ45-MAX(DaB!CG45:CI45),0))</f>
        <v>0</v>
      </c>
      <c r="BL45" s="34">
        <f>IF(BN45=0,0,MIN(DaB!$CL45:$CM45)-SUM($C45:BK45))</f>
        <v>0</v>
      </c>
      <c r="BM45" s="29">
        <f>IF(BN45=0,0,IF(DaB!CL45&gt;0,DaB!CM45-DaB!CL45,0))</f>
        <v>0</v>
      </c>
      <c r="BN45" s="33">
        <f>IF(DaB!CN45&gt;0,DaB!CN45-DaB!CM45+1,0)</f>
        <v>0</v>
      </c>
      <c r="BO45" s="32">
        <f>IF(BN45=0,0,IF(DaB!CP45&gt;0,DaB!CP45-DaB!CO45+1,0))</f>
        <v>0</v>
      </c>
      <c r="BP45" s="30">
        <f>IF(BN45=0,0,IF(DaB!CQ45&gt;0,DaB!CQ45-MAX(DaB!CN45:CP45),0))</f>
        <v>0</v>
      </c>
      <c r="BQ45" s="34">
        <f>IF(BS45=0,0,MIN(DaB!$CS45:$CT45)-SUM($C45:BP45))</f>
        <v>0</v>
      </c>
      <c r="BR45" s="29">
        <f>IF(BS45=0,0,IF(DaB!CS45&gt;0,DaB!CT45-DaB!CS45,0))</f>
        <v>0</v>
      </c>
      <c r="BS45" s="33">
        <f>IF(DaB!CU45&gt;0,DaB!CU45-DaB!CT45+1,0)</f>
        <v>0</v>
      </c>
      <c r="BT45" s="32">
        <f>IF(BS45=0,0,IF(DaB!CW45&gt;0,DaB!CW45-DaB!CV45+1,0))</f>
        <v>0</v>
      </c>
      <c r="BU45" s="30">
        <f>IF(BS45=0,0,IF(DaB!CX45&gt;0,DaB!CX45-MAX(DaB!CU45:CW45),0))</f>
        <v>0</v>
      </c>
      <c r="BV45" s="34">
        <f>IF(BX45=0,0,MIN(DaB!$CZ45:$DA45)-SUM($C45:BU45))</f>
        <v>0</v>
      </c>
      <c r="BW45" s="29">
        <f>IF(BX45=0,0,IF(DaB!CZ45&gt;0,DaB!DA45-DaB!CZ45,0))</f>
        <v>0</v>
      </c>
      <c r="BX45" s="33">
        <f>IF(DaB!DB45&gt;0,DaB!DB45-DaB!DA45+1,0)</f>
        <v>0</v>
      </c>
      <c r="BY45" s="32">
        <f>IF(BX45=0,0,IF(DaB!DD45&gt;0,DaB!DD45-DaB!DC45+1,0))</f>
        <v>0</v>
      </c>
      <c r="BZ45" s="30">
        <f>IF(BX45=0,0,IF(DaB!DE45&gt;0,DaB!DE45-MAX(DaB!DB45:DD45),0))</f>
        <v>0</v>
      </c>
      <c r="CA45" s="34">
        <f>IF(CC45=0,0,MIN(DaB!$DG45:$DH45)-SUM($C45:BZ45))</f>
        <v>0</v>
      </c>
      <c r="CB45" s="29">
        <f>IF(CC45=0,0,IF(DaB!DG45&gt;0,DaB!DH45-DaB!DG45,0))</f>
        <v>0</v>
      </c>
      <c r="CC45" s="33">
        <f>IF(DaB!DI45&gt;0,DaB!DI45-DaB!DH45+1,0)</f>
        <v>0</v>
      </c>
      <c r="CD45" s="32">
        <f>IF(CC45=0,0,IF(DaB!DK45&gt;0,DaB!DK45-DaB!DJ45+1,0))</f>
        <v>0</v>
      </c>
      <c r="CE45" s="30">
        <f>IF(CC45=0,0,IF(DaB!DL45&gt;0,DaB!DL45-MAX(DaB!DI45:DK45),0))</f>
        <v>0</v>
      </c>
      <c r="CF45" s="34">
        <f>IF(CH45=0,0,MIN(DaB!$DN45:$DO45)-SUM($C45:CE45))</f>
        <v>0</v>
      </c>
      <c r="CG45" s="29">
        <f>IF(CH45=0,0,IF(DaB!DN45&gt;0,DaB!DO45-DaB!DN45,0))</f>
        <v>0</v>
      </c>
      <c r="CH45" s="33">
        <f>IF(DaB!DP45&gt;0,DaB!DP45-DaB!DO45+1,0)</f>
        <v>0</v>
      </c>
      <c r="CI45" s="32">
        <f>IF(CH45=0,0,IF(DaB!DR45&gt;0,DaB!DR45-DaB!DQ45+1,0))</f>
        <v>0</v>
      </c>
      <c r="CJ45" s="30">
        <f>IF(CH45=0,0,IF(DaB!DS45&gt;0,DaB!DS45-MAX(DaB!DP45:DR45),0))</f>
        <v>0</v>
      </c>
      <c r="CK45" s="34">
        <f>IF(CM45=0,0,MIN(DaB!$DU45:$DV45)-SUM($C45:CJ45))</f>
        <v>0</v>
      </c>
      <c r="CL45" s="29">
        <f>IF(CM45=0,0,IF(DaB!DU45&gt;0,DaB!DV45-DaB!DU45,0))</f>
        <v>0</v>
      </c>
      <c r="CM45" s="33">
        <f>IF(DaB!DW45&gt;0,DaB!DW45-DaB!DV45+1,0)</f>
        <v>0</v>
      </c>
      <c r="CN45" s="32">
        <f>IF(CM45=0,0,IF(DaB!DY45&gt;0,DaB!DY45-DaB!DX45+1,0))</f>
        <v>0</v>
      </c>
      <c r="CO45" s="30">
        <f>IF(CM45=0,0,IF(DaB!DZ45&gt;0,DaB!DZ45-MAX(DaB!DW45:DY45),0))</f>
        <v>0</v>
      </c>
      <c r="CP45" s="34">
        <f>IF(CR45=0,0,MIN(DaB!$EB45:$EC45)-SUM($C45:CO45))</f>
        <v>0</v>
      </c>
      <c r="CQ45" s="29">
        <f>IF(CR45=0,0,IF(DaB!EB45&gt;0,DaB!EC45-DaB!EB45,0))</f>
        <v>0</v>
      </c>
      <c r="CR45" s="33">
        <f>IF(DaB!ED45&gt;0,DaB!ED45-DaB!EC45+1,0)</f>
        <v>0</v>
      </c>
      <c r="CS45" s="32">
        <f>IF(CR45=0,0,IF(DaB!EF45&gt;0,DaB!EF45-DaB!EE45+1,0))</f>
        <v>0</v>
      </c>
      <c r="CT45" s="30">
        <f>IF(CR45=0,0,IF(DaB!EG45&gt;0,DaB!EG45-MAX(DaB!ED45:EF45),0))</f>
        <v>0</v>
      </c>
      <c r="CU45" s="34">
        <f>IF(CW45=0,0,MIN(DaB!$EI45:$EJ45)-SUM($C45:CT45))</f>
        <v>0</v>
      </c>
      <c r="CV45" s="29">
        <f>IF(CW45=0,0,IF(DaB!EI45&gt;0,DaB!EJ45-DaB!EI45,0))</f>
        <v>0</v>
      </c>
      <c r="CW45" s="33">
        <f>IF(DaB!EK45&gt;0,DaB!EK45-DaB!EJ45+1,0)</f>
        <v>0</v>
      </c>
      <c r="CX45" s="32">
        <f>IF(CW45=0,0,IF(DaB!EM45&gt;0,DaB!EM45-DaB!EL45+1,0))</f>
        <v>0</v>
      </c>
      <c r="CY45" s="30">
        <f>IF(CW45=0,0,IF(DaB!EN45&gt;0,DaB!EN45-MAX(DaB!EK45:EM45),0))</f>
        <v>0</v>
      </c>
      <c r="DF45" s="2">
        <f t="shared" si="4"/>
        <v>45474</v>
      </c>
      <c r="DG45" s="28"/>
      <c r="DH45" s="29"/>
      <c r="DI45" s="10"/>
      <c r="DJ45" s="10"/>
      <c r="DK45" s="11"/>
      <c r="DL45" s="11"/>
      <c r="DM45" s="30"/>
      <c r="DN45" s="28"/>
      <c r="DO45" s="29"/>
      <c r="DP45" s="10"/>
      <c r="DQ45" s="10"/>
      <c r="DR45" s="11"/>
      <c r="DS45" s="11"/>
      <c r="DT45" s="30"/>
      <c r="DU45" s="28"/>
      <c r="DV45" s="29"/>
      <c r="DW45" s="10"/>
      <c r="DX45" s="10"/>
      <c r="DY45" s="11"/>
      <c r="DZ45" s="11"/>
      <c r="EA45" s="30"/>
      <c r="EB45" s="28"/>
      <c r="EC45" s="29"/>
      <c r="ED45" s="10"/>
      <c r="EE45" s="10"/>
      <c r="EF45" s="11"/>
      <c r="EG45" s="11"/>
      <c r="EH45" s="30"/>
      <c r="EI45" s="34"/>
      <c r="EJ45" s="29"/>
      <c r="EK45" s="10"/>
      <c r="EL45" s="10"/>
      <c r="EM45" s="30"/>
      <c r="EN45" s="34"/>
      <c r="EO45" s="29"/>
      <c r="EP45" s="47"/>
      <c r="EQ45" s="47"/>
      <c r="ER45" s="30"/>
      <c r="ES45" s="34"/>
      <c r="ET45" s="29"/>
      <c r="EU45" s="47"/>
      <c r="EV45" s="47"/>
      <c r="EW45" s="30"/>
    </row>
    <row r="46" spans="1:153" x14ac:dyDescent="0.2">
      <c r="A46" s="2" t="str">
        <f>DaB!A46</f>
        <v>Calendar 21</v>
      </c>
      <c r="B46" s="2" t="str">
        <f t="shared" si="3"/>
        <v>.</v>
      </c>
      <c r="C46" s="27">
        <f t="shared" si="1"/>
        <v>45474</v>
      </c>
      <c r="D46" s="34">
        <f>IFERROR(MIN(DaB!F46:K46)-C46,0)</f>
        <v>-45474</v>
      </c>
      <c r="E46" s="29">
        <f>IF(F46=0,0,IF(DaB!F46&gt;0,DaB!G46-DaB!F46,0))</f>
        <v>0</v>
      </c>
      <c r="F46" s="33">
        <f>IF(DaB!G46&gt;MAX(DaB!EV46,DaB!FJ46),DaB!H46-DaB!G46+1,
IF(DaB!H46&gt;0,DaB!H46-DaB!G46,0))</f>
        <v>0</v>
      </c>
      <c r="G46" s="32">
        <f>IF(F46=0,0,IF(DaB!J46&gt;0,DaB!J46-DaB!I46+1,0))</f>
        <v>0</v>
      </c>
      <c r="H46" s="30">
        <f>IF(F46=0,0,IF(DaB!K46&gt;0,DaB!K46-MAX(DaB!H46:J46),0))</f>
        <v>0</v>
      </c>
      <c r="I46" s="34">
        <f>IF(K46=0,0,MIN(DaB!$M46:$N46)-SUM($C46:H46))</f>
        <v>0</v>
      </c>
      <c r="J46" s="29">
        <f>IF(K46=0,0,IF(DaB!M46&gt;0,DaB!N46-DaB!M46,0))</f>
        <v>0</v>
      </c>
      <c r="K46" s="33">
        <f>IF(DaB!O46&gt;0,DaB!O46-DaB!N46+1,0)</f>
        <v>0</v>
      </c>
      <c r="L46" s="32">
        <f>IF(K46=0,0,IF(DaB!Q46&gt;0,DaB!Q46-DaB!P46+1,0))</f>
        <v>0</v>
      </c>
      <c r="M46" s="30">
        <f>IF(K46=0,0,IF(DaB!R46&gt;0,DaB!R46-MAX(DaB!O46:Q46),0))</f>
        <v>0</v>
      </c>
      <c r="N46" s="31">
        <f>IF(P46=0,0,MIN(DaB!$T46:$U46)-SUM($C46:M46))</f>
        <v>0</v>
      </c>
      <c r="O46" s="29">
        <f>IF(P46=0,0,IF(DaB!T46&gt;0,DaB!U46-DaB!T46,0))</f>
        <v>0</v>
      </c>
      <c r="P46" s="33">
        <f>IF(DaB!V46&gt;0,DaB!V46-DaB!U46+1,0)</f>
        <v>0</v>
      </c>
      <c r="Q46" s="32">
        <f>IF(P46=0,0,IF(DaB!X46&gt;0,DaB!X46-DaB!W46+1,0))</f>
        <v>0</v>
      </c>
      <c r="R46" s="30">
        <f>IF(P46=0,0,IF(DaB!Y46&gt;0,DaB!Y46-MAX(DaB!V46:X46),0))</f>
        <v>0</v>
      </c>
      <c r="S46" s="34">
        <f>IF(U46=0,0,MIN(DaB!$AA46:$AB46)-SUM($C46:R46))</f>
        <v>0</v>
      </c>
      <c r="T46" s="29">
        <f>IF(U46=0,0,IF(DaB!AA46&gt;0,DaB!AB46-DaB!AA46,0))</f>
        <v>0</v>
      </c>
      <c r="U46" s="33">
        <f>IF(DaB!AC46&gt;0,DaB!AC46-DaB!AB46+1,0)</f>
        <v>0</v>
      </c>
      <c r="V46" s="32">
        <f>IF(U46=0,0,IF(DaB!AE46&gt;0,DaB!AE46-DaB!AD46+1,0))</f>
        <v>0</v>
      </c>
      <c r="W46" s="30">
        <f>IF(U46=0,0,IF(DaB!AF46&gt;0,DaB!AF46-MAX(DaB!AC46:AE46),0))</f>
        <v>0</v>
      </c>
      <c r="X46" s="34">
        <f>IF(Z46=0,0,MIN(DaB!$AH46:$AI46)-SUM($C46:W46))</f>
        <v>0</v>
      </c>
      <c r="Y46" s="29">
        <f>IF(Z46=0,0,IF(DaB!AH46&gt;0,DaB!AI46-DaB!AH46,0))</f>
        <v>0</v>
      </c>
      <c r="Z46" s="33">
        <f>IF(DaB!AJ46&gt;0,DaB!AJ46-DaB!AI46+1,0)</f>
        <v>0</v>
      </c>
      <c r="AA46" s="32">
        <f>IF(Z46=0,0,IF(DaB!AL46&gt;0,DaB!AL46-DaB!AK46+1,0))</f>
        <v>0</v>
      </c>
      <c r="AB46" s="30">
        <f>IF(Z46=0,0,IF(DaB!AM46&gt;0,DaB!AM46-MAX(DaB!AJ46:AL46),0))</f>
        <v>0</v>
      </c>
      <c r="AC46" s="34">
        <f>IF(AE46=0,0,MIN(DaB!$AO46:$AP46)-SUM($C46:AB46))</f>
        <v>0</v>
      </c>
      <c r="AD46" s="29">
        <f>IF(AE46=0,0,IF(DaB!AO46&gt;0,DaB!AP46-DaB!AO46,0))</f>
        <v>0</v>
      </c>
      <c r="AE46" s="33">
        <f>IF(DaB!AQ46&gt;0,DaB!AQ46-DaB!AP46+1,0)</f>
        <v>0</v>
      </c>
      <c r="AF46" s="32">
        <f>IF(AE46=0,0,IF(DaB!AS46&gt;0,DaB!AS46-DaB!AR46+1,0))</f>
        <v>0</v>
      </c>
      <c r="AG46" s="30">
        <f>IF(AE46=0,0,IF(DaB!AT46&gt;0,DaB!AT46-MAX(DaB!AQ46:AS46),0))</f>
        <v>0</v>
      </c>
      <c r="AH46" s="34">
        <f>IF(AJ46=0,0,MIN(DaB!$AV46:$AW46)-SUM($C46:AG46))</f>
        <v>0</v>
      </c>
      <c r="AI46" s="29">
        <f>IF(AJ46=0,0,IF(DaB!AV46&gt;0,DaB!AW46-DaB!AV46,0))</f>
        <v>0</v>
      </c>
      <c r="AJ46" s="33">
        <f>IF(DaB!AX46&gt;0,DaB!AX46-DaB!AW46+1,0)</f>
        <v>0</v>
      </c>
      <c r="AK46" s="32">
        <f>IF(AJ46=0,0,IF(DaB!AZ46&gt;0,DaB!AZ46-DaB!AY46+1,0))</f>
        <v>0</v>
      </c>
      <c r="AL46" s="30">
        <f>IF(AJ46=0,0,IF(DaB!BA46&gt;0,DaB!BA46-MAX(DaB!AX46:AZ46),0))</f>
        <v>0</v>
      </c>
      <c r="AM46" s="34">
        <f>IF(AO46=0,0,MIN(DaB!$BC46:$BD46)-SUM($C46:AL46))</f>
        <v>0</v>
      </c>
      <c r="AN46" s="29">
        <f>IF(AO46=0,0,IF(DaB!BC46&gt;0,DaB!BD46-DaB!BC46,0))</f>
        <v>0</v>
      </c>
      <c r="AO46" s="33">
        <f>IF(DaB!BE46&gt;0,DaB!BE46-DaB!BD46+1,0)</f>
        <v>0</v>
      </c>
      <c r="AP46" s="32">
        <f>IF(AO46=0,0,IF(DaB!BG46&gt;0,DaB!BG46-DaB!BF46+1,0))</f>
        <v>0</v>
      </c>
      <c r="AQ46" s="30">
        <f>IF(AO46=0,0,IF(DaB!BH46&gt;0,DaB!BH46-MAX(DaB!BE46:BG46),0))</f>
        <v>0</v>
      </c>
      <c r="AR46" s="34">
        <f>IF(AT46=0,0,MIN(DaB!$BJ46:$BK46)-SUM($C46:AQ46))</f>
        <v>0</v>
      </c>
      <c r="AS46" s="29">
        <f>IF(AT46=0,0,IF(DaB!BJ46&gt;0,DaB!BK46-DaB!BJ46,0))</f>
        <v>0</v>
      </c>
      <c r="AT46" s="33">
        <f>IF(DaB!BL46&gt;0,DaB!BL46-DaB!BK46+1,0)</f>
        <v>0</v>
      </c>
      <c r="AU46" s="32">
        <f>IF(AT46=0,0,IF(DaB!BN46&gt;0,DaB!BN46-DaB!BM46+1,0))</f>
        <v>0</v>
      </c>
      <c r="AV46" s="30">
        <f>IF(AT46=0,0,IF(DaB!BO46&gt;0,DaB!BO46-MAX(DaB!BL46:BN46),0))</f>
        <v>0</v>
      </c>
      <c r="AW46" s="34">
        <f>IF(AY46=0,0,MIN(DaB!$BQ46:$BR46)-SUM($C46:AV46))</f>
        <v>0</v>
      </c>
      <c r="AX46" s="29">
        <f>IF(AY46=0,0,IF(DaB!BQ46&gt;0,DaB!BR46-DaB!BQ46,0))</f>
        <v>0</v>
      </c>
      <c r="AY46" s="33">
        <f>IF(DaB!BS46&gt;0,DaB!BS46-DaB!BR46+1,0)</f>
        <v>0</v>
      </c>
      <c r="AZ46" s="32">
        <f>IF(AY46=0,0,IF(DaB!BU46&gt;0,DaB!BU46-DaB!BT46+1,0))</f>
        <v>0</v>
      </c>
      <c r="BA46" s="30">
        <f>IF(AY46=0,0,IF(DaB!BV46&gt;0,DaB!BV46-MAX(DaB!BS46:BU46),0))</f>
        <v>0</v>
      </c>
      <c r="BB46" s="34">
        <f>IF(BD46=0,0,MIN(DaB!$BX46:$BY46)-SUM($C46:BA46))</f>
        <v>0</v>
      </c>
      <c r="BC46" s="29">
        <f>IF(BD46=0,0,IF(DaB!BX46&gt;0,DaB!BY46-DaB!BX46,0))</f>
        <v>0</v>
      </c>
      <c r="BD46" s="33">
        <f>IF(DaB!BZ46&gt;0,DaB!BZ46-DaB!BY46+1,0)</f>
        <v>0</v>
      </c>
      <c r="BE46" s="32">
        <f>IF(BD46=0,0,IF(DaB!CB46&gt;0,DaB!CB46-DaB!CA46+1,0))</f>
        <v>0</v>
      </c>
      <c r="BF46" s="30">
        <f>IF(BD46=0,0,IF(DaB!CC46&gt;0,DaB!CC46-MAX(DaB!BZ46:CB46),0))</f>
        <v>0</v>
      </c>
      <c r="BG46" s="34">
        <f>IF(BI46=0,0,MIN(DaB!$CE46:$CF46)-SUM($C46:BF46))</f>
        <v>0</v>
      </c>
      <c r="BH46" s="29">
        <f>IF(BI46=0,0,IF(DaB!CE46&gt;0,DaB!CF46-DaB!CE46,0))</f>
        <v>0</v>
      </c>
      <c r="BI46" s="33">
        <f>IF(DaB!CG46&gt;0,DaB!CG46-DaB!CF46+1,0)</f>
        <v>0</v>
      </c>
      <c r="BJ46" s="32">
        <f>IF(BI46=0,0,IF(DaB!CI46&gt;0,DaB!CI46-DaB!CH46+1,0))</f>
        <v>0</v>
      </c>
      <c r="BK46" s="30">
        <f>IF(BI46=0,0,IF(DaB!CJ46&gt;0,DaB!CJ46-MAX(DaB!CG46:CI46),0))</f>
        <v>0</v>
      </c>
      <c r="BL46" s="34">
        <f>IF(BN46=0,0,MIN(DaB!$CL46:$CM46)-SUM($C46:BK46))</f>
        <v>0</v>
      </c>
      <c r="BM46" s="29">
        <f>IF(BN46=0,0,IF(DaB!CL46&gt;0,DaB!CM46-DaB!CL46,0))</f>
        <v>0</v>
      </c>
      <c r="BN46" s="33">
        <f>IF(DaB!CN46&gt;0,DaB!CN46-DaB!CM46+1,0)</f>
        <v>0</v>
      </c>
      <c r="BO46" s="32">
        <f>IF(BN46=0,0,IF(DaB!CP46&gt;0,DaB!CP46-DaB!CO46+1,0))</f>
        <v>0</v>
      </c>
      <c r="BP46" s="30">
        <f>IF(BN46=0,0,IF(DaB!CQ46&gt;0,DaB!CQ46-MAX(DaB!CN46:CP46),0))</f>
        <v>0</v>
      </c>
      <c r="BQ46" s="34">
        <f>IF(BS46=0,0,MIN(DaB!$CS46:$CT46)-SUM($C46:BP46))</f>
        <v>0</v>
      </c>
      <c r="BR46" s="29">
        <f>IF(BS46=0,0,IF(DaB!CS46&gt;0,DaB!CT46-DaB!CS46,0))</f>
        <v>0</v>
      </c>
      <c r="BS46" s="33">
        <f>IF(DaB!CU46&gt;0,DaB!CU46-DaB!CT46+1,0)</f>
        <v>0</v>
      </c>
      <c r="BT46" s="32">
        <f>IF(BS46=0,0,IF(DaB!CW46&gt;0,DaB!CW46-DaB!CV46+1,0))</f>
        <v>0</v>
      </c>
      <c r="BU46" s="30">
        <f>IF(BS46=0,0,IF(DaB!CX46&gt;0,DaB!CX46-MAX(DaB!CU46:CW46),0))</f>
        <v>0</v>
      </c>
      <c r="BV46" s="34">
        <f>IF(BX46=0,0,MIN(DaB!$CZ46:$DA46)-SUM($C46:BU46))</f>
        <v>0</v>
      </c>
      <c r="BW46" s="29">
        <f>IF(BX46=0,0,IF(DaB!CZ46&gt;0,DaB!DA46-DaB!CZ46,0))</f>
        <v>0</v>
      </c>
      <c r="BX46" s="33">
        <f>IF(DaB!DB46&gt;0,DaB!DB46-DaB!DA46+1,0)</f>
        <v>0</v>
      </c>
      <c r="BY46" s="32">
        <f>IF(BX46=0,0,IF(DaB!DD46&gt;0,DaB!DD46-DaB!DC46+1,0))</f>
        <v>0</v>
      </c>
      <c r="BZ46" s="30">
        <f>IF(BX46=0,0,IF(DaB!DE46&gt;0,DaB!DE46-MAX(DaB!DB46:DD46),0))</f>
        <v>0</v>
      </c>
      <c r="CA46" s="34">
        <f>IF(CC46=0,0,MIN(DaB!$DG46:$DH46)-SUM($C46:BZ46))</f>
        <v>0</v>
      </c>
      <c r="CB46" s="29">
        <f>IF(CC46=0,0,IF(DaB!DG46&gt;0,DaB!DH46-DaB!DG46,0))</f>
        <v>0</v>
      </c>
      <c r="CC46" s="33">
        <f>IF(DaB!DI46&gt;0,DaB!DI46-DaB!DH46+1,0)</f>
        <v>0</v>
      </c>
      <c r="CD46" s="32">
        <f>IF(CC46=0,0,IF(DaB!DK46&gt;0,DaB!DK46-DaB!DJ46+1,0))</f>
        <v>0</v>
      </c>
      <c r="CE46" s="30">
        <f>IF(CC46=0,0,IF(DaB!DL46&gt;0,DaB!DL46-MAX(DaB!DI46:DK46),0))</f>
        <v>0</v>
      </c>
      <c r="CF46" s="34">
        <f>IF(CH46=0,0,MIN(DaB!$DN46:$DO46)-SUM($C46:CE46))</f>
        <v>0</v>
      </c>
      <c r="CG46" s="29">
        <f>IF(CH46=0,0,IF(DaB!DN46&gt;0,DaB!DO46-DaB!DN46,0))</f>
        <v>0</v>
      </c>
      <c r="CH46" s="33">
        <f>IF(DaB!DP46&gt;0,DaB!DP46-DaB!DO46+1,0)</f>
        <v>0</v>
      </c>
      <c r="CI46" s="32">
        <f>IF(CH46=0,0,IF(DaB!DR46&gt;0,DaB!DR46-DaB!DQ46+1,0))</f>
        <v>0</v>
      </c>
      <c r="CJ46" s="30">
        <f>IF(CH46=0,0,IF(DaB!DS46&gt;0,DaB!DS46-MAX(DaB!DP46:DR46),0))</f>
        <v>0</v>
      </c>
      <c r="CK46" s="34">
        <f>IF(CM46=0,0,MIN(DaB!$DU46:$DV46)-SUM($C46:CJ46))</f>
        <v>0</v>
      </c>
      <c r="CL46" s="29">
        <f>IF(CM46=0,0,IF(DaB!DU46&gt;0,DaB!DV46-DaB!DU46,0))</f>
        <v>0</v>
      </c>
      <c r="CM46" s="33">
        <f>IF(DaB!DW46&gt;0,DaB!DW46-DaB!DV46+1,0)</f>
        <v>0</v>
      </c>
      <c r="CN46" s="32">
        <f>IF(CM46=0,0,IF(DaB!DY46&gt;0,DaB!DY46-DaB!DX46+1,0))</f>
        <v>0</v>
      </c>
      <c r="CO46" s="30">
        <f>IF(CM46=0,0,IF(DaB!DZ46&gt;0,DaB!DZ46-MAX(DaB!DW46:DY46),0))</f>
        <v>0</v>
      </c>
      <c r="CP46" s="34">
        <f>IF(CR46=0,0,MIN(DaB!$EB46:$EC46)-SUM($C46:CO46))</f>
        <v>0</v>
      </c>
      <c r="CQ46" s="29">
        <f>IF(CR46=0,0,IF(DaB!EB46&gt;0,DaB!EC46-DaB!EB46,0))</f>
        <v>0</v>
      </c>
      <c r="CR46" s="33">
        <f>IF(DaB!ED46&gt;0,DaB!ED46-DaB!EC46+1,0)</f>
        <v>0</v>
      </c>
      <c r="CS46" s="32">
        <f>IF(CR46=0,0,IF(DaB!EF46&gt;0,DaB!EF46-DaB!EE46+1,0))</f>
        <v>0</v>
      </c>
      <c r="CT46" s="30">
        <f>IF(CR46=0,0,IF(DaB!EG46&gt;0,DaB!EG46-MAX(DaB!ED46:EF46),0))</f>
        <v>0</v>
      </c>
      <c r="CU46" s="34">
        <f>IF(CW46=0,0,MIN(DaB!$EI46:$EJ46)-SUM($C46:CT46))</f>
        <v>0</v>
      </c>
      <c r="CV46" s="29">
        <f>IF(CW46=0,0,IF(DaB!EI46&gt;0,DaB!EJ46-DaB!EI46,0))</f>
        <v>0</v>
      </c>
      <c r="CW46" s="33">
        <f>IF(DaB!EK46&gt;0,DaB!EK46-DaB!EJ46+1,0)</f>
        <v>0</v>
      </c>
      <c r="CX46" s="32">
        <f>IF(CW46=0,0,IF(DaB!EM46&gt;0,DaB!EM46-DaB!EL46+1,0))</f>
        <v>0</v>
      </c>
      <c r="CY46" s="30">
        <f>IF(CW46=0,0,IF(DaB!EN46&gt;0,DaB!EN46-MAX(DaB!EK46:EM46),0))</f>
        <v>0</v>
      </c>
      <c r="DF46" s="2">
        <f t="shared" si="4"/>
        <v>45474</v>
      </c>
      <c r="DG46" s="28"/>
      <c r="DH46" s="29"/>
      <c r="DI46" s="10"/>
      <c r="DJ46" s="10"/>
      <c r="DK46" s="11"/>
      <c r="DL46" s="11"/>
      <c r="DM46" s="30"/>
      <c r="DN46" s="28"/>
      <c r="DO46" s="29"/>
      <c r="DP46" s="10"/>
      <c r="DQ46" s="10"/>
      <c r="DR46" s="11"/>
      <c r="DS46" s="11"/>
      <c r="DT46" s="30"/>
      <c r="DU46" s="28"/>
      <c r="DV46" s="29"/>
      <c r="DW46" s="10"/>
      <c r="DX46" s="10"/>
      <c r="DY46" s="11"/>
      <c r="DZ46" s="11"/>
      <c r="EA46" s="30"/>
      <c r="EB46" s="28"/>
      <c r="EC46" s="29"/>
      <c r="ED46" s="10"/>
      <c r="EE46" s="10"/>
      <c r="EF46" s="11"/>
      <c r="EG46" s="11"/>
      <c r="EH46" s="30"/>
      <c r="EI46" s="34"/>
      <c r="EJ46" s="29"/>
      <c r="EK46" s="10"/>
      <c r="EL46" s="10"/>
      <c r="EM46" s="30"/>
      <c r="EN46" s="34"/>
      <c r="EO46" s="29"/>
      <c r="EP46" s="47"/>
      <c r="EQ46" s="47"/>
      <c r="ER46" s="30"/>
      <c r="ES46" s="34"/>
      <c r="ET46" s="29"/>
      <c r="EU46" s="47"/>
      <c r="EV46" s="47"/>
      <c r="EW46" s="30"/>
    </row>
    <row r="47" spans="1:153" x14ac:dyDescent="0.2">
      <c r="A47" s="2" t="str">
        <f>DaB!A47</f>
        <v>Calendar 21</v>
      </c>
      <c r="B47" s="2" t="str">
        <f t="shared" si="3"/>
        <v>.</v>
      </c>
      <c r="C47" s="27">
        <f t="shared" si="1"/>
        <v>45474</v>
      </c>
      <c r="D47" s="34">
        <f>IFERROR(MIN(DaB!F47:K47)-C47,0)</f>
        <v>-45474</v>
      </c>
      <c r="E47" s="29">
        <f>IF(F47=0,0,IF(DaB!F47&gt;0,DaB!G47-DaB!F47,0))</f>
        <v>0</v>
      </c>
      <c r="F47" s="33">
        <f>IF(DaB!G47&gt;MAX(DaB!EV47,DaB!FJ47),DaB!H47-DaB!G47+1,
IF(DaB!H47&gt;0,DaB!H47-DaB!G47,0))</f>
        <v>0</v>
      </c>
      <c r="G47" s="32">
        <f>IF(F47=0,0,IF(DaB!J47&gt;0,DaB!J47-DaB!I47+1,0))</f>
        <v>0</v>
      </c>
      <c r="H47" s="30">
        <f>IF(F47=0,0,IF(DaB!K47&gt;0,DaB!K47-MAX(DaB!H47:J47),0))</f>
        <v>0</v>
      </c>
      <c r="I47" s="34">
        <f>IF(K47=0,0,MIN(DaB!$M47:$N47)-SUM($C47:H47))</f>
        <v>0</v>
      </c>
      <c r="J47" s="29">
        <f>IF(K47=0,0,IF(DaB!M47&gt;0,DaB!N47-DaB!M47,0))</f>
        <v>0</v>
      </c>
      <c r="K47" s="33">
        <f>IF(DaB!O47&gt;0,DaB!O47-DaB!N47+1,0)</f>
        <v>0</v>
      </c>
      <c r="L47" s="32">
        <f>IF(K47=0,0,IF(DaB!Q47&gt;0,DaB!Q47-DaB!P47+1,0))</f>
        <v>0</v>
      </c>
      <c r="M47" s="30">
        <f>IF(K47=0,0,IF(DaB!R47&gt;0,DaB!R47-MAX(DaB!O47:Q47),0))</f>
        <v>0</v>
      </c>
      <c r="N47" s="31">
        <f>IF(P47=0,0,MIN(DaB!$T47:$U47)-SUM($C47:M47))</f>
        <v>0</v>
      </c>
      <c r="O47" s="29">
        <f>IF(P47=0,0,IF(DaB!T47&gt;0,DaB!U47-DaB!T47,0))</f>
        <v>0</v>
      </c>
      <c r="P47" s="33">
        <f>IF(DaB!V47&gt;0,DaB!V47-DaB!U47+1,0)</f>
        <v>0</v>
      </c>
      <c r="Q47" s="32">
        <f>IF(P47=0,0,IF(DaB!X47&gt;0,DaB!X47-DaB!W47+1,0))</f>
        <v>0</v>
      </c>
      <c r="R47" s="30">
        <f>IF(P47=0,0,IF(DaB!Y47&gt;0,DaB!Y47-MAX(DaB!V47:X47),0))</f>
        <v>0</v>
      </c>
      <c r="S47" s="34">
        <f>IF(U47=0,0,MIN(DaB!$AA47:$AB47)-SUM($C47:R47))</f>
        <v>0</v>
      </c>
      <c r="T47" s="29">
        <f>IF(U47=0,0,IF(DaB!AA47&gt;0,DaB!AB47-DaB!AA47,0))</f>
        <v>0</v>
      </c>
      <c r="U47" s="33">
        <f>IF(DaB!AC47&gt;0,DaB!AC47-DaB!AB47+1,0)</f>
        <v>0</v>
      </c>
      <c r="V47" s="32">
        <f>IF(U47=0,0,IF(DaB!AE47&gt;0,DaB!AE47-DaB!AD47+1,0))</f>
        <v>0</v>
      </c>
      <c r="W47" s="30">
        <f>IF(U47=0,0,IF(DaB!AF47&gt;0,DaB!AF47-MAX(DaB!AC47:AE47),0))</f>
        <v>0</v>
      </c>
      <c r="X47" s="34">
        <f>IF(Z47=0,0,MIN(DaB!$AH47:$AI47)-SUM($C47:W47))</f>
        <v>0</v>
      </c>
      <c r="Y47" s="29">
        <f>IF(Z47=0,0,IF(DaB!AH47&gt;0,DaB!AI47-DaB!AH47,0))</f>
        <v>0</v>
      </c>
      <c r="Z47" s="33">
        <f>IF(DaB!AJ47&gt;0,DaB!AJ47-DaB!AI47+1,0)</f>
        <v>0</v>
      </c>
      <c r="AA47" s="32">
        <f>IF(Z47=0,0,IF(DaB!AL47&gt;0,DaB!AL47-DaB!AK47+1,0))</f>
        <v>0</v>
      </c>
      <c r="AB47" s="30">
        <f>IF(Z47=0,0,IF(DaB!AM47&gt;0,DaB!AM47-MAX(DaB!AJ47:AL47),0))</f>
        <v>0</v>
      </c>
      <c r="AC47" s="34">
        <f>IF(AE47=0,0,MIN(DaB!$AO47:$AP47)-SUM($C47:AB47))</f>
        <v>0</v>
      </c>
      <c r="AD47" s="29">
        <f>IF(AE47=0,0,IF(DaB!AO47&gt;0,DaB!AP47-DaB!AO47,0))</f>
        <v>0</v>
      </c>
      <c r="AE47" s="33">
        <f>IF(DaB!AQ47&gt;0,DaB!AQ47-DaB!AP47+1,0)</f>
        <v>0</v>
      </c>
      <c r="AF47" s="32">
        <f>IF(AE47=0,0,IF(DaB!AS47&gt;0,DaB!AS47-DaB!AR47+1,0))</f>
        <v>0</v>
      </c>
      <c r="AG47" s="30">
        <f>IF(AE47=0,0,IF(DaB!AT47&gt;0,DaB!AT47-MAX(DaB!AQ47:AS47),0))</f>
        <v>0</v>
      </c>
      <c r="AH47" s="34">
        <f>IF(AJ47=0,0,MIN(DaB!$AV47:$AW47)-SUM($C47:AG47))</f>
        <v>0</v>
      </c>
      <c r="AI47" s="29">
        <f>IF(AJ47=0,0,IF(DaB!AV47&gt;0,DaB!AW47-DaB!AV47,0))</f>
        <v>0</v>
      </c>
      <c r="AJ47" s="33">
        <f>IF(DaB!AX47&gt;0,DaB!AX47-DaB!AW47+1,0)</f>
        <v>0</v>
      </c>
      <c r="AK47" s="32">
        <f>IF(AJ47=0,0,IF(DaB!AZ47&gt;0,DaB!AZ47-DaB!AY47+1,0))</f>
        <v>0</v>
      </c>
      <c r="AL47" s="30">
        <f>IF(AJ47=0,0,IF(DaB!BA47&gt;0,DaB!BA47-MAX(DaB!AX47:AZ47),0))</f>
        <v>0</v>
      </c>
      <c r="AM47" s="34">
        <f>IF(AO47=0,0,MIN(DaB!$BC47:$BD47)-SUM($C47:AL47))</f>
        <v>0</v>
      </c>
      <c r="AN47" s="29">
        <f>IF(AO47=0,0,IF(DaB!BC47&gt;0,DaB!BD47-DaB!BC47,0))</f>
        <v>0</v>
      </c>
      <c r="AO47" s="33">
        <f>IF(DaB!BE47&gt;0,DaB!BE47-DaB!BD47+1,0)</f>
        <v>0</v>
      </c>
      <c r="AP47" s="32">
        <f>IF(AO47=0,0,IF(DaB!BG47&gt;0,DaB!BG47-DaB!BF47+1,0))</f>
        <v>0</v>
      </c>
      <c r="AQ47" s="30">
        <f>IF(AO47=0,0,IF(DaB!BH47&gt;0,DaB!BH47-MAX(DaB!BE47:BG47),0))</f>
        <v>0</v>
      </c>
      <c r="AR47" s="34">
        <f>IF(AT47=0,0,MIN(DaB!$BJ47:$BK47)-SUM($C47:AQ47))</f>
        <v>0</v>
      </c>
      <c r="AS47" s="29">
        <f>IF(AT47=0,0,IF(DaB!BJ47&gt;0,DaB!BK47-DaB!BJ47,0))</f>
        <v>0</v>
      </c>
      <c r="AT47" s="33">
        <f>IF(DaB!BL47&gt;0,DaB!BL47-DaB!BK47+1,0)</f>
        <v>0</v>
      </c>
      <c r="AU47" s="32">
        <f>IF(AT47=0,0,IF(DaB!BN47&gt;0,DaB!BN47-DaB!BM47+1,0))</f>
        <v>0</v>
      </c>
      <c r="AV47" s="30">
        <f>IF(AT47=0,0,IF(DaB!BO47&gt;0,DaB!BO47-MAX(DaB!BL47:BN47),0))</f>
        <v>0</v>
      </c>
      <c r="AW47" s="34">
        <f>IF(AY47=0,0,MIN(DaB!$BQ47:$BR47)-SUM($C47:AV47))</f>
        <v>0</v>
      </c>
      <c r="AX47" s="29">
        <f>IF(AY47=0,0,IF(DaB!BQ47&gt;0,DaB!BR47-DaB!BQ47,0))</f>
        <v>0</v>
      </c>
      <c r="AY47" s="33">
        <f>IF(DaB!BS47&gt;0,DaB!BS47-DaB!BR47+1,0)</f>
        <v>0</v>
      </c>
      <c r="AZ47" s="32">
        <f>IF(AY47=0,0,IF(DaB!BU47&gt;0,DaB!BU47-DaB!BT47+1,0))</f>
        <v>0</v>
      </c>
      <c r="BA47" s="30">
        <f>IF(AY47=0,0,IF(DaB!BV47&gt;0,DaB!BV47-MAX(DaB!BS47:BU47),0))</f>
        <v>0</v>
      </c>
      <c r="BB47" s="34">
        <f>IF(BD47=0,0,MIN(DaB!$BX47:$BY47)-SUM($C47:BA47))</f>
        <v>0</v>
      </c>
      <c r="BC47" s="29">
        <f>IF(BD47=0,0,IF(DaB!BX47&gt;0,DaB!BY47-DaB!BX47,0))</f>
        <v>0</v>
      </c>
      <c r="BD47" s="33">
        <f>IF(DaB!BZ47&gt;0,DaB!BZ47-DaB!BY47+1,0)</f>
        <v>0</v>
      </c>
      <c r="BE47" s="32">
        <f>IF(BD47=0,0,IF(DaB!CB47&gt;0,DaB!CB47-DaB!CA47+1,0))</f>
        <v>0</v>
      </c>
      <c r="BF47" s="30">
        <f>IF(BD47=0,0,IF(DaB!CC47&gt;0,DaB!CC47-MAX(DaB!BZ47:CB47),0))</f>
        <v>0</v>
      </c>
      <c r="BG47" s="34">
        <f>IF(BI47=0,0,MIN(DaB!$CE47:$CF47)-SUM($C47:BF47))</f>
        <v>0</v>
      </c>
      <c r="BH47" s="29">
        <f>IF(BI47=0,0,IF(DaB!CE47&gt;0,DaB!CF47-DaB!CE47,0))</f>
        <v>0</v>
      </c>
      <c r="BI47" s="33">
        <f>IF(DaB!CG47&gt;0,DaB!CG47-DaB!CF47+1,0)</f>
        <v>0</v>
      </c>
      <c r="BJ47" s="32">
        <f>IF(BI47=0,0,IF(DaB!CI47&gt;0,DaB!CI47-DaB!CH47+1,0))</f>
        <v>0</v>
      </c>
      <c r="BK47" s="30">
        <f>IF(BI47=0,0,IF(DaB!CJ47&gt;0,DaB!CJ47-MAX(DaB!CG47:CI47),0))</f>
        <v>0</v>
      </c>
      <c r="BL47" s="34">
        <f>IF(BN47=0,0,MIN(DaB!$CL47:$CM47)-SUM($C47:BK47))</f>
        <v>0</v>
      </c>
      <c r="BM47" s="29">
        <f>IF(BN47=0,0,IF(DaB!CL47&gt;0,DaB!CM47-DaB!CL47,0))</f>
        <v>0</v>
      </c>
      <c r="BN47" s="33">
        <f>IF(DaB!CN47&gt;0,DaB!CN47-DaB!CM47+1,0)</f>
        <v>0</v>
      </c>
      <c r="BO47" s="32">
        <f>IF(BN47=0,0,IF(DaB!CP47&gt;0,DaB!CP47-DaB!CO47+1,0))</f>
        <v>0</v>
      </c>
      <c r="BP47" s="30">
        <f>IF(BN47=0,0,IF(DaB!CQ47&gt;0,DaB!CQ47-MAX(DaB!CN47:CP47),0))</f>
        <v>0</v>
      </c>
      <c r="BQ47" s="34">
        <f>IF(BS47=0,0,MIN(DaB!$CS47:$CT47)-SUM($C47:BP47))</f>
        <v>0</v>
      </c>
      <c r="BR47" s="29">
        <f>IF(BS47=0,0,IF(DaB!CS47&gt;0,DaB!CT47-DaB!CS47,0))</f>
        <v>0</v>
      </c>
      <c r="BS47" s="33">
        <f>IF(DaB!CU47&gt;0,DaB!CU47-DaB!CT47+1,0)</f>
        <v>0</v>
      </c>
      <c r="BT47" s="32">
        <f>IF(BS47=0,0,IF(DaB!CW47&gt;0,DaB!CW47-DaB!CV47+1,0))</f>
        <v>0</v>
      </c>
      <c r="BU47" s="30">
        <f>IF(BS47=0,0,IF(DaB!CX47&gt;0,DaB!CX47-MAX(DaB!CU47:CW47),0))</f>
        <v>0</v>
      </c>
      <c r="BV47" s="34">
        <f>IF(BX47=0,0,MIN(DaB!$CZ47:$DA47)-SUM($C47:BU47))</f>
        <v>0</v>
      </c>
      <c r="BW47" s="29">
        <f>IF(BX47=0,0,IF(DaB!CZ47&gt;0,DaB!DA47-DaB!CZ47,0))</f>
        <v>0</v>
      </c>
      <c r="BX47" s="33">
        <f>IF(DaB!DB47&gt;0,DaB!DB47-DaB!DA47+1,0)</f>
        <v>0</v>
      </c>
      <c r="BY47" s="32">
        <f>IF(BX47=0,0,IF(DaB!DD47&gt;0,DaB!DD47-DaB!DC47+1,0))</f>
        <v>0</v>
      </c>
      <c r="BZ47" s="30">
        <f>IF(BX47=0,0,IF(DaB!DE47&gt;0,DaB!DE47-MAX(DaB!DB47:DD47),0))</f>
        <v>0</v>
      </c>
      <c r="CA47" s="34">
        <f>IF(CC47=0,0,MIN(DaB!$DG47:$DH47)-SUM($C47:BZ47))</f>
        <v>0</v>
      </c>
      <c r="CB47" s="29">
        <f>IF(CC47=0,0,IF(DaB!DG47&gt;0,DaB!DH47-DaB!DG47,0))</f>
        <v>0</v>
      </c>
      <c r="CC47" s="33">
        <f>IF(DaB!DI47&gt;0,DaB!DI47-DaB!DH47+1,0)</f>
        <v>0</v>
      </c>
      <c r="CD47" s="32">
        <f>IF(CC47=0,0,IF(DaB!DK47&gt;0,DaB!DK47-DaB!DJ47+1,0))</f>
        <v>0</v>
      </c>
      <c r="CE47" s="30">
        <f>IF(CC47=0,0,IF(DaB!DL47&gt;0,DaB!DL47-MAX(DaB!DI47:DK47),0))</f>
        <v>0</v>
      </c>
      <c r="CF47" s="34">
        <f>IF(CH47=0,0,MIN(DaB!$DN47:$DO47)-SUM($C47:CE47))</f>
        <v>0</v>
      </c>
      <c r="CG47" s="29">
        <f>IF(CH47=0,0,IF(DaB!DN47&gt;0,DaB!DO47-DaB!DN47,0))</f>
        <v>0</v>
      </c>
      <c r="CH47" s="33">
        <f>IF(DaB!DP47&gt;0,DaB!DP47-DaB!DO47+1,0)</f>
        <v>0</v>
      </c>
      <c r="CI47" s="32">
        <f>IF(CH47=0,0,IF(DaB!DR47&gt;0,DaB!DR47-DaB!DQ47+1,0))</f>
        <v>0</v>
      </c>
      <c r="CJ47" s="30">
        <f>IF(CH47=0,0,IF(DaB!DS47&gt;0,DaB!DS47-MAX(DaB!DP47:DR47),0))</f>
        <v>0</v>
      </c>
      <c r="CK47" s="34">
        <f>IF(CM47=0,0,MIN(DaB!$DU47:$DV47)-SUM($C47:CJ47))</f>
        <v>0</v>
      </c>
      <c r="CL47" s="29">
        <f>IF(CM47=0,0,IF(DaB!DU47&gt;0,DaB!DV47-DaB!DU47,0))</f>
        <v>0</v>
      </c>
      <c r="CM47" s="33">
        <f>IF(DaB!DW47&gt;0,DaB!DW47-DaB!DV47+1,0)</f>
        <v>0</v>
      </c>
      <c r="CN47" s="32">
        <f>IF(CM47=0,0,IF(DaB!DY47&gt;0,DaB!DY47-DaB!DX47+1,0))</f>
        <v>0</v>
      </c>
      <c r="CO47" s="30">
        <f>IF(CM47=0,0,IF(DaB!DZ47&gt;0,DaB!DZ47-MAX(DaB!DW47:DY47),0))</f>
        <v>0</v>
      </c>
      <c r="CP47" s="34">
        <f>IF(CR47=0,0,MIN(DaB!$EB47:$EC47)-SUM($C47:CO47))</f>
        <v>0</v>
      </c>
      <c r="CQ47" s="29">
        <f>IF(CR47=0,0,IF(DaB!EB47&gt;0,DaB!EC47-DaB!EB47,0))</f>
        <v>0</v>
      </c>
      <c r="CR47" s="33">
        <f>IF(DaB!ED47&gt;0,DaB!ED47-DaB!EC47+1,0)</f>
        <v>0</v>
      </c>
      <c r="CS47" s="32">
        <f>IF(CR47=0,0,IF(DaB!EF47&gt;0,DaB!EF47-DaB!EE47+1,0))</f>
        <v>0</v>
      </c>
      <c r="CT47" s="30">
        <f>IF(CR47=0,0,IF(DaB!EG47&gt;0,DaB!EG47-MAX(DaB!ED47:EF47),0))</f>
        <v>0</v>
      </c>
      <c r="CU47" s="34">
        <f>IF(CW47=0,0,MIN(DaB!$EI47:$EJ47)-SUM($C47:CT47))</f>
        <v>0</v>
      </c>
      <c r="CV47" s="29">
        <f>IF(CW47=0,0,IF(DaB!EI47&gt;0,DaB!EJ47-DaB!EI47,0))</f>
        <v>0</v>
      </c>
      <c r="CW47" s="33">
        <f>IF(DaB!EK47&gt;0,DaB!EK47-DaB!EJ47+1,0)</f>
        <v>0</v>
      </c>
      <c r="CX47" s="32">
        <f>IF(CW47=0,0,IF(DaB!EM47&gt;0,DaB!EM47-DaB!EL47+1,0))</f>
        <v>0</v>
      </c>
      <c r="CY47" s="30">
        <f>IF(CW47=0,0,IF(DaB!EN47&gt;0,DaB!EN47-MAX(DaB!EK47:EM47),0))</f>
        <v>0</v>
      </c>
      <c r="DF47" s="2">
        <f t="shared" si="4"/>
        <v>45474</v>
      </c>
      <c r="DG47" s="28"/>
      <c r="DH47" s="29"/>
      <c r="DI47" s="10"/>
      <c r="DJ47" s="10"/>
      <c r="DK47" s="11"/>
      <c r="DL47" s="11"/>
      <c r="DM47" s="30"/>
      <c r="DN47" s="28"/>
      <c r="DO47" s="29"/>
      <c r="DP47" s="10"/>
      <c r="DQ47" s="10"/>
      <c r="DR47" s="11"/>
      <c r="DS47" s="11"/>
      <c r="DT47" s="30"/>
      <c r="DU47" s="28"/>
      <c r="DV47" s="29"/>
      <c r="DW47" s="10"/>
      <c r="DX47" s="10"/>
      <c r="DY47" s="11"/>
      <c r="DZ47" s="11"/>
      <c r="EA47" s="30"/>
      <c r="EB47" s="28"/>
      <c r="EC47" s="29"/>
      <c r="ED47" s="10"/>
      <c r="EE47" s="10"/>
      <c r="EF47" s="11"/>
      <c r="EG47" s="11"/>
      <c r="EH47" s="30"/>
      <c r="EI47" s="34"/>
      <c r="EJ47" s="29"/>
      <c r="EK47" s="10"/>
      <c r="EL47" s="10"/>
      <c r="EM47" s="30"/>
      <c r="EN47" s="34"/>
      <c r="EO47" s="29"/>
      <c r="EP47" s="47"/>
      <c r="EQ47" s="47"/>
      <c r="ER47" s="30"/>
      <c r="ES47" s="34"/>
      <c r="ET47" s="29"/>
      <c r="EU47" s="47"/>
      <c r="EV47" s="47"/>
      <c r="EW47" s="30"/>
    </row>
    <row r="48" spans="1:153" x14ac:dyDescent="0.2">
      <c r="A48" s="2" t="str">
        <f>DaB!A48</f>
        <v>Calendar 22</v>
      </c>
      <c r="B48" s="2" t="str">
        <f t="shared" si="3"/>
        <v>.</v>
      </c>
      <c r="C48" s="27">
        <f t="shared" si="1"/>
        <v>45474</v>
      </c>
      <c r="D48" s="34">
        <f>IFERROR(MIN(DaB!F48:K48)-C48,0)</f>
        <v>-45474</v>
      </c>
      <c r="E48" s="29">
        <f>IF(F48=0,0,IF(DaB!F48&gt;0,DaB!G48-DaB!F48,0))</f>
        <v>0</v>
      </c>
      <c r="F48" s="33">
        <f>IF(DaB!G48&gt;MAX(DaB!EV48,DaB!FJ48),DaB!H48-DaB!G48+1,
IF(DaB!H48&gt;0,DaB!H48-DaB!G48,0))</f>
        <v>0</v>
      </c>
      <c r="G48" s="32">
        <f>IF(F48=0,0,IF(DaB!J48&gt;0,DaB!J48-DaB!I48+1,0))</f>
        <v>0</v>
      </c>
      <c r="H48" s="30">
        <f>IF(F48=0,0,IF(DaB!K48&gt;0,DaB!K48-MAX(DaB!H48:J48),0))</f>
        <v>0</v>
      </c>
      <c r="I48" s="34">
        <f>IF(K48=0,0,MIN(DaB!$M48:$N48)-SUM($C48:H48))</f>
        <v>0</v>
      </c>
      <c r="J48" s="29">
        <f>IF(K48=0,0,IF(DaB!M48&gt;0,DaB!N48-DaB!M48,0))</f>
        <v>0</v>
      </c>
      <c r="K48" s="33">
        <f>IF(DaB!O48&gt;0,DaB!O48-DaB!N48+1,0)</f>
        <v>0</v>
      </c>
      <c r="L48" s="32">
        <f>IF(K48=0,0,IF(DaB!Q48&gt;0,DaB!Q48-DaB!P48+1,0))</f>
        <v>0</v>
      </c>
      <c r="M48" s="30">
        <f>IF(K48=0,0,IF(DaB!R48&gt;0,DaB!R48-MAX(DaB!O48:Q48),0))</f>
        <v>0</v>
      </c>
      <c r="N48" s="31">
        <f>IF(P48=0,0,MIN(DaB!$T48:$U48)-SUM($C48:M48))</f>
        <v>0</v>
      </c>
      <c r="O48" s="29">
        <f>IF(P48=0,0,IF(DaB!T48&gt;0,DaB!U48-DaB!T48,0))</f>
        <v>0</v>
      </c>
      <c r="P48" s="33">
        <f>IF(DaB!V48&gt;0,DaB!V48-DaB!U48+1,0)</f>
        <v>0</v>
      </c>
      <c r="Q48" s="32">
        <f>IF(P48=0,0,IF(DaB!X48&gt;0,DaB!X48-DaB!W48+1,0))</f>
        <v>0</v>
      </c>
      <c r="R48" s="30">
        <f>IF(P48=0,0,IF(DaB!Y48&gt;0,DaB!Y48-MAX(DaB!V48:X48),0))</f>
        <v>0</v>
      </c>
      <c r="S48" s="34">
        <f>IF(U48=0,0,MIN(DaB!$AA48:$AB48)-SUM($C48:R48))</f>
        <v>0</v>
      </c>
      <c r="T48" s="29">
        <f>IF(U48=0,0,IF(DaB!AA48&gt;0,DaB!AB48-DaB!AA48,0))</f>
        <v>0</v>
      </c>
      <c r="U48" s="33">
        <f>IF(DaB!AC48&gt;0,DaB!AC48-DaB!AB48+1,0)</f>
        <v>0</v>
      </c>
      <c r="V48" s="32">
        <f>IF(U48=0,0,IF(DaB!AE48&gt;0,DaB!AE48-DaB!AD48+1,0))</f>
        <v>0</v>
      </c>
      <c r="W48" s="30">
        <f>IF(U48=0,0,IF(DaB!AF48&gt;0,DaB!AF48-MAX(DaB!AC48:AE48),0))</f>
        <v>0</v>
      </c>
      <c r="X48" s="34">
        <f>IF(Z48=0,0,MIN(DaB!$AH48:$AI48)-SUM($C48:W48))</f>
        <v>0</v>
      </c>
      <c r="Y48" s="29">
        <f>IF(Z48=0,0,IF(DaB!AH48&gt;0,DaB!AI48-DaB!AH48,0))</f>
        <v>0</v>
      </c>
      <c r="Z48" s="33">
        <f>IF(DaB!AJ48&gt;0,DaB!AJ48-DaB!AI48+1,0)</f>
        <v>0</v>
      </c>
      <c r="AA48" s="32">
        <f>IF(Z48=0,0,IF(DaB!AL48&gt;0,DaB!AL48-DaB!AK48+1,0))</f>
        <v>0</v>
      </c>
      <c r="AB48" s="30">
        <f>IF(Z48=0,0,IF(DaB!AM48&gt;0,DaB!AM48-MAX(DaB!AJ48:AL48),0))</f>
        <v>0</v>
      </c>
      <c r="AC48" s="34">
        <f>IF(AE48=0,0,MIN(DaB!$AO48:$AP48)-SUM($C48:AB48))</f>
        <v>0</v>
      </c>
      <c r="AD48" s="29">
        <f>IF(AE48=0,0,IF(DaB!AO48&gt;0,DaB!AP48-DaB!AO48,0))</f>
        <v>0</v>
      </c>
      <c r="AE48" s="33">
        <f>IF(DaB!AQ48&gt;0,DaB!AQ48-DaB!AP48+1,0)</f>
        <v>0</v>
      </c>
      <c r="AF48" s="32">
        <f>IF(AE48=0,0,IF(DaB!AS48&gt;0,DaB!AS48-DaB!AR48+1,0))</f>
        <v>0</v>
      </c>
      <c r="AG48" s="30">
        <f>IF(AE48=0,0,IF(DaB!AT48&gt;0,DaB!AT48-MAX(DaB!AQ48:AS48),0))</f>
        <v>0</v>
      </c>
      <c r="AH48" s="34">
        <f>IF(AJ48=0,0,MIN(DaB!$AV48:$AW48)-SUM($C48:AG48))</f>
        <v>0</v>
      </c>
      <c r="AI48" s="29">
        <f>IF(AJ48=0,0,IF(DaB!AV48&gt;0,DaB!AW48-DaB!AV48,0))</f>
        <v>0</v>
      </c>
      <c r="AJ48" s="33">
        <f>IF(DaB!AX48&gt;0,DaB!AX48-DaB!AW48+1,0)</f>
        <v>0</v>
      </c>
      <c r="AK48" s="32">
        <f>IF(AJ48=0,0,IF(DaB!AZ48&gt;0,DaB!AZ48-DaB!AY48+1,0))</f>
        <v>0</v>
      </c>
      <c r="AL48" s="30">
        <f>IF(AJ48=0,0,IF(DaB!BA48&gt;0,DaB!BA48-MAX(DaB!AX48:AZ48),0))</f>
        <v>0</v>
      </c>
      <c r="AM48" s="34">
        <f>IF(AO48=0,0,MIN(DaB!$BC48:$BD48)-SUM($C48:AL48))</f>
        <v>0</v>
      </c>
      <c r="AN48" s="29">
        <f>IF(AO48=0,0,IF(DaB!BC48&gt;0,DaB!BD48-DaB!BC48,0))</f>
        <v>0</v>
      </c>
      <c r="AO48" s="33">
        <f>IF(DaB!BE48&gt;0,DaB!BE48-DaB!BD48+1,0)</f>
        <v>0</v>
      </c>
      <c r="AP48" s="32">
        <f>IF(AO48=0,0,IF(DaB!BG48&gt;0,DaB!BG48-DaB!BF48+1,0))</f>
        <v>0</v>
      </c>
      <c r="AQ48" s="30">
        <f>IF(AO48=0,0,IF(DaB!BH48&gt;0,DaB!BH48-MAX(DaB!BE48:BG48),0))</f>
        <v>0</v>
      </c>
      <c r="AR48" s="34">
        <f>IF(AT48=0,0,MIN(DaB!$BJ48:$BK48)-SUM($C48:AQ48))</f>
        <v>0</v>
      </c>
      <c r="AS48" s="29">
        <f>IF(AT48=0,0,IF(DaB!BJ48&gt;0,DaB!BK48-DaB!BJ48,0))</f>
        <v>0</v>
      </c>
      <c r="AT48" s="33">
        <f>IF(DaB!BL48&gt;0,DaB!BL48-DaB!BK48+1,0)</f>
        <v>0</v>
      </c>
      <c r="AU48" s="32">
        <f>IF(AT48=0,0,IF(DaB!BN48&gt;0,DaB!BN48-DaB!BM48+1,0))</f>
        <v>0</v>
      </c>
      <c r="AV48" s="30">
        <f>IF(AT48=0,0,IF(DaB!BO48&gt;0,DaB!BO48-MAX(DaB!BL48:BN48),0))</f>
        <v>0</v>
      </c>
      <c r="AW48" s="34">
        <f>IF(AY48=0,0,MIN(DaB!$BQ48:$BR48)-SUM($C48:AV48))</f>
        <v>0</v>
      </c>
      <c r="AX48" s="29">
        <f>IF(AY48=0,0,IF(DaB!BQ48&gt;0,DaB!BR48-DaB!BQ48,0))</f>
        <v>0</v>
      </c>
      <c r="AY48" s="33">
        <f>IF(DaB!BS48&gt;0,DaB!BS48-DaB!BR48+1,0)</f>
        <v>0</v>
      </c>
      <c r="AZ48" s="32">
        <f>IF(AY48=0,0,IF(DaB!BU48&gt;0,DaB!BU48-DaB!BT48+1,0))</f>
        <v>0</v>
      </c>
      <c r="BA48" s="30">
        <f>IF(AY48=0,0,IF(DaB!BV48&gt;0,DaB!BV48-MAX(DaB!BS48:BU48),0))</f>
        <v>0</v>
      </c>
      <c r="BB48" s="34">
        <f>IF(BD48=0,0,MIN(DaB!$BX48:$BY48)-SUM($C48:BA48))</f>
        <v>0</v>
      </c>
      <c r="BC48" s="29">
        <f>IF(BD48=0,0,IF(DaB!BX48&gt;0,DaB!BY48-DaB!BX48,0))</f>
        <v>0</v>
      </c>
      <c r="BD48" s="33">
        <f>IF(DaB!BZ48&gt;0,DaB!BZ48-DaB!BY48+1,0)</f>
        <v>0</v>
      </c>
      <c r="BE48" s="32">
        <f>IF(BD48=0,0,IF(DaB!CB48&gt;0,DaB!CB48-DaB!CA48+1,0))</f>
        <v>0</v>
      </c>
      <c r="BF48" s="30">
        <f>IF(BD48=0,0,IF(DaB!CC48&gt;0,DaB!CC48-MAX(DaB!BZ48:CB48),0))</f>
        <v>0</v>
      </c>
      <c r="BG48" s="34">
        <f>IF(BI48=0,0,MIN(DaB!$CE48:$CF48)-SUM($C48:BF48))</f>
        <v>0</v>
      </c>
      <c r="BH48" s="29">
        <f>IF(BI48=0,0,IF(DaB!CE48&gt;0,DaB!CF48-DaB!CE48,0))</f>
        <v>0</v>
      </c>
      <c r="BI48" s="33">
        <f>IF(DaB!CG48&gt;0,DaB!CG48-DaB!CF48+1,0)</f>
        <v>0</v>
      </c>
      <c r="BJ48" s="32">
        <f>IF(BI48=0,0,IF(DaB!CI48&gt;0,DaB!CI48-DaB!CH48+1,0))</f>
        <v>0</v>
      </c>
      <c r="BK48" s="30">
        <f>IF(BI48=0,0,IF(DaB!CJ48&gt;0,DaB!CJ48-MAX(DaB!CG48:CI48),0))</f>
        <v>0</v>
      </c>
      <c r="BL48" s="34">
        <f>IF(BN48=0,0,MIN(DaB!$CL48:$CM48)-SUM($C48:BK48))</f>
        <v>0</v>
      </c>
      <c r="BM48" s="29">
        <f>IF(BN48=0,0,IF(DaB!CL48&gt;0,DaB!CM48-DaB!CL48,0))</f>
        <v>0</v>
      </c>
      <c r="BN48" s="33">
        <f>IF(DaB!CN48&gt;0,DaB!CN48-DaB!CM48+1,0)</f>
        <v>0</v>
      </c>
      <c r="BO48" s="32">
        <f>IF(BN48=0,0,IF(DaB!CP48&gt;0,DaB!CP48-DaB!CO48+1,0))</f>
        <v>0</v>
      </c>
      <c r="BP48" s="30">
        <f>IF(BN48=0,0,IF(DaB!CQ48&gt;0,DaB!CQ48-MAX(DaB!CN48:CP48),0))</f>
        <v>0</v>
      </c>
      <c r="BQ48" s="34">
        <f>IF(BS48=0,0,MIN(DaB!$CS48:$CT48)-SUM($C48:BP48))</f>
        <v>0</v>
      </c>
      <c r="BR48" s="29">
        <f>IF(BS48=0,0,IF(DaB!CS48&gt;0,DaB!CT48-DaB!CS48,0))</f>
        <v>0</v>
      </c>
      <c r="BS48" s="33">
        <f>IF(DaB!CU48&gt;0,DaB!CU48-DaB!CT48+1,0)</f>
        <v>0</v>
      </c>
      <c r="BT48" s="32">
        <f>IF(BS48=0,0,IF(DaB!CW48&gt;0,DaB!CW48-DaB!CV48+1,0))</f>
        <v>0</v>
      </c>
      <c r="BU48" s="30">
        <f>IF(BS48=0,0,IF(DaB!CX48&gt;0,DaB!CX48-MAX(DaB!CU48:CW48),0))</f>
        <v>0</v>
      </c>
      <c r="BV48" s="34">
        <f>IF(BX48=0,0,MIN(DaB!$CZ48:$DA48)-SUM($C48:BU48))</f>
        <v>0</v>
      </c>
      <c r="BW48" s="29">
        <f>IF(BX48=0,0,IF(DaB!CZ48&gt;0,DaB!DA48-DaB!CZ48,0))</f>
        <v>0</v>
      </c>
      <c r="BX48" s="33">
        <f>IF(DaB!DB48&gt;0,DaB!DB48-DaB!DA48+1,0)</f>
        <v>0</v>
      </c>
      <c r="BY48" s="32">
        <f>IF(BX48=0,0,IF(DaB!DD48&gt;0,DaB!DD48-DaB!DC48+1,0))</f>
        <v>0</v>
      </c>
      <c r="BZ48" s="30">
        <f>IF(BX48=0,0,IF(DaB!DE48&gt;0,DaB!DE48-MAX(DaB!DB48:DD48),0))</f>
        <v>0</v>
      </c>
      <c r="CA48" s="34">
        <f>IF(CC48=0,0,MIN(DaB!$DG48:$DH48)-SUM($C48:BZ48))</f>
        <v>0</v>
      </c>
      <c r="CB48" s="29">
        <f>IF(CC48=0,0,IF(DaB!DG48&gt;0,DaB!DH48-DaB!DG48,0))</f>
        <v>0</v>
      </c>
      <c r="CC48" s="33">
        <f>IF(DaB!DI48&gt;0,DaB!DI48-DaB!DH48+1,0)</f>
        <v>0</v>
      </c>
      <c r="CD48" s="32">
        <f>IF(CC48=0,0,IF(DaB!DK48&gt;0,DaB!DK48-DaB!DJ48+1,0))</f>
        <v>0</v>
      </c>
      <c r="CE48" s="30">
        <f>IF(CC48=0,0,IF(DaB!DL48&gt;0,DaB!DL48-MAX(DaB!DI48:DK48),0))</f>
        <v>0</v>
      </c>
      <c r="CF48" s="34">
        <f>IF(CH48=0,0,MIN(DaB!$DN48:$DO48)-SUM($C48:CE48))</f>
        <v>0</v>
      </c>
      <c r="CG48" s="29">
        <f>IF(CH48=0,0,IF(DaB!DN48&gt;0,DaB!DO48-DaB!DN48,0))</f>
        <v>0</v>
      </c>
      <c r="CH48" s="33">
        <f>IF(DaB!DP48&gt;0,DaB!DP48-DaB!DO48+1,0)</f>
        <v>0</v>
      </c>
      <c r="CI48" s="32">
        <f>IF(CH48=0,0,IF(DaB!DR48&gt;0,DaB!DR48-DaB!DQ48+1,0))</f>
        <v>0</v>
      </c>
      <c r="CJ48" s="30">
        <f>IF(CH48=0,0,IF(DaB!DS48&gt;0,DaB!DS48-MAX(DaB!DP48:DR48),0))</f>
        <v>0</v>
      </c>
      <c r="CK48" s="34">
        <f>IF(CM48=0,0,MIN(DaB!$DU48:$DV48)-SUM($C48:CJ48))</f>
        <v>0</v>
      </c>
      <c r="CL48" s="29">
        <f>IF(CM48=0,0,IF(DaB!DU48&gt;0,DaB!DV48-DaB!DU48,0))</f>
        <v>0</v>
      </c>
      <c r="CM48" s="33">
        <f>IF(DaB!DW48&gt;0,DaB!DW48-DaB!DV48+1,0)</f>
        <v>0</v>
      </c>
      <c r="CN48" s="32">
        <f>IF(CM48=0,0,IF(DaB!DY48&gt;0,DaB!DY48-DaB!DX48+1,0))</f>
        <v>0</v>
      </c>
      <c r="CO48" s="30">
        <f>IF(CM48=0,0,IF(DaB!DZ48&gt;0,DaB!DZ48-MAX(DaB!DW48:DY48),0))</f>
        <v>0</v>
      </c>
      <c r="CP48" s="34">
        <f>IF(CR48=0,0,MIN(DaB!$EB48:$EC48)-SUM($C48:CO48))</f>
        <v>0</v>
      </c>
      <c r="CQ48" s="29">
        <f>IF(CR48=0,0,IF(DaB!EB48&gt;0,DaB!EC48-DaB!EB48,0))</f>
        <v>0</v>
      </c>
      <c r="CR48" s="33">
        <f>IF(DaB!ED48&gt;0,DaB!ED48-DaB!EC48+1,0)</f>
        <v>0</v>
      </c>
      <c r="CS48" s="32">
        <f>IF(CR48=0,0,IF(DaB!EF48&gt;0,DaB!EF48-DaB!EE48+1,0))</f>
        <v>0</v>
      </c>
      <c r="CT48" s="30">
        <f>IF(CR48=0,0,IF(DaB!EG48&gt;0,DaB!EG48-MAX(DaB!ED48:EF48),0))</f>
        <v>0</v>
      </c>
      <c r="CU48" s="34">
        <f>IF(CW48=0,0,MIN(DaB!$EI48:$EJ48)-SUM($C48:CT48))</f>
        <v>0</v>
      </c>
      <c r="CV48" s="29">
        <f>IF(CW48=0,0,IF(DaB!EI48&gt;0,DaB!EJ48-DaB!EI48,0))</f>
        <v>0</v>
      </c>
      <c r="CW48" s="33">
        <f>IF(DaB!EK48&gt;0,DaB!EK48-DaB!EJ48+1,0)</f>
        <v>0</v>
      </c>
      <c r="CX48" s="32">
        <f>IF(CW48=0,0,IF(DaB!EM48&gt;0,DaB!EM48-DaB!EL48+1,0))</f>
        <v>0</v>
      </c>
      <c r="CY48" s="30">
        <f>IF(CW48=0,0,IF(DaB!EN48&gt;0,DaB!EN48-MAX(DaB!EK48:EM48),0))</f>
        <v>0</v>
      </c>
      <c r="DF48" s="2">
        <f t="shared" si="4"/>
        <v>45474</v>
      </c>
      <c r="DG48" s="28"/>
      <c r="DH48" s="29"/>
      <c r="DI48" s="10"/>
      <c r="DJ48" s="10"/>
      <c r="DK48" s="11"/>
      <c r="DL48" s="11"/>
      <c r="DM48" s="30"/>
      <c r="DN48" s="28"/>
      <c r="DO48" s="29"/>
      <c r="DP48" s="10"/>
      <c r="DQ48" s="10"/>
      <c r="DR48" s="11"/>
      <c r="DS48" s="11"/>
      <c r="DT48" s="30"/>
      <c r="DU48" s="28"/>
      <c r="DV48" s="29"/>
      <c r="DW48" s="10"/>
      <c r="DX48" s="10"/>
      <c r="DY48" s="11"/>
      <c r="DZ48" s="11"/>
      <c r="EA48" s="30"/>
      <c r="EB48" s="28"/>
      <c r="EC48" s="29"/>
      <c r="ED48" s="10"/>
      <c r="EE48" s="10"/>
      <c r="EF48" s="11"/>
      <c r="EG48" s="11"/>
      <c r="EH48" s="30"/>
      <c r="EI48" s="34"/>
      <c r="EJ48" s="29"/>
      <c r="EK48" s="10"/>
      <c r="EL48" s="10"/>
      <c r="EM48" s="30"/>
      <c r="EN48" s="34"/>
      <c r="EO48" s="29"/>
      <c r="EP48" s="47"/>
      <c r="EQ48" s="47"/>
      <c r="ER48" s="30"/>
      <c r="ES48" s="34"/>
      <c r="ET48" s="29"/>
      <c r="EU48" s="47"/>
      <c r="EV48" s="47"/>
      <c r="EW48" s="30"/>
    </row>
    <row r="49" spans="1:153" x14ac:dyDescent="0.2">
      <c r="A49" s="2" t="str">
        <f>DaB!A49</f>
        <v>Calendar 22</v>
      </c>
      <c r="B49" s="2" t="str">
        <f t="shared" si="3"/>
        <v>.</v>
      </c>
      <c r="C49" s="27">
        <f t="shared" si="1"/>
        <v>45474</v>
      </c>
      <c r="D49" s="34">
        <f>IFERROR(MIN(DaB!F49:K49)-C49,0)</f>
        <v>-45474</v>
      </c>
      <c r="E49" s="29">
        <f>IF(F49=0,0,IF(DaB!F49&gt;0,DaB!G49-DaB!F49,0))</f>
        <v>0</v>
      </c>
      <c r="F49" s="33">
        <f>IF(DaB!G49&gt;MAX(DaB!EV49,DaB!FJ49),DaB!H49-DaB!G49+1,
IF(DaB!H49&gt;0,DaB!H49-DaB!G49,0))</f>
        <v>0</v>
      </c>
      <c r="G49" s="32">
        <f>IF(F49=0,0,IF(DaB!J49&gt;0,DaB!J49-DaB!I49+1,0))</f>
        <v>0</v>
      </c>
      <c r="H49" s="30">
        <f>IF(F49=0,0,IF(DaB!K49&gt;0,DaB!K49-MAX(DaB!H49:J49),0))</f>
        <v>0</v>
      </c>
      <c r="I49" s="34">
        <f>IF(K49=0,0,MIN(DaB!$M49:$N49)-SUM($C49:H49))</f>
        <v>0</v>
      </c>
      <c r="J49" s="29">
        <f>IF(K49=0,0,IF(DaB!M49&gt;0,DaB!N49-DaB!M49,0))</f>
        <v>0</v>
      </c>
      <c r="K49" s="33">
        <f>IF(DaB!O49&gt;0,DaB!O49-DaB!N49+1,0)</f>
        <v>0</v>
      </c>
      <c r="L49" s="32">
        <f>IF(K49=0,0,IF(DaB!Q49&gt;0,DaB!Q49-DaB!P49+1,0))</f>
        <v>0</v>
      </c>
      <c r="M49" s="30">
        <f>IF(K49=0,0,IF(DaB!R49&gt;0,DaB!R49-MAX(DaB!O49:Q49),0))</f>
        <v>0</v>
      </c>
      <c r="N49" s="31">
        <f>IF(P49=0,0,MIN(DaB!$T49:$U49)-SUM($C49:M49))</f>
        <v>0</v>
      </c>
      <c r="O49" s="29">
        <f>IF(P49=0,0,IF(DaB!T49&gt;0,DaB!U49-DaB!T49,0))</f>
        <v>0</v>
      </c>
      <c r="P49" s="33">
        <f>IF(DaB!V49&gt;0,DaB!V49-DaB!U49+1,0)</f>
        <v>0</v>
      </c>
      <c r="Q49" s="32">
        <f>IF(P49=0,0,IF(DaB!X49&gt;0,DaB!X49-DaB!W49+1,0))</f>
        <v>0</v>
      </c>
      <c r="R49" s="30">
        <f>IF(P49=0,0,IF(DaB!Y49&gt;0,DaB!Y49-MAX(DaB!V49:X49),0))</f>
        <v>0</v>
      </c>
      <c r="S49" s="34">
        <f>IF(U49=0,0,MIN(DaB!$AA49:$AB49)-SUM($C49:R49))</f>
        <v>0</v>
      </c>
      <c r="T49" s="29">
        <f>IF(U49=0,0,IF(DaB!AA49&gt;0,DaB!AB49-DaB!AA49,0))</f>
        <v>0</v>
      </c>
      <c r="U49" s="33">
        <f>IF(DaB!AC49&gt;0,DaB!AC49-DaB!AB49+1,0)</f>
        <v>0</v>
      </c>
      <c r="V49" s="32">
        <f>IF(U49=0,0,IF(DaB!AE49&gt;0,DaB!AE49-DaB!AD49+1,0))</f>
        <v>0</v>
      </c>
      <c r="W49" s="30">
        <f>IF(U49=0,0,IF(DaB!AF49&gt;0,DaB!AF49-MAX(DaB!AC49:AE49),0))</f>
        <v>0</v>
      </c>
      <c r="X49" s="34">
        <f>IF(Z49=0,0,MIN(DaB!$AH49:$AI49)-SUM($C49:W49))</f>
        <v>0</v>
      </c>
      <c r="Y49" s="29">
        <f>IF(Z49=0,0,IF(DaB!AH49&gt;0,DaB!AI49-DaB!AH49,0))</f>
        <v>0</v>
      </c>
      <c r="Z49" s="33">
        <f>IF(DaB!AJ49&gt;0,DaB!AJ49-DaB!AI49+1,0)</f>
        <v>0</v>
      </c>
      <c r="AA49" s="32">
        <f>IF(Z49=0,0,IF(DaB!AL49&gt;0,DaB!AL49-DaB!AK49+1,0))</f>
        <v>0</v>
      </c>
      <c r="AB49" s="30">
        <f>IF(Z49=0,0,IF(DaB!AM49&gt;0,DaB!AM49-MAX(DaB!AJ49:AL49),0))</f>
        <v>0</v>
      </c>
      <c r="AC49" s="34">
        <f>IF(AE49=0,0,MIN(DaB!$AO49:$AP49)-SUM($C49:AB49))</f>
        <v>0</v>
      </c>
      <c r="AD49" s="29">
        <f>IF(AE49=0,0,IF(DaB!AO49&gt;0,DaB!AP49-DaB!AO49,0))</f>
        <v>0</v>
      </c>
      <c r="AE49" s="33">
        <f>IF(DaB!AQ49&gt;0,DaB!AQ49-DaB!AP49+1,0)</f>
        <v>0</v>
      </c>
      <c r="AF49" s="32">
        <f>IF(AE49=0,0,IF(DaB!AS49&gt;0,DaB!AS49-DaB!AR49+1,0))</f>
        <v>0</v>
      </c>
      <c r="AG49" s="30">
        <f>IF(AE49=0,0,IF(DaB!AT49&gt;0,DaB!AT49-MAX(DaB!AQ49:AS49),0))</f>
        <v>0</v>
      </c>
      <c r="AH49" s="34">
        <f>IF(AJ49=0,0,MIN(DaB!$AV49:$AW49)-SUM($C49:AG49))</f>
        <v>0</v>
      </c>
      <c r="AI49" s="29">
        <f>IF(AJ49=0,0,IF(DaB!AV49&gt;0,DaB!AW49-DaB!AV49,0))</f>
        <v>0</v>
      </c>
      <c r="AJ49" s="33">
        <f>IF(DaB!AX49&gt;0,DaB!AX49-DaB!AW49+1,0)</f>
        <v>0</v>
      </c>
      <c r="AK49" s="32">
        <f>IF(AJ49=0,0,IF(DaB!AZ49&gt;0,DaB!AZ49-DaB!AY49+1,0))</f>
        <v>0</v>
      </c>
      <c r="AL49" s="30">
        <f>IF(AJ49=0,0,IF(DaB!BA49&gt;0,DaB!BA49-MAX(DaB!AX49:AZ49),0))</f>
        <v>0</v>
      </c>
      <c r="AM49" s="34">
        <f>IF(AO49=0,0,MIN(DaB!$BC49:$BD49)-SUM($C49:AL49))</f>
        <v>0</v>
      </c>
      <c r="AN49" s="29">
        <f>IF(AO49=0,0,IF(DaB!BC49&gt;0,DaB!BD49-DaB!BC49,0))</f>
        <v>0</v>
      </c>
      <c r="AO49" s="33">
        <f>IF(DaB!BE49&gt;0,DaB!BE49-DaB!BD49+1,0)</f>
        <v>0</v>
      </c>
      <c r="AP49" s="32">
        <f>IF(AO49=0,0,IF(DaB!BG49&gt;0,DaB!BG49-DaB!BF49+1,0))</f>
        <v>0</v>
      </c>
      <c r="AQ49" s="30">
        <f>IF(AO49=0,0,IF(DaB!BH49&gt;0,DaB!BH49-MAX(DaB!BE49:BG49),0))</f>
        <v>0</v>
      </c>
      <c r="AR49" s="34">
        <f>IF(AT49=0,0,MIN(DaB!$BJ49:$BK49)-SUM($C49:AQ49))</f>
        <v>0</v>
      </c>
      <c r="AS49" s="29">
        <f>IF(AT49=0,0,IF(DaB!BJ49&gt;0,DaB!BK49-DaB!BJ49,0))</f>
        <v>0</v>
      </c>
      <c r="AT49" s="33">
        <f>IF(DaB!BL49&gt;0,DaB!BL49-DaB!BK49+1,0)</f>
        <v>0</v>
      </c>
      <c r="AU49" s="32">
        <f>IF(AT49=0,0,IF(DaB!BN49&gt;0,DaB!BN49-DaB!BM49+1,0))</f>
        <v>0</v>
      </c>
      <c r="AV49" s="30">
        <f>IF(AT49=0,0,IF(DaB!BO49&gt;0,DaB!BO49-MAX(DaB!BL49:BN49),0))</f>
        <v>0</v>
      </c>
      <c r="AW49" s="34">
        <f>IF(AY49=0,0,MIN(DaB!$BQ49:$BR49)-SUM($C49:AV49))</f>
        <v>0</v>
      </c>
      <c r="AX49" s="29">
        <f>IF(AY49=0,0,IF(DaB!BQ49&gt;0,DaB!BR49-DaB!BQ49,0))</f>
        <v>0</v>
      </c>
      <c r="AY49" s="33">
        <f>IF(DaB!BS49&gt;0,DaB!BS49-DaB!BR49+1,0)</f>
        <v>0</v>
      </c>
      <c r="AZ49" s="32">
        <f>IF(AY49=0,0,IF(DaB!BU49&gt;0,DaB!BU49-DaB!BT49+1,0))</f>
        <v>0</v>
      </c>
      <c r="BA49" s="30">
        <f>IF(AY49=0,0,IF(DaB!BV49&gt;0,DaB!BV49-MAX(DaB!BS49:BU49),0))</f>
        <v>0</v>
      </c>
      <c r="BB49" s="34">
        <f>IF(BD49=0,0,MIN(DaB!$BX49:$BY49)-SUM($C49:BA49))</f>
        <v>0</v>
      </c>
      <c r="BC49" s="29">
        <f>IF(BD49=0,0,IF(DaB!BX49&gt;0,DaB!BY49-DaB!BX49,0))</f>
        <v>0</v>
      </c>
      <c r="BD49" s="33">
        <f>IF(DaB!BZ49&gt;0,DaB!BZ49-DaB!BY49+1,0)</f>
        <v>0</v>
      </c>
      <c r="BE49" s="32">
        <f>IF(BD49=0,0,IF(DaB!CB49&gt;0,DaB!CB49-DaB!CA49+1,0))</f>
        <v>0</v>
      </c>
      <c r="BF49" s="30">
        <f>IF(BD49=0,0,IF(DaB!CC49&gt;0,DaB!CC49-MAX(DaB!BZ49:CB49),0))</f>
        <v>0</v>
      </c>
      <c r="BG49" s="34">
        <f>IF(BI49=0,0,MIN(DaB!$CE49:$CF49)-SUM($C49:BF49))</f>
        <v>0</v>
      </c>
      <c r="BH49" s="29">
        <f>IF(BI49=0,0,IF(DaB!CE49&gt;0,DaB!CF49-DaB!CE49,0))</f>
        <v>0</v>
      </c>
      <c r="BI49" s="33">
        <f>IF(DaB!CG49&gt;0,DaB!CG49-DaB!CF49+1,0)</f>
        <v>0</v>
      </c>
      <c r="BJ49" s="32">
        <f>IF(BI49=0,0,IF(DaB!CI49&gt;0,DaB!CI49-DaB!CH49+1,0))</f>
        <v>0</v>
      </c>
      <c r="BK49" s="30">
        <f>IF(BI49=0,0,IF(DaB!CJ49&gt;0,DaB!CJ49-MAX(DaB!CG49:CI49),0))</f>
        <v>0</v>
      </c>
      <c r="BL49" s="34">
        <f>IF(BN49=0,0,MIN(DaB!$CL49:$CM49)-SUM($C49:BK49))</f>
        <v>0</v>
      </c>
      <c r="BM49" s="29">
        <f>IF(BN49=0,0,IF(DaB!CL49&gt;0,DaB!CM49-DaB!CL49,0))</f>
        <v>0</v>
      </c>
      <c r="BN49" s="33">
        <f>IF(DaB!CN49&gt;0,DaB!CN49-DaB!CM49+1,0)</f>
        <v>0</v>
      </c>
      <c r="BO49" s="32">
        <f>IF(BN49=0,0,IF(DaB!CP49&gt;0,DaB!CP49-DaB!CO49+1,0))</f>
        <v>0</v>
      </c>
      <c r="BP49" s="30">
        <f>IF(BN49=0,0,IF(DaB!CQ49&gt;0,DaB!CQ49-MAX(DaB!CN49:CP49),0))</f>
        <v>0</v>
      </c>
      <c r="BQ49" s="34">
        <f>IF(BS49=0,0,MIN(DaB!$CS49:$CT49)-SUM($C49:BP49))</f>
        <v>0</v>
      </c>
      <c r="BR49" s="29">
        <f>IF(BS49=0,0,IF(DaB!CS49&gt;0,DaB!CT49-DaB!CS49,0))</f>
        <v>0</v>
      </c>
      <c r="BS49" s="33">
        <f>IF(DaB!CU49&gt;0,DaB!CU49-DaB!CT49+1,0)</f>
        <v>0</v>
      </c>
      <c r="BT49" s="32">
        <f>IF(BS49=0,0,IF(DaB!CW49&gt;0,DaB!CW49-DaB!CV49+1,0))</f>
        <v>0</v>
      </c>
      <c r="BU49" s="30">
        <f>IF(BS49=0,0,IF(DaB!CX49&gt;0,DaB!CX49-MAX(DaB!CU49:CW49),0))</f>
        <v>0</v>
      </c>
      <c r="BV49" s="34">
        <f>IF(BX49=0,0,MIN(DaB!$CZ49:$DA49)-SUM($C49:BU49))</f>
        <v>0</v>
      </c>
      <c r="BW49" s="29">
        <f>IF(BX49=0,0,IF(DaB!CZ49&gt;0,DaB!DA49-DaB!CZ49,0))</f>
        <v>0</v>
      </c>
      <c r="BX49" s="33">
        <f>IF(DaB!DB49&gt;0,DaB!DB49-DaB!DA49+1,0)</f>
        <v>0</v>
      </c>
      <c r="BY49" s="32">
        <f>IF(BX49=0,0,IF(DaB!DD49&gt;0,DaB!DD49-DaB!DC49+1,0))</f>
        <v>0</v>
      </c>
      <c r="BZ49" s="30">
        <f>IF(BX49=0,0,IF(DaB!DE49&gt;0,DaB!DE49-MAX(DaB!DB49:DD49),0))</f>
        <v>0</v>
      </c>
      <c r="CA49" s="34">
        <f>IF(CC49=0,0,MIN(DaB!$DG49:$DH49)-SUM($C49:BZ49))</f>
        <v>0</v>
      </c>
      <c r="CB49" s="29">
        <f>IF(CC49=0,0,IF(DaB!DG49&gt;0,DaB!DH49-DaB!DG49,0))</f>
        <v>0</v>
      </c>
      <c r="CC49" s="33">
        <f>IF(DaB!DI49&gt;0,DaB!DI49-DaB!DH49+1,0)</f>
        <v>0</v>
      </c>
      <c r="CD49" s="32">
        <f>IF(CC49=0,0,IF(DaB!DK49&gt;0,DaB!DK49-DaB!DJ49+1,0))</f>
        <v>0</v>
      </c>
      <c r="CE49" s="30">
        <f>IF(CC49=0,0,IF(DaB!DL49&gt;0,DaB!DL49-MAX(DaB!DI49:DK49),0))</f>
        <v>0</v>
      </c>
      <c r="CF49" s="34">
        <f>IF(CH49=0,0,MIN(DaB!$DN49:$DO49)-SUM($C49:CE49))</f>
        <v>0</v>
      </c>
      <c r="CG49" s="29">
        <f>IF(CH49=0,0,IF(DaB!DN49&gt;0,DaB!DO49-DaB!DN49,0))</f>
        <v>0</v>
      </c>
      <c r="CH49" s="33">
        <f>IF(DaB!DP49&gt;0,DaB!DP49-DaB!DO49+1,0)</f>
        <v>0</v>
      </c>
      <c r="CI49" s="32">
        <f>IF(CH49=0,0,IF(DaB!DR49&gt;0,DaB!DR49-DaB!DQ49+1,0))</f>
        <v>0</v>
      </c>
      <c r="CJ49" s="30">
        <f>IF(CH49=0,0,IF(DaB!DS49&gt;0,DaB!DS49-MAX(DaB!DP49:DR49),0))</f>
        <v>0</v>
      </c>
      <c r="CK49" s="34">
        <f>IF(CM49=0,0,MIN(DaB!$DU49:$DV49)-SUM($C49:CJ49))</f>
        <v>0</v>
      </c>
      <c r="CL49" s="29">
        <f>IF(CM49=0,0,IF(DaB!DU49&gt;0,DaB!DV49-DaB!DU49,0))</f>
        <v>0</v>
      </c>
      <c r="CM49" s="33">
        <f>IF(DaB!DW49&gt;0,DaB!DW49-DaB!DV49+1,0)</f>
        <v>0</v>
      </c>
      <c r="CN49" s="32">
        <f>IF(CM49=0,0,IF(DaB!DY49&gt;0,DaB!DY49-DaB!DX49+1,0))</f>
        <v>0</v>
      </c>
      <c r="CO49" s="30">
        <f>IF(CM49=0,0,IF(DaB!DZ49&gt;0,DaB!DZ49-MAX(DaB!DW49:DY49),0))</f>
        <v>0</v>
      </c>
      <c r="CP49" s="34">
        <f>IF(CR49=0,0,MIN(DaB!$EB49:$EC49)-SUM($C49:CO49))</f>
        <v>0</v>
      </c>
      <c r="CQ49" s="29">
        <f>IF(CR49=0,0,IF(DaB!EB49&gt;0,DaB!EC49-DaB!EB49,0))</f>
        <v>0</v>
      </c>
      <c r="CR49" s="33">
        <f>IF(DaB!ED49&gt;0,DaB!ED49-DaB!EC49+1,0)</f>
        <v>0</v>
      </c>
      <c r="CS49" s="32">
        <f>IF(CR49=0,0,IF(DaB!EF49&gt;0,DaB!EF49-DaB!EE49+1,0))</f>
        <v>0</v>
      </c>
      <c r="CT49" s="30">
        <f>IF(CR49=0,0,IF(DaB!EG49&gt;0,DaB!EG49-MAX(DaB!ED49:EF49),0))</f>
        <v>0</v>
      </c>
      <c r="CU49" s="34">
        <f>IF(CW49=0,0,MIN(DaB!$EI49:$EJ49)-SUM($C49:CT49))</f>
        <v>0</v>
      </c>
      <c r="CV49" s="29">
        <f>IF(CW49=0,0,IF(DaB!EI49&gt;0,DaB!EJ49-DaB!EI49,0))</f>
        <v>0</v>
      </c>
      <c r="CW49" s="33">
        <f>IF(DaB!EK49&gt;0,DaB!EK49-DaB!EJ49+1,0)</f>
        <v>0</v>
      </c>
      <c r="CX49" s="32">
        <f>IF(CW49=0,0,IF(DaB!EM49&gt;0,DaB!EM49-DaB!EL49+1,0))</f>
        <v>0</v>
      </c>
      <c r="CY49" s="30">
        <f>IF(CW49=0,0,IF(DaB!EN49&gt;0,DaB!EN49-MAX(DaB!EK49:EM49),0))</f>
        <v>0</v>
      </c>
      <c r="DF49" s="2">
        <f t="shared" si="4"/>
        <v>45474</v>
      </c>
      <c r="DG49" s="28"/>
      <c r="DH49" s="29"/>
      <c r="DI49" s="10"/>
      <c r="DJ49" s="10"/>
      <c r="DK49" s="11"/>
      <c r="DL49" s="11"/>
      <c r="DM49" s="30"/>
      <c r="DN49" s="28"/>
      <c r="DO49" s="29"/>
      <c r="DP49" s="10"/>
      <c r="DQ49" s="10"/>
      <c r="DR49" s="11"/>
      <c r="DS49" s="11"/>
      <c r="DT49" s="30"/>
      <c r="DU49" s="28"/>
      <c r="DV49" s="29"/>
      <c r="DW49" s="10"/>
      <c r="DX49" s="10"/>
      <c r="DY49" s="11"/>
      <c r="DZ49" s="11"/>
      <c r="EA49" s="30"/>
      <c r="EB49" s="28"/>
      <c r="EC49" s="29"/>
      <c r="ED49" s="10"/>
      <c r="EE49" s="10"/>
      <c r="EF49" s="11"/>
      <c r="EG49" s="11"/>
      <c r="EH49" s="30"/>
      <c r="EI49" s="34"/>
      <c r="EJ49" s="29"/>
      <c r="EK49" s="10"/>
      <c r="EL49" s="10"/>
      <c r="EM49" s="30"/>
      <c r="EN49" s="34"/>
      <c r="EO49" s="29"/>
      <c r="EP49" s="47"/>
      <c r="EQ49" s="47"/>
      <c r="ER49" s="30"/>
      <c r="ES49" s="34"/>
      <c r="ET49" s="29"/>
      <c r="EU49" s="47"/>
      <c r="EV49" s="47"/>
      <c r="EW49" s="30"/>
    </row>
    <row r="50" spans="1:153" x14ac:dyDescent="0.2">
      <c r="A50" s="2" t="str">
        <f>DaB!A50</f>
        <v>Calendar 23</v>
      </c>
      <c r="B50" s="2" t="str">
        <f t="shared" si="3"/>
        <v>.</v>
      </c>
      <c r="C50" s="27">
        <f t="shared" si="1"/>
        <v>45474</v>
      </c>
      <c r="D50" s="34">
        <f>IFERROR(MIN(DaB!F50:K50)-C50,0)</f>
        <v>-45474</v>
      </c>
      <c r="E50" s="29">
        <f>IF(F50=0,0,IF(DaB!F50&gt;0,DaB!G50-DaB!F50,0))</f>
        <v>0</v>
      </c>
      <c r="F50" s="33">
        <f>IF(DaB!G50&gt;MAX(DaB!EV50,DaB!FJ50),DaB!H50-DaB!G50+1,
IF(DaB!H50&gt;0,DaB!H50-DaB!G50,0))</f>
        <v>0</v>
      </c>
      <c r="G50" s="32">
        <f>IF(F50=0,0,IF(DaB!J50&gt;0,DaB!J50-DaB!I50+1,0))</f>
        <v>0</v>
      </c>
      <c r="H50" s="30">
        <f>IF(F50=0,0,IF(DaB!K50&gt;0,DaB!K50-MAX(DaB!H50:J50),0))</f>
        <v>0</v>
      </c>
      <c r="I50" s="34">
        <f>IF(K50=0,0,MIN(DaB!$M50:$N50)-SUM($C50:H50))</f>
        <v>0</v>
      </c>
      <c r="J50" s="29">
        <f>IF(K50=0,0,IF(DaB!M50&gt;0,DaB!N50-DaB!M50,0))</f>
        <v>0</v>
      </c>
      <c r="K50" s="33">
        <f>IF(DaB!O50&gt;0,DaB!O50-DaB!N50+1,0)</f>
        <v>0</v>
      </c>
      <c r="L50" s="32">
        <f>IF(K50=0,0,IF(DaB!Q50&gt;0,DaB!Q50-DaB!P50+1,0))</f>
        <v>0</v>
      </c>
      <c r="M50" s="30">
        <f>IF(K50=0,0,IF(DaB!R50&gt;0,DaB!R50-MAX(DaB!O50:Q50),0))</f>
        <v>0</v>
      </c>
      <c r="N50" s="31">
        <f>IF(P50=0,0,MIN(DaB!$T50:$U50)-SUM($C50:M50))</f>
        <v>0</v>
      </c>
      <c r="O50" s="29">
        <f>IF(P50=0,0,IF(DaB!T50&gt;0,DaB!U50-DaB!T50,0))</f>
        <v>0</v>
      </c>
      <c r="P50" s="33">
        <f>IF(DaB!V50&gt;0,DaB!V50-DaB!U50+1,0)</f>
        <v>0</v>
      </c>
      <c r="Q50" s="32">
        <f>IF(P50=0,0,IF(DaB!X50&gt;0,DaB!X50-DaB!W50+1,0))</f>
        <v>0</v>
      </c>
      <c r="R50" s="30">
        <f>IF(P50=0,0,IF(DaB!Y50&gt;0,DaB!Y50-MAX(DaB!V50:X50),0))</f>
        <v>0</v>
      </c>
      <c r="S50" s="34">
        <f>IF(U50=0,0,MIN(DaB!$AA50:$AB50)-SUM($C50:R50))</f>
        <v>0</v>
      </c>
      <c r="T50" s="29">
        <f>IF(U50=0,0,IF(DaB!AA50&gt;0,DaB!AB50-DaB!AA50,0))</f>
        <v>0</v>
      </c>
      <c r="U50" s="33">
        <f>IF(DaB!AC50&gt;0,DaB!AC50-DaB!AB50+1,0)</f>
        <v>0</v>
      </c>
      <c r="V50" s="32">
        <f>IF(U50=0,0,IF(DaB!AE50&gt;0,DaB!AE50-DaB!AD50+1,0))</f>
        <v>0</v>
      </c>
      <c r="W50" s="30">
        <f>IF(U50=0,0,IF(DaB!AF50&gt;0,DaB!AF50-MAX(DaB!AC50:AE50),0))</f>
        <v>0</v>
      </c>
      <c r="X50" s="34">
        <f>IF(Z50=0,0,MIN(DaB!$AH50:$AI50)-SUM($C50:W50))</f>
        <v>0</v>
      </c>
      <c r="Y50" s="29">
        <f>IF(Z50=0,0,IF(DaB!AH50&gt;0,DaB!AI50-DaB!AH50,0))</f>
        <v>0</v>
      </c>
      <c r="Z50" s="33">
        <f>IF(DaB!AJ50&gt;0,DaB!AJ50-DaB!AI50+1,0)</f>
        <v>0</v>
      </c>
      <c r="AA50" s="32">
        <f>IF(Z50=0,0,IF(DaB!AL50&gt;0,DaB!AL50-DaB!AK50+1,0))</f>
        <v>0</v>
      </c>
      <c r="AB50" s="30">
        <f>IF(Z50=0,0,IF(DaB!AM50&gt;0,DaB!AM50-MAX(DaB!AJ50:AL50),0))</f>
        <v>0</v>
      </c>
      <c r="AC50" s="34">
        <f>IF(AE50=0,0,MIN(DaB!$AO50:$AP50)-SUM($C50:AB50))</f>
        <v>0</v>
      </c>
      <c r="AD50" s="29">
        <f>IF(AE50=0,0,IF(DaB!AO50&gt;0,DaB!AP50-DaB!AO50,0))</f>
        <v>0</v>
      </c>
      <c r="AE50" s="33">
        <f>IF(DaB!AQ50&gt;0,DaB!AQ50-DaB!AP50+1,0)</f>
        <v>0</v>
      </c>
      <c r="AF50" s="32">
        <f>IF(AE50=0,0,IF(DaB!AS50&gt;0,DaB!AS50-DaB!AR50+1,0))</f>
        <v>0</v>
      </c>
      <c r="AG50" s="30">
        <f>IF(AE50=0,0,IF(DaB!AT50&gt;0,DaB!AT50-MAX(DaB!AQ50:AS50),0))</f>
        <v>0</v>
      </c>
      <c r="AH50" s="34">
        <f>IF(AJ50=0,0,MIN(DaB!$AV50:$AW50)-SUM($C50:AG50))</f>
        <v>0</v>
      </c>
      <c r="AI50" s="29">
        <f>IF(AJ50=0,0,IF(DaB!AV50&gt;0,DaB!AW50-DaB!AV50,0))</f>
        <v>0</v>
      </c>
      <c r="AJ50" s="33">
        <f>IF(DaB!AX50&gt;0,DaB!AX50-DaB!AW50+1,0)</f>
        <v>0</v>
      </c>
      <c r="AK50" s="32">
        <f>IF(AJ50=0,0,IF(DaB!AZ50&gt;0,DaB!AZ50-DaB!AY50+1,0))</f>
        <v>0</v>
      </c>
      <c r="AL50" s="30">
        <f>IF(AJ50=0,0,IF(DaB!BA50&gt;0,DaB!BA50-MAX(DaB!AX50:AZ50),0))</f>
        <v>0</v>
      </c>
      <c r="AM50" s="34">
        <f>IF(AO50=0,0,MIN(DaB!$BC50:$BD50)-SUM($C50:AL50))</f>
        <v>0</v>
      </c>
      <c r="AN50" s="29">
        <f>IF(AO50=0,0,IF(DaB!BC50&gt;0,DaB!BD50-DaB!BC50,0))</f>
        <v>0</v>
      </c>
      <c r="AO50" s="33">
        <f>IF(DaB!BE50&gt;0,DaB!BE50-DaB!BD50+1,0)</f>
        <v>0</v>
      </c>
      <c r="AP50" s="32">
        <f>IF(AO50=0,0,IF(DaB!BG50&gt;0,DaB!BG50-DaB!BF50+1,0))</f>
        <v>0</v>
      </c>
      <c r="AQ50" s="30">
        <f>IF(AO50=0,0,IF(DaB!BH50&gt;0,DaB!BH50-MAX(DaB!BE50:BG50),0))</f>
        <v>0</v>
      </c>
      <c r="AR50" s="34">
        <f>IF(AT50=0,0,MIN(DaB!$BJ50:$BK50)-SUM($C50:AQ50))</f>
        <v>0</v>
      </c>
      <c r="AS50" s="29">
        <f>IF(AT50=0,0,IF(DaB!BJ50&gt;0,DaB!BK50-DaB!BJ50,0))</f>
        <v>0</v>
      </c>
      <c r="AT50" s="33">
        <f>IF(DaB!BL50&gt;0,DaB!BL50-DaB!BK50+1,0)</f>
        <v>0</v>
      </c>
      <c r="AU50" s="32">
        <f>IF(AT50=0,0,IF(DaB!BN50&gt;0,DaB!BN50-DaB!BM50+1,0))</f>
        <v>0</v>
      </c>
      <c r="AV50" s="30">
        <f>IF(AT50=0,0,IF(DaB!BO50&gt;0,DaB!BO50-MAX(DaB!BL50:BN50),0))</f>
        <v>0</v>
      </c>
      <c r="AW50" s="34">
        <f>IF(AY50=0,0,MIN(DaB!$BQ50:$BR50)-SUM($C50:AV50))</f>
        <v>0</v>
      </c>
      <c r="AX50" s="29">
        <f>IF(AY50=0,0,IF(DaB!BQ50&gt;0,DaB!BR50-DaB!BQ50,0))</f>
        <v>0</v>
      </c>
      <c r="AY50" s="33">
        <f>IF(DaB!BS50&gt;0,DaB!BS50-DaB!BR50+1,0)</f>
        <v>0</v>
      </c>
      <c r="AZ50" s="32">
        <f>IF(AY50=0,0,IF(DaB!BU50&gt;0,DaB!BU50-DaB!BT50+1,0))</f>
        <v>0</v>
      </c>
      <c r="BA50" s="30">
        <f>IF(AY50=0,0,IF(DaB!BV50&gt;0,DaB!BV50-MAX(DaB!BS50:BU50),0))</f>
        <v>0</v>
      </c>
      <c r="BB50" s="34">
        <f>IF(BD50=0,0,MIN(DaB!$BX50:$BY50)-SUM($C50:BA50))</f>
        <v>0</v>
      </c>
      <c r="BC50" s="29">
        <f>IF(BD50=0,0,IF(DaB!BX50&gt;0,DaB!BY50-DaB!BX50,0))</f>
        <v>0</v>
      </c>
      <c r="BD50" s="33">
        <f>IF(DaB!BZ50&gt;0,DaB!BZ50-DaB!BY50+1,0)</f>
        <v>0</v>
      </c>
      <c r="BE50" s="32">
        <f>IF(BD50=0,0,IF(DaB!CB50&gt;0,DaB!CB50-DaB!CA50+1,0))</f>
        <v>0</v>
      </c>
      <c r="BF50" s="30">
        <f>IF(BD50=0,0,IF(DaB!CC50&gt;0,DaB!CC50-MAX(DaB!BZ50:CB50),0))</f>
        <v>0</v>
      </c>
      <c r="BG50" s="34">
        <f>IF(BI50=0,0,MIN(DaB!$CE50:$CF50)-SUM($C50:BF50))</f>
        <v>0</v>
      </c>
      <c r="BH50" s="29">
        <f>IF(BI50=0,0,IF(DaB!CE50&gt;0,DaB!CF50-DaB!CE50,0))</f>
        <v>0</v>
      </c>
      <c r="BI50" s="33">
        <f>IF(DaB!CG50&gt;0,DaB!CG50-DaB!CF50+1,0)</f>
        <v>0</v>
      </c>
      <c r="BJ50" s="32">
        <f>IF(BI50=0,0,IF(DaB!CI50&gt;0,DaB!CI50-DaB!CH50+1,0))</f>
        <v>0</v>
      </c>
      <c r="BK50" s="30">
        <f>IF(BI50=0,0,IF(DaB!CJ50&gt;0,DaB!CJ50-MAX(DaB!CG50:CI50),0))</f>
        <v>0</v>
      </c>
      <c r="BL50" s="34">
        <f>IF(BN50=0,0,MIN(DaB!$CL50:$CM50)-SUM($C50:BK50))</f>
        <v>0</v>
      </c>
      <c r="BM50" s="29">
        <f>IF(BN50=0,0,IF(DaB!CL50&gt;0,DaB!CM50-DaB!CL50,0))</f>
        <v>0</v>
      </c>
      <c r="BN50" s="33">
        <f>IF(DaB!CN50&gt;0,DaB!CN50-DaB!CM50+1,0)</f>
        <v>0</v>
      </c>
      <c r="BO50" s="32">
        <f>IF(BN50=0,0,IF(DaB!CP50&gt;0,DaB!CP50-DaB!CO50+1,0))</f>
        <v>0</v>
      </c>
      <c r="BP50" s="30">
        <f>IF(BN50=0,0,IF(DaB!CQ50&gt;0,DaB!CQ50-MAX(DaB!CN50:CP50),0))</f>
        <v>0</v>
      </c>
      <c r="BQ50" s="34">
        <f>IF(BS50=0,0,MIN(DaB!$CS50:$CT50)-SUM($C50:BP50))</f>
        <v>0</v>
      </c>
      <c r="BR50" s="29">
        <f>IF(BS50=0,0,IF(DaB!CS50&gt;0,DaB!CT50-DaB!CS50,0))</f>
        <v>0</v>
      </c>
      <c r="BS50" s="33">
        <f>IF(DaB!CU50&gt;0,DaB!CU50-DaB!CT50+1,0)</f>
        <v>0</v>
      </c>
      <c r="BT50" s="32">
        <f>IF(BS50=0,0,IF(DaB!CW50&gt;0,DaB!CW50-DaB!CV50+1,0))</f>
        <v>0</v>
      </c>
      <c r="BU50" s="30">
        <f>IF(BS50=0,0,IF(DaB!CX50&gt;0,DaB!CX50-MAX(DaB!CU50:CW50),0))</f>
        <v>0</v>
      </c>
      <c r="BV50" s="34">
        <f>IF(BX50=0,0,MIN(DaB!$CZ50:$DA50)-SUM($C50:BU50))</f>
        <v>0</v>
      </c>
      <c r="BW50" s="29">
        <f>IF(BX50=0,0,IF(DaB!CZ50&gt;0,DaB!DA50-DaB!CZ50,0))</f>
        <v>0</v>
      </c>
      <c r="BX50" s="33">
        <f>IF(DaB!DB50&gt;0,DaB!DB50-DaB!DA50+1,0)</f>
        <v>0</v>
      </c>
      <c r="BY50" s="32">
        <f>IF(BX50=0,0,IF(DaB!DD50&gt;0,DaB!DD50-DaB!DC50+1,0))</f>
        <v>0</v>
      </c>
      <c r="BZ50" s="30">
        <f>IF(BX50=0,0,IF(DaB!DE50&gt;0,DaB!DE50-MAX(DaB!DB50:DD50),0))</f>
        <v>0</v>
      </c>
      <c r="CA50" s="34">
        <f>IF(CC50=0,0,MIN(DaB!$DG50:$DH50)-SUM($C50:BZ50))</f>
        <v>0</v>
      </c>
      <c r="CB50" s="29">
        <f>IF(CC50=0,0,IF(DaB!DG50&gt;0,DaB!DH50-DaB!DG50,0))</f>
        <v>0</v>
      </c>
      <c r="CC50" s="33">
        <f>IF(DaB!DI50&gt;0,DaB!DI50-DaB!DH50+1,0)</f>
        <v>0</v>
      </c>
      <c r="CD50" s="32">
        <f>IF(CC50=0,0,IF(DaB!DK50&gt;0,DaB!DK50-DaB!DJ50+1,0))</f>
        <v>0</v>
      </c>
      <c r="CE50" s="30">
        <f>IF(CC50=0,0,IF(DaB!DL50&gt;0,DaB!DL50-MAX(DaB!DI50:DK50),0))</f>
        <v>0</v>
      </c>
      <c r="CF50" s="34">
        <f>IF(CH50=0,0,MIN(DaB!$DN50:$DO50)-SUM($C50:CE50))</f>
        <v>0</v>
      </c>
      <c r="CG50" s="29">
        <f>IF(CH50=0,0,IF(DaB!DN50&gt;0,DaB!DO50-DaB!DN50,0))</f>
        <v>0</v>
      </c>
      <c r="CH50" s="33">
        <f>IF(DaB!DP50&gt;0,DaB!DP50-DaB!DO50+1,0)</f>
        <v>0</v>
      </c>
      <c r="CI50" s="32">
        <f>IF(CH50=0,0,IF(DaB!DR50&gt;0,DaB!DR50-DaB!DQ50+1,0))</f>
        <v>0</v>
      </c>
      <c r="CJ50" s="30">
        <f>IF(CH50=0,0,IF(DaB!DS50&gt;0,DaB!DS50-MAX(DaB!DP50:DR50),0))</f>
        <v>0</v>
      </c>
      <c r="CK50" s="34">
        <f>IF(CM50=0,0,MIN(DaB!$DU50:$DV50)-SUM($C50:CJ50))</f>
        <v>0</v>
      </c>
      <c r="CL50" s="29">
        <f>IF(CM50=0,0,IF(DaB!DU50&gt;0,DaB!DV50-DaB!DU50,0))</f>
        <v>0</v>
      </c>
      <c r="CM50" s="33">
        <f>IF(DaB!DW50&gt;0,DaB!DW50-DaB!DV50+1,0)</f>
        <v>0</v>
      </c>
      <c r="CN50" s="32">
        <f>IF(CM50=0,0,IF(DaB!DY50&gt;0,DaB!DY50-DaB!DX50+1,0))</f>
        <v>0</v>
      </c>
      <c r="CO50" s="30">
        <f>IF(CM50=0,0,IF(DaB!DZ50&gt;0,DaB!DZ50-MAX(DaB!DW50:DY50),0))</f>
        <v>0</v>
      </c>
      <c r="CP50" s="34">
        <f>IF(CR50=0,0,MIN(DaB!$EB50:$EC50)-SUM($C50:CO50))</f>
        <v>0</v>
      </c>
      <c r="CQ50" s="29">
        <f>IF(CR50=0,0,IF(DaB!EB50&gt;0,DaB!EC50-DaB!EB50,0))</f>
        <v>0</v>
      </c>
      <c r="CR50" s="33">
        <f>IF(DaB!ED50&gt;0,DaB!ED50-DaB!EC50+1,0)</f>
        <v>0</v>
      </c>
      <c r="CS50" s="32">
        <f>IF(CR50=0,0,IF(DaB!EF50&gt;0,DaB!EF50-DaB!EE50+1,0))</f>
        <v>0</v>
      </c>
      <c r="CT50" s="30">
        <f>IF(CR50=0,0,IF(DaB!EG50&gt;0,DaB!EG50-MAX(DaB!ED50:EF50),0))</f>
        <v>0</v>
      </c>
      <c r="CU50" s="34">
        <f>IF(CW50=0,0,MIN(DaB!$EI50:$EJ50)-SUM($C50:CT50))</f>
        <v>0</v>
      </c>
      <c r="CV50" s="29">
        <f>IF(CW50=0,0,IF(DaB!EI50&gt;0,DaB!EJ50-DaB!EI50,0))</f>
        <v>0</v>
      </c>
      <c r="CW50" s="33">
        <f>IF(DaB!EK50&gt;0,DaB!EK50-DaB!EJ50+1,0)</f>
        <v>0</v>
      </c>
      <c r="CX50" s="32">
        <f>IF(CW50=0,0,IF(DaB!EM50&gt;0,DaB!EM50-DaB!EL50+1,0))</f>
        <v>0</v>
      </c>
      <c r="CY50" s="30">
        <f>IF(CW50=0,0,IF(DaB!EN50&gt;0,DaB!EN50-MAX(DaB!EK50:EM50),0))</f>
        <v>0</v>
      </c>
      <c r="DF50" s="2">
        <f t="shared" si="4"/>
        <v>45474</v>
      </c>
      <c r="DG50" s="28"/>
      <c r="DH50" s="29"/>
      <c r="DI50" s="10"/>
      <c r="DJ50" s="10"/>
      <c r="DK50" s="11"/>
      <c r="DL50" s="11"/>
      <c r="DM50" s="30"/>
      <c r="DN50" s="28"/>
      <c r="DO50" s="29"/>
      <c r="DP50" s="10"/>
      <c r="DQ50" s="10"/>
      <c r="DR50" s="11"/>
      <c r="DS50" s="11"/>
      <c r="DT50" s="30"/>
      <c r="DU50" s="28"/>
      <c r="DV50" s="29"/>
      <c r="DW50" s="10"/>
      <c r="DX50" s="10"/>
      <c r="DY50" s="11"/>
      <c r="DZ50" s="11"/>
      <c r="EA50" s="30"/>
      <c r="EB50" s="28"/>
      <c r="EC50" s="29"/>
      <c r="ED50" s="10"/>
      <c r="EE50" s="10"/>
      <c r="EF50" s="11"/>
      <c r="EG50" s="11"/>
      <c r="EH50" s="30"/>
      <c r="EI50" s="34"/>
      <c r="EJ50" s="29"/>
      <c r="EK50" s="10"/>
      <c r="EL50" s="10"/>
      <c r="EM50" s="30"/>
      <c r="EN50" s="34"/>
      <c r="EO50" s="29"/>
      <c r="EP50" s="47"/>
      <c r="EQ50" s="47"/>
      <c r="ER50" s="30"/>
      <c r="ES50" s="34"/>
      <c r="ET50" s="29"/>
      <c r="EU50" s="47"/>
      <c r="EV50" s="47"/>
      <c r="EW50" s="30"/>
    </row>
    <row r="51" spans="1:153" x14ac:dyDescent="0.2">
      <c r="A51" s="2" t="str">
        <f>DaB!A51</f>
        <v>Calendar 23</v>
      </c>
      <c r="B51" s="2" t="str">
        <f t="shared" si="3"/>
        <v>.</v>
      </c>
      <c r="C51" s="27">
        <f t="shared" si="1"/>
        <v>45474</v>
      </c>
      <c r="D51" s="34">
        <f>IFERROR(MIN(DaB!F51:K51)-C51,0)</f>
        <v>-45474</v>
      </c>
      <c r="E51" s="29">
        <f>IF(F51=0,0,IF(DaB!F51&gt;0,DaB!G51-DaB!F51,0))</f>
        <v>0</v>
      </c>
      <c r="F51" s="33">
        <f>IF(DaB!G51&gt;MAX(DaB!EV51,DaB!FJ51),DaB!H51-DaB!G51+1,
IF(DaB!H51&gt;0,DaB!H51-DaB!G51,0))</f>
        <v>0</v>
      </c>
      <c r="G51" s="32">
        <f>IF(F51=0,0,IF(DaB!J51&gt;0,DaB!J51-DaB!I51+1,0))</f>
        <v>0</v>
      </c>
      <c r="H51" s="30">
        <f>IF(F51=0,0,IF(DaB!K51&gt;0,DaB!K51-MAX(DaB!H51:J51),0))</f>
        <v>0</v>
      </c>
      <c r="I51" s="34">
        <f>IF(K51=0,0,MIN(DaB!$M51:$N51)-SUM($C51:H51))</f>
        <v>0</v>
      </c>
      <c r="J51" s="29">
        <f>IF(K51=0,0,IF(DaB!M51&gt;0,DaB!N51-DaB!M51,0))</f>
        <v>0</v>
      </c>
      <c r="K51" s="33">
        <f>IF(DaB!O51&gt;0,DaB!O51-DaB!N51+1,0)</f>
        <v>0</v>
      </c>
      <c r="L51" s="32">
        <f>IF(K51=0,0,IF(DaB!Q51&gt;0,DaB!Q51-DaB!P51+1,0))</f>
        <v>0</v>
      </c>
      <c r="M51" s="30">
        <f>IF(K51=0,0,IF(DaB!R51&gt;0,DaB!R51-MAX(DaB!O51:Q51),0))</f>
        <v>0</v>
      </c>
      <c r="N51" s="31">
        <f>IF(P51=0,0,MIN(DaB!$T51:$U51)-SUM($C51:M51))</f>
        <v>0</v>
      </c>
      <c r="O51" s="29">
        <f>IF(P51=0,0,IF(DaB!T51&gt;0,DaB!U51-DaB!T51,0))</f>
        <v>0</v>
      </c>
      <c r="P51" s="33">
        <f>IF(DaB!V51&gt;0,DaB!V51-DaB!U51+1,0)</f>
        <v>0</v>
      </c>
      <c r="Q51" s="32">
        <f>IF(P51=0,0,IF(DaB!X51&gt;0,DaB!X51-DaB!W51+1,0))</f>
        <v>0</v>
      </c>
      <c r="R51" s="30">
        <f>IF(P51=0,0,IF(DaB!Y51&gt;0,DaB!Y51-MAX(DaB!V51:X51),0))</f>
        <v>0</v>
      </c>
      <c r="S51" s="34">
        <f>IF(U51=0,0,MIN(DaB!$AA51:$AB51)-SUM($C51:R51))</f>
        <v>0</v>
      </c>
      <c r="T51" s="29">
        <f>IF(U51=0,0,IF(DaB!AA51&gt;0,DaB!AB51-DaB!AA51,0))</f>
        <v>0</v>
      </c>
      <c r="U51" s="33">
        <f>IF(DaB!AC51&gt;0,DaB!AC51-DaB!AB51+1,0)</f>
        <v>0</v>
      </c>
      <c r="V51" s="32">
        <f>IF(U51=0,0,IF(DaB!AE51&gt;0,DaB!AE51-DaB!AD51+1,0))</f>
        <v>0</v>
      </c>
      <c r="W51" s="30">
        <f>IF(U51=0,0,IF(DaB!AF51&gt;0,DaB!AF51-MAX(DaB!AC51:AE51),0))</f>
        <v>0</v>
      </c>
      <c r="X51" s="34">
        <f>IF(Z51=0,0,MIN(DaB!$AH51:$AI51)-SUM($C51:W51))</f>
        <v>0</v>
      </c>
      <c r="Y51" s="29">
        <f>IF(Z51=0,0,IF(DaB!AH51&gt;0,DaB!AI51-DaB!AH51,0))</f>
        <v>0</v>
      </c>
      <c r="Z51" s="33">
        <f>IF(DaB!AJ51&gt;0,DaB!AJ51-DaB!AI51+1,0)</f>
        <v>0</v>
      </c>
      <c r="AA51" s="32">
        <f>IF(Z51=0,0,IF(DaB!AL51&gt;0,DaB!AL51-DaB!AK51+1,0))</f>
        <v>0</v>
      </c>
      <c r="AB51" s="30">
        <f>IF(Z51=0,0,IF(DaB!AM51&gt;0,DaB!AM51-MAX(DaB!AJ51:AL51),0))</f>
        <v>0</v>
      </c>
      <c r="AC51" s="34">
        <f>IF(AE51=0,0,MIN(DaB!$AO51:$AP51)-SUM($C51:AB51))</f>
        <v>0</v>
      </c>
      <c r="AD51" s="29">
        <f>IF(AE51=0,0,IF(DaB!AO51&gt;0,DaB!AP51-DaB!AO51,0))</f>
        <v>0</v>
      </c>
      <c r="AE51" s="33">
        <f>IF(DaB!AQ51&gt;0,DaB!AQ51-DaB!AP51+1,0)</f>
        <v>0</v>
      </c>
      <c r="AF51" s="32">
        <f>IF(AE51=0,0,IF(DaB!AS51&gt;0,DaB!AS51-DaB!AR51+1,0))</f>
        <v>0</v>
      </c>
      <c r="AG51" s="30">
        <f>IF(AE51=0,0,IF(DaB!AT51&gt;0,DaB!AT51-MAX(DaB!AQ51:AS51),0))</f>
        <v>0</v>
      </c>
      <c r="AH51" s="34">
        <f>IF(AJ51=0,0,MIN(DaB!$AV51:$AW51)-SUM($C51:AG51))</f>
        <v>0</v>
      </c>
      <c r="AI51" s="29">
        <f>IF(AJ51=0,0,IF(DaB!AV51&gt;0,DaB!AW51-DaB!AV51,0))</f>
        <v>0</v>
      </c>
      <c r="AJ51" s="33">
        <f>IF(DaB!AX51&gt;0,DaB!AX51-DaB!AW51+1,0)</f>
        <v>0</v>
      </c>
      <c r="AK51" s="32">
        <f>IF(AJ51=0,0,IF(DaB!AZ51&gt;0,DaB!AZ51-DaB!AY51+1,0))</f>
        <v>0</v>
      </c>
      <c r="AL51" s="30">
        <f>IF(AJ51=0,0,IF(DaB!BA51&gt;0,DaB!BA51-MAX(DaB!AX51:AZ51),0))</f>
        <v>0</v>
      </c>
      <c r="AM51" s="34">
        <f>IF(AO51=0,0,MIN(DaB!$BC51:$BD51)-SUM($C51:AL51))</f>
        <v>0</v>
      </c>
      <c r="AN51" s="29">
        <f>IF(AO51=0,0,IF(DaB!BC51&gt;0,DaB!BD51-DaB!BC51,0))</f>
        <v>0</v>
      </c>
      <c r="AO51" s="33">
        <f>IF(DaB!BE51&gt;0,DaB!BE51-DaB!BD51+1,0)</f>
        <v>0</v>
      </c>
      <c r="AP51" s="32">
        <f>IF(AO51=0,0,IF(DaB!BG51&gt;0,DaB!BG51-DaB!BF51+1,0))</f>
        <v>0</v>
      </c>
      <c r="AQ51" s="30">
        <f>IF(AO51=0,0,IF(DaB!BH51&gt;0,DaB!BH51-MAX(DaB!BE51:BG51),0))</f>
        <v>0</v>
      </c>
      <c r="AR51" s="34">
        <f>IF(AT51=0,0,MIN(DaB!$BJ51:$BK51)-SUM($C51:AQ51))</f>
        <v>0</v>
      </c>
      <c r="AS51" s="29">
        <f>IF(AT51=0,0,IF(DaB!BJ51&gt;0,DaB!BK51-DaB!BJ51,0))</f>
        <v>0</v>
      </c>
      <c r="AT51" s="33">
        <f>IF(DaB!BL51&gt;0,DaB!BL51-DaB!BK51+1,0)</f>
        <v>0</v>
      </c>
      <c r="AU51" s="32">
        <f>IF(AT51=0,0,IF(DaB!BN51&gt;0,DaB!BN51-DaB!BM51+1,0))</f>
        <v>0</v>
      </c>
      <c r="AV51" s="30">
        <f>IF(AT51=0,0,IF(DaB!BO51&gt;0,DaB!BO51-MAX(DaB!BL51:BN51),0))</f>
        <v>0</v>
      </c>
      <c r="AW51" s="34">
        <f>IF(AY51=0,0,MIN(DaB!$BQ51:$BR51)-SUM($C51:AV51))</f>
        <v>0</v>
      </c>
      <c r="AX51" s="29">
        <f>IF(AY51=0,0,IF(DaB!BQ51&gt;0,DaB!BR51-DaB!BQ51,0))</f>
        <v>0</v>
      </c>
      <c r="AY51" s="33">
        <f>IF(DaB!BS51&gt;0,DaB!BS51-DaB!BR51+1,0)</f>
        <v>0</v>
      </c>
      <c r="AZ51" s="32">
        <f>IF(AY51=0,0,IF(DaB!BU51&gt;0,DaB!BU51-DaB!BT51+1,0))</f>
        <v>0</v>
      </c>
      <c r="BA51" s="30">
        <f>IF(AY51=0,0,IF(DaB!BV51&gt;0,DaB!BV51-MAX(DaB!BS51:BU51),0))</f>
        <v>0</v>
      </c>
      <c r="BB51" s="34">
        <f>IF(BD51=0,0,MIN(DaB!$BX51:$BY51)-SUM($C51:BA51))</f>
        <v>0</v>
      </c>
      <c r="BC51" s="29">
        <f>IF(BD51=0,0,IF(DaB!BX51&gt;0,DaB!BY51-DaB!BX51,0))</f>
        <v>0</v>
      </c>
      <c r="BD51" s="33">
        <f>IF(DaB!BZ51&gt;0,DaB!BZ51-DaB!BY51+1,0)</f>
        <v>0</v>
      </c>
      <c r="BE51" s="32">
        <f>IF(BD51=0,0,IF(DaB!CB51&gt;0,DaB!CB51-DaB!CA51+1,0))</f>
        <v>0</v>
      </c>
      <c r="BF51" s="30">
        <f>IF(BD51=0,0,IF(DaB!CC51&gt;0,DaB!CC51-MAX(DaB!BZ51:CB51),0))</f>
        <v>0</v>
      </c>
      <c r="BG51" s="34">
        <f>IF(BI51=0,0,MIN(DaB!$CE51:$CF51)-SUM($C51:BF51))</f>
        <v>0</v>
      </c>
      <c r="BH51" s="29">
        <f>IF(BI51=0,0,IF(DaB!CE51&gt;0,DaB!CF51-DaB!CE51,0))</f>
        <v>0</v>
      </c>
      <c r="BI51" s="33">
        <f>IF(DaB!CG51&gt;0,DaB!CG51-DaB!CF51+1,0)</f>
        <v>0</v>
      </c>
      <c r="BJ51" s="32">
        <f>IF(BI51=0,0,IF(DaB!CI51&gt;0,DaB!CI51-DaB!CH51+1,0))</f>
        <v>0</v>
      </c>
      <c r="BK51" s="30">
        <f>IF(BI51=0,0,IF(DaB!CJ51&gt;0,DaB!CJ51-MAX(DaB!CG51:CI51),0))</f>
        <v>0</v>
      </c>
      <c r="BL51" s="34">
        <f>IF(BN51=0,0,MIN(DaB!$CL51:$CM51)-SUM($C51:BK51))</f>
        <v>0</v>
      </c>
      <c r="BM51" s="29">
        <f>IF(BN51=0,0,IF(DaB!CL51&gt;0,DaB!CM51-DaB!CL51,0))</f>
        <v>0</v>
      </c>
      <c r="BN51" s="33">
        <f>IF(DaB!CN51&gt;0,DaB!CN51-DaB!CM51+1,0)</f>
        <v>0</v>
      </c>
      <c r="BO51" s="32">
        <f>IF(BN51=0,0,IF(DaB!CP51&gt;0,DaB!CP51-DaB!CO51+1,0))</f>
        <v>0</v>
      </c>
      <c r="BP51" s="30">
        <f>IF(BN51=0,0,IF(DaB!CQ51&gt;0,DaB!CQ51-MAX(DaB!CN51:CP51),0))</f>
        <v>0</v>
      </c>
      <c r="BQ51" s="34">
        <f>IF(BS51=0,0,MIN(DaB!$CS51:$CT51)-SUM($C51:BP51))</f>
        <v>0</v>
      </c>
      <c r="BR51" s="29">
        <f>IF(BS51=0,0,IF(DaB!CS51&gt;0,DaB!CT51-DaB!CS51,0))</f>
        <v>0</v>
      </c>
      <c r="BS51" s="33">
        <f>IF(DaB!CU51&gt;0,DaB!CU51-DaB!CT51+1,0)</f>
        <v>0</v>
      </c>
      <c r="BT51" s="32">
        <f>IF(BS51=0,0,IF(DaB!CW51&gt;0,DaB!CW51-DaB!CV51+1,0))</f>
        <v>0</v>
      </c>
      <c r="BU51" s="30">
        <f>IF(BS51=0,0,IF(DaB!CX51&gt;0,DaB!CX51-MAX(DaB!CU51:CW51),0))</f>
        <v>0</v>
      </c>
      <c r="BV51" s="34">
        <f>IF(BX51=0,0,MIN(DaB!$CZ51:$DA51)-SUM($C51:BU51))</f>
        <v>0</v>
      </c>
      <c r="BW51" s="29">
        <f>IF(BX51=0,0,IF(DaB!CZ51&gt;0,DaB!DA51-DaB!CZ51,0))</f>
        <v>0</v>
      </c>
      <c r="BX51" s="33">
        <f>IF(DaB!DB51&gt;0,DaB!DB51-DaB!DA51+1,0)</f>
        <v>0</v>
      </c>
      <c r="BY51" s="32">
        <f>IF(BX51=0,0,IF(DaB!DD51&gt;0,DaB!DD51-DaB!DC51+1,0))</f>
        <v>0</v>
      </c>
      <c r="BZ51" s="30">
        <f>IF(BX51=0,0,IF(DaB!DE51&gt;0,DaB!DE51-MAX(DaB!DB51:DD51),0))</f>
        <v>0</v>
      </c>
      <c r="CA51" s="34">
        <f>IF(CC51=0,0,MIN(DaB!$DG51:$DH51)-SUM($C51:BZ51))</f>
        <v>0</v>
      </c>
      <c r="CB51" s="29">
        <f>IF(CC51=0,0,IF(DaB!DG51&gt;0,DaB!DH51-DaB!DG51,0))</f>
        <v>0</v>
      </c>
      <c r="CC51" s="33">
        <f>IF(DaB!DI51&gt;0,DaB!DI51-DaB!DH51+1,0)</f>
        <v>0</v>
      </c>
      <c r="CD51" s="32">
        <f>IF(CC51=0,0,IF(DaB!DK51&gt;0,DaB!DK51-DaB!DJ51+1,0))</f>
        <v>0</v>
      </c>
      <c r="CE51" s="30">
        <f>IF(CC51=0,0,IF(DaB!DL51&gt;0,DaB!DL51-MAX(DaB!DI51:DK51),0))</f>
        <v>0</v>
      </c>
      <c r="CF51" s="34">
        <f>IF(CH51=0,0,MIN(DaB!$DN51:$DO51)-SUM($C51:CE51))</f>
        <v>0</v>
      </c>
      <c r="CG51" s="29">
        <f>IF(CH51=0,0,IF(DaB!DN51&gt;0,DaB!DO51-DaB!DN51,0))</f>
        <v>0</v>
      </c>
      <c r="CH51" s="33">
        <f>IF(DaB!DP51&gt;0,DaB!DP51-DaB!DO51+1,0)</f>
        <v>0</v>
      </c>
      <c r="CI51" s="32">
        <f>IF(CH51=0,0,IF(DaB!DR51&gt;0,DaB!DR51-DaB!DQ51+1,0))</f>
        <v>0</v>
      </c>
      <c r="CJ51" s="30">
        <f>IF(CH51=0,0,IF(DaB!DS51&gt;0,DaB!DS51-MAX(DaB!DP51:DR51),0))</f>
        <v>0</v>
      </c>
      <c r="CK51" s="34">
        <f>IF(CM51=0,0,MIN(DaB!$DU51:$DV51)-SUM($C51:CJ51))</f>
        <v>0</v>
      </c>
      <c r="CL51" s="29">
        <f>IF(CM51=0,0,IF(DaB!DU51&gt;0,DaB!DV51-DaB!DU51,0))</f>
        <v>0</v>
      </c>
      <c r="CM51" s="33">
        <f>IF(DaB!DW51&gt;0,DaB!DW51-DaB!DV51+1,0)</f>
        <v>0</v>
      </c>
      <c r="CN51" s="32">
        <f>IF(CM51=0,0,IF(DaB!DY51&gt;0,DaB!DY51-DaB!DX51+1,0))</f>
        <v>0</v>
      </c>
      <c r="CO51" s="30">
        <f>IF(CM51=0,0,IF(DaB!DZ51&gt;0,DaB!DZ51-MAX(DaB!DW51:DY51),0))</f>
        <v>0</v>
      </c>
      <c r="CP51" s="34">
        <f>IF(CR51=0,0,MIN(DaB!$EB51:$EC51)-SUM($C51:CO51))</f>
        <v>0</v>
      </c>
      <c r="CQ51" s="29">
        <f>IF(CR51=0,0,IF(DaB!EB51&gt;0,DaB!EC51-DaB!EB51,0))</f>
        <v>0</v>
      </c>
      <c r="CR51" s="33">
        <f>IF(DaB!ED51&gt;0,DaB!ED51-DaB!EC51+1,0)</f>
        <v>0</v>
      </c>
      <c r="CS51" s="32">
        <f>IF(CR51=0,0,IF(DaB!EF51&gt;0,DaB!EF51-DaB!EE51+1,0))</f>
        <v>0</v>
      </c>
      <c r="CT51" s="30">
        <f>IF(CR51=0,0,IF(DaB!EG51&gt;0,DaB!EG51-MAX(DaB!ED51:EF51),0))</f>
        <v>0</v>
      </c>
      <c r="CU51" s="34">
        <f>IF(CW51=0,0,MIN(DaB!$EI51:$EJ51)-SUM($C51:CT51))</f>
        <v>0</v>
      </c>
      <c r="CV51" s="29">
        <f>IF(CW51=0,0,IF(DaB!EI51&gt;0,DaB!EJ51-DaB!EI51,0))</f>
        <v>0</v>
      </c>
      <c r="CW51" s="33">
        <f>IF(DaB!EK51&gt;0,DaB!EK51-DaB!EJ51+1,0)</f>
        <v>0</v>
      </c>
      <c r="CX51" s="32">
        <f>IF(CW51=0,0,IF(DaB!EM51&gt;0,DaB!EM51-DaB!EL51+1,0))</f>
        <v>0</v>
      </c>
      <c r="CY51" s="30">
        <f>IF(CW51=0,0,IF(DaB!EN51&gt;0,DaB!EN51-MAX(DaB!EK51:EM51),0))</f>
        <v>0</v>
      </c>
      <c r="DF51" s="2">
        <f t="shared" si="4"/>
        <v>45474</v>
      </c>
      <c r="DG51" s="28"/>
      <c r="DH51" s="29"/>
      <c r="DI51" s="10"/>
      <c r="DJ51" s="10"/>
      <c r="DK51" s="11"/>
      <c r="DL51" s="11"/>
      <c r="DM51" s="30"/>
      <c r="DN51" s="28"/>
      <c r="DO51" s="29"/>
      <c r="DP51" s="10"/>
      <c r="DQ51" s="10"/>
      <c r="DR51" s="11"/>
      <c r="DS51" s="11"/>
      <c r="DT51" s="30"/>
      <c r="DU51" s="28"/>
      <c r="DV51" s="29"/>
      <c r="DW51" s="10"/>
      <c r="DX51" s="10"/>
      <c r="DY51" s="11"/>
      <c r="DZ51" s="11"/>
      <c r="EA51" s="30"/>
      <c r="EB51" s="28"/>
      <c r="EC51" s="29"/>
      <c r="ED51" s="10"/>
      <c r="EE51" s="10"/>
      <c r="EF51" s="11"/>
      <c r="EG51" s="11"/>
      <c r="EH51" s="30"/>
      <c r="EI51" s="34"/>
      <c r="EJ51" s="29"/>
      <c r="EK51" s="10"/>
      <c r="EL51" s="10"/>
      <c r="EM51" s="30"/>
      <c r="EN51" s="34"/>
      <c r="EO51" s="29"/>
      <c r="EP51" s="47"/>
      <c r="EQ51" s="47"/>
      <c r="ER51" s="30"/>
      <c r="ES51" s="34"/>
      <c r="ET51" s="29"/>
      <c r="EU51" s="47"/>
      <c r="EV51" s="47"/>
      <c r="EW51" s="30"/>
    </row>
    <row r="52" spans="1:153" x14ac:dyDescent="0.2">
      <c r="A52" s="2" t="str">
        <f>DaB!A52</f>
        <v>Calendar 24</v>
      </c>
      <c r="B52" s="2" t="str">
        <f t="shared" si="3"/>
        <v>.</v>
      </c>
      <c r="C52" s="27">
        <f t="shared" si="1"/>
        <v>45474</v>
      </c>
      <c r="D52" s="34">
        <f>IFERROR(MIN(DaB!F52:K52)-C52,0)</f>
        <v>-45474</v>
      </c>
      <c r="E52" s="29">
        <f>IF(F52=0,0,IF(DaB!F52&gt;0,DaB!G52-DaB!F52,0))</f>
        <v>0</v>
      </c>
      <c r="F52" s="33">
        <f>IF(DaB!G52&gt;MAX(DaB!EV52,DaB!FJ52),DaB!H52-DaB!G52+1,
IF(DaB!H52&gt;0,DaB!H52-DaB!G52,0))</f>
        <v>0</v>
      </c>
      <c r="G52" s="32">
        <f>IF(F52=0,0,IF(DaB!J52&gt;0,DaB!J52-DaB!I52+1,0))</f>
        <v>0</v>
      </c>
      <c r="H52" s="30">
        <f>IF(F52=0,0,IF(DaB!K52&gt;0,DaB!K52-MAX(DaB!H52:J52),0))</f>
        <v>0</v>
      </c>
      <c r="I52" s="34">
        <f>IF(K52=0,0,MIN(DaB!$M52:$N52)-SUM($C52:H52))</f>
        <v>0</v>
      </c>
      <c r="J52" s="29">
        <f>IF(K52=0,0,IF(DaB!M52&gt;0,DaB!N52-DaB!M52,0))</f>
        <v>0</v>
      </c>
      <c r="K52" s="33">
        <f>IF(DaB!O52&gt;0,DaB!O52-DaB!N52+1,0)</f>
        <v>0</v>
      </c>
      <c r="L52" s="32">
        <f>IF(K52=0,0,IF(DaB!Q52&gt;0,DaB!Q52-DaB!P52+1,0))</f>
        <v>0</v>
      </c>
      <c r="M52" s="30">
        <f>IF(K52=0,0,IF(DaB!R52&gt;0,DaB!R52-MAX(DaB!O52:Q52),0))</f>
        <v>0</v>
      </c>
      <c r="N52" s="31">
        <f>IF(P52=0,0,MIN(DaB!$T52:$U52)-SUM($C52:M52))</f>
        <v>0</v>
      </c>
      <c r="O52" s="29">
        <f>IF(P52=0,0,IF(DaB!T52&gt;0,DaB!U52-DaB!T52,0))</f>
        <v>0</v>
      </c>
      <c r="P52" s="33">
        <f>IF(DaB!V52&gt;0,DaB!V52-DaB!U52+1,0)</f>
        <v>0</v>
      </c>
      <c r="Q52" s="32">
        <f>IF(P52=0,0,IF(DaB!X52&gt;0,DaB!X52-DaB!W52+1,0))</f>
        <v>0</v>
      </c>
      <c r="R52" s="30">
        <f>IF(P52=0,0,IF(DaB!Y52&gt;0,DaB!Y52-MAX(DaB!V52:X52),0))</f>
        <v>0</v>
      </c>
      <c r="S52" s="34">
        <f>IF(U52=0,0,MIN(DaB!$AA52:$AB52)-SUM($C52:R52))</f>
        <v>0</v>
      </c>
      <c r="T52" s="29">
        <f>IF(U52=0,0,IF(DaB!AA52&gt;0,DaB!AB52-DaB!AA52,0))</f>
        <v>0</v>
      </c>
      <c r="U52" s="33">
        <f>IF(DaB!AC52&gt;0,DaB!AC52-DaB!AB52+1,0)</f>
        <v>0</v>
      </c>
      <c r="V52" s="32">
        <f>IF(U52=0,0,IF(DaB!AE52&gt;0,DaB!AE52-DaB!AD52+1,0))</f>
        <v>0</v>
      </c>
      <c r="W52" s="30">
        <f>IF(U52=0,0,IF(DaB!AF52&gt;0,DaB!AF52-MAX(DaB!AC52:AE52),0))</f>
        <v>0</v>
      </c>
      <c r="X52" s="34">
        <f>IF(Z52=0,0,MIN(DaB!$AH52:$AI52)-SUM($C52:W52))</f>
        <v>0</v>
      </c>
      <c r="Y52" s="29">
        <f>IF(Z52=0,0,IF(DaB!AH52&gt;0,DaB!AI52-DaB!AH52,0))</f>
        <v>0</v>
      </c>
      <c r="Z52" s="33">
        <f>IF(DaB!AJ52&gt;0,DaB!AJ52-DaB!AI52+1,0)</f>
        <v>0</v>
      </c>
      <c r="AA52" s="32">
        <f>IF(Z52=0,0,IF(DaB!AL52&gt;0,DaB!AL52-DaB!AK52+1,0))</f>
        <v>0</v>
      </c>
      <c r="AB52" s="30">
        <f>IF(Z52=0,0,IF(DaB!AM52&gt;0,DaB!AM52-MAX(DaB!AJ52:AL52),0))</f>
        <v>0</v>
      </c>
      <c r="AC52" s="34">
        <f>IF(AE52=0,0,MIN(DaB!$AO52:$AP52)-SUM($C52:AB52))</f>
        <v>0</v>
      </c>
      <c r="AD52" s="29">
        <f>IF(AE52=0,0,IF(DaB!AO52&gt;0,DaB!AP52-DaB!AO52,0))</f>
        <v>0</v>
      </c>
      <c r="AE52" s="33">
        <f>IF(DaB!AQ52&gt;0,DaB!AQ52-DaB!AP52+1,0)</f>
        <v>0</v>
      </c>
      <c r="AF52" s="32">
        <f>IF(AE52=0,0,IF(DaB!AS52&gt;0,DaB!AS52-DaB!AR52+1,0))</f>
        <v>0</v>
      </c>
      <c r="AG52" s="30">
        <f>IF(AE52=0,0,IF(DaB!AT52&gt;0,DaB!AT52-MAX(DaB!AQ52:AS52),0))</f>
        <v>0</v>
      </c>
      <c r="AH52" s="34">
        <f>IF(AJ52=0,0,MIN(DaB!$AV52:$AW52)-SUM($C52:AG52))</f>
        <v>0</v>
      </c>
      <c r="AI52" s="29">
        <f>IF(AJ52=0,0,IF(DaB!AV52&gt;0,DaB!AW52-DaB!AV52,0))</f>
        <v>0</v>
      </c>
      <c r="AJ52" s="33">
        <f>IF(DaB!AX52&gt;0,DaB!AX52-DaB!AW52+1,0)</f>
        <v>0</v>
      </c>
      <c r="AK52" s="32">
        <f>IF(AJ52=0,0,IF(DaB!AZ52&gt;0,DaB!AZ52-DaB!AY52+1,0))</f>
        <v>0</v>
      </c>
      <c r="AL52" s="30">
        <f>IF(AJ52=0,0,IF(DaB!BA52&gt;0,DaB!BA52-MAX(DaB!AX52:AZ52),0))</f>
        <v>0</v>
      </c>
      <c r="AM52" s="34">
        <f>IF(AO52=0,0,MIN(DaB!$BC52:$BD52)-SUM($C52:AL52))</f>
        <v>0</v>
      </c>
      <c r="AN52" s="29">
        <f>IF(AO52=0,0,IF(DaB!BC52&gt;0,DaB!BD52-DaB!BC52,0))</f>
        <v>0</v>
      </c>
      <c r="AO52" s="33">
        <f>IF(DaB!BE52&gt;0,DaB!BE52-DaB!BD52+1,0)</f>
        <v>0</v>
      </c>
      <c r="AP52" s="32">
        <f>IF(AO52=0,0,IF(DaB!BG52&gt;0,DaB!BG52-DaB!BF52+1,0))</f>
        <v>0</v>
      </c>
      <c r="AQ52" s="30">
        <f>IF(AO52=0,0,IF(DaB!BH52&gt;0,DaB!BH52-MAX(DaB!BE52:BG52),0))</f>
        <v>0</v>
      </c>
      <c r="AR52" s="34">
        <f>IF(AT52=0,0,MIN(DaB!$BJ52:$BK52)-SUM($C52:AQ52))</f>
        <v>0</v>
      </c>
      <c r="AS52" s="29">
        <f>IF(AT52=0,0,IF(DaB!BJ52&gt;0,DaB!BK52-DaB!BJ52,0))</f>
        <v>0</v>
      </c>
      <c r="AT52" s="33">
        <f>IF(DaB!BL52&gt;0,DaB!BL52-DaB!BK52+1,0)</f>
        <v>0</v>
      </c>
      <c r="AU52" s="32">
        <f>IF(AT52=0,0,IF(DaB!BN52&gt;0,DaB!BN52-DaB!BM52+1,0))</f>
        <v>0</v>
      </c>
      <c r="AV52" s="30">
        <f>IF(AT52=0,0,IF(DaB!BO52&gt;0,DaB!BO52-MAX(DaB!BL52:BN52),0))</f>
        <v>0</v>
      </c>
      <c r="AW52" s="34">
        <f>IF(AY52=0,0,MIN(DaB!$BQ52:$BR52)-SUM($C52:AV52))</f>
        <v>0</v>
      </c>
      <c r="AX52" s="29">
        <f>IF(AY52=0,0,IF(DaB!BQ52&gt;0,DaB!BR52-DaB!BQ52,0))</f>
        <v>0</v>
      </c>
      <c r="AY52" s="33">
        <f>IF(DaB!BS52&gt;0,DaB!BS52-DaB!BR52+1,0)</f>
        <v>0</v>
      </c>
      <c r="AZ52" s="32">
        <f>IF(AY52=0,0,IF(DaB!BU52&gt;0,DaB!BU52-DaB!BT52+1,0))</f>
        <v>0</v>
      </c>
      <c r="BA52" s="30">
        <f>IF(AY52=0,0,IF(DaB!BV52&gt;0,DaB!BV52-MAX(DaB!BS52:BU52),0))</f>
        <v>0</v>
      </c>
      <c r="BB52" s="34">
        <f>IF(BD52=0,0,MIN(DaB!$BX52:$BY52)-SUM($C52:BA52))</f>
        <v>0</v>
      </c>
      <c r="BC52" s="29">
        <f>IF(BD52=0,0,IF(DaB!BX52&gt;0,DaB!BY52-DaB!BX52,0))</f>
        <v>0</v>
      </c>
      <c r="BD52" s="33">
        <f>IF(DaB!BZ52&gt;0,DaB!BZ52-DaB!BY52+1,0)</f>
        <v>0</v>
      </c>
      <c r="BE52" s="32">
        <f>IF(BD52=0,0,IF(DaB!CB52&gt;0,DaB!CB52-DaB!CA52+1,0))</f>
        <v>0</v>
      </c>
      <c r="BF52" s="30">
        <f>IF(BD52=0,0,IF(DaB!CC52&gt;0,DaB!CC52-MAX(DaB!BZ52:CB52),0))</f>
        <v>0</v>
      </c>
      <c r="BG52" s="34">
        <f>IF(BI52=0,0,MIN(DaB!$CE52:$CF52)-SUM($C52:BF52))</f>
        <v>0</v>
      </c>
      <c r="BH52" s="29">
        <f>IF(BI52=0,0,IF(DaB!CE52&gt;0,DaB!CF52-DaB!CE52,0))</f>
        <v>0</v>
      </c>
      <c r="BI52" s="33">
        <f>IF(DaB!CG52&gt;0,DaB!CG52-DaB!CF52+1,0)</f>
        <v>0</v>
      </c>
      <c r="BJ52" s="32">
        <f>IF(BI52=0,0,IF(DaB!CI52&gt;0,DaB!CI52-DaB!CH52+1,0))</f>
        <v>0</v>
      </c>
      <c r="BK52" s="30">
        <f>IF(BI52=0,0,IF(DaB!CJ52&gt;0,DaB!CJ52-MAX(DaB!CG52:CI52),0))</f>
        <v>0</v>
      </c>
      <c r="BL52" s="34">
        <f>IF(BN52=0,0,MIN(DaB!$CL52:$CM52)-SUM($C52:BK52))</f>
        <v>0</v>
      </c>
      <c r="BM52" s="29">
        <f>IF(BN52=0,0,IF(DaB!CL52&gt;0,DaB!CM52-DaB!CL52,0))</f>
        <v>0</v>
      </c>
      <c r="BN52" s="33">
        <f>IF(DaB!CN52&gt;0,DaB!CN52-DaB!CM52+1,0)</f>
        <v>0</v>
      </c>
      <c r="BO52" s="32">
        <f>IF(BN52=0,0,IF(DaB!CP52&gt;0,DaB!CP52-DaB!CO52+1,0))</f>
        <v>0</v>
      </c>
      <c r="BP52" s="30">
        <f>IF(BN52=0,0,IF(DaB!CQ52&gt;0,DaB!CQ52-MAX(DaB!CN52:CP52),0))</f>
        <v>0</v>
      </c>
      <c r="BQ52" s="34">
        <f>IF(BS52=0,0,MIN(DaB!$CS52:$CT52)-SUM($C52:BP52))</f>
        <v>0</v>
      </c>
      <c r="BR52" s="29">
        <f>IF(BS52=0,0,IF(DaB!CS52&gt;0,DaB!CT52-DaB!CS52,0))</f>
        <v>0</v>
      </c>
      <c r="BS52" s="33">
        <f>IF(DaB!CU52&gt;0,DaB!CU52-DaB!CT52+1,0)</f>
        <v>0</v>
      </c>
      <c r="BT52" s="32">
        <f>IF(BS52=0,0,IF(DaB!CW52&gt;0,DaB!CW52-DaB!CV52+1,0))</f>
        <v>0</v>
      </c>
      <c r="BU52" s="30">
        <f>IF(BS52=0,0,IF(DaB!CX52&gt;0,DaB!CX52-MAX(DaB!CU52:CW52),0))</f>
        <v>0</v>
      </c>
      <c r="BV52" s="34">
        <f>IF(BX52=0,0,MIN(DaB!$CZ52:$DA52)-SUM($C52:BU52))</f>
        <v>0</v>
      </c>
      <c r="BW52" s="29">
        <f>IF(BX52=0,0,IF(DaB!CZ52&gt;0,DaB!DA52-DaB!CZ52,0))</f>
        <v>0</v>
      </c>
      <c r="BX52" s="33">
        <f>IF(DaB!DB52&gt;0,DaB!DB52-DaB!DA52+1,0)</f>
        <v>0</v>
      </c>
      <c r="BY52" s="32">
        <f>IF(BX52=0,0,IF(DaB!DD52&gt;0,DaB!DD52-DaB!DC52+1,0))</f>
        <v>0</v>
      </c>
      <c r="BZ52" s="30">
        <f>IF(BX52=0,0,IF(DaB!DE52&gt;0,DaB!DE52-MAX(DaB!DB52:DD52),0))</f>
        <v>0</v>
      </c>
      <c r="CA52" s="34">
        <f>IF(CC52=0,0,MIN(DaB!$DG52:$DH52)-SUM($C52:BZ52))</f>
        <v>0</v>
      </c>
      <c r="CB52" s="29">
        <f>IF(CC52=0,0,IF(DaB!DG52&gt;0,DaB!DH52-DaB!DG52,0))</f>
        <v>0</v>
      </c>
      <c r="CC52" s="33">
        <f>IF(DaB!DI52&gt;0,DaB!DI52-DaB!DH52+1,0)</f>
        <v>0</v>
      </c>
      <c r="CD52" s="32">
        <f>IF(CC52=0,0,IF(DaB!DK52&gt;0,DaB!DK52-DaB!DJ52+1,0))</f>
        <v>0</v>
      </c>
      <c r="CE52" s="30">
        <f>IF(CC52=0,0,IF(DaB!DL52&gt;0,DaB!DL52-MAX(DaB!DI52:DK52),0))</f>
        <v>0</v>
      </c>
      <c r="CF52" s="34">
        <f>IF(CH52=0,0,MIN(DaB!$DN52:$DO52)-SUM($C52:CE52))</f>
        <v>0</v>
      </c>
      <c r="CG52" s="29">
        <f>IF(CH52=0,0,IF(DaB!DN52&gt;0,DaB!DO52-DaB!DN52,0))</f>
        <v>0</v>
      </c>
      <c r="CH52" s="33">
        <f>IF(DaB!DP52&gt;0,DaB!DP52-DaB!DO52+1,0)</f>
        <v>0</v>
      </c>
      <c r="CI52" s="32">
        <f>IF(CH52=0,0,IF(DaB!DR52&gt;0,DaB!DR52-DaB!DQ52+1,0))</f>
        <v>0</v>
      </c>
      <c r="CJ52" s="30">
        <f>IF(CH52=0,0,IF(DaB!DS52&gt;0,DaB!DS52-MAX(DaB!DP52:DR52),0))</f>
        <v>0</v>
      </c>
      <c r="CK52" s="34">
        <f>IF(CM52=0,0,MIN(DaB!$DU52:$DV52)-SUM($C52:CJ52))</f>
        <v>0</v>
      </c>
      <c r="CL52" s="29">
        <f>IF(CM52=0,0,IF(DaB!DU52&gt;0,DaB!DV52-DaB!DU52,0))</f>
        <v>0</v>
      </c>
      <c r="CM52" s="33">
        <f>IF(DaB!DW52&gt;0,DaB!DW52-DaB!DV52+1,0)</f>
        <v>0</v>
      </c>
      <c r="CN52" s="32">
        <f>IF(CM52=0,0,IF(DaB!DY52&gt;0,DaB!DY52-DaB!DX52+1,0))</f>
        <v>0</v>
      </c>
      <c r="CO52" s="30">
        <f>IF(CM52=0,0,IF(DaB!DZ52&gt;0,DaB!DZ52-MAX(DaB!DW52:DY52),0))</f>
        <v>0</v>
      </c>
      <c r="CP52" s="34">
        <f>IF(CR52=0,0,MIN(DaB!$EB52:$EC52)-SUM($C52:CO52))</f>
        <v>0</v>
      </c>
      <c r="CQ52" s="29">
        <f>IF(CR52=0,0,IF(DaB!EB52&gt;0,DaB!EC52-DaB!EB52,0))</f>
        <v>0</v>
      </c>
      <c r="CR52" s="33">
        <f>IF(DaB!ED52&gt;0,DaB!ED52-DaB!EC52+1,0)</f>
        <v>0</v>
      </c>
      <c r="CS52" s="32">
        <f>IF(CR52=0,0,IF(DaB!EF52&gt;0,DaB!EF52-DaB!EE52+1,0))</f>
        <v>0</v>
      </c>
      <c r="CT52" s="30">
        <f>IF(CR52=0,0,IF(DaB!EG52&gt;0,DaB!EG52-MAX(DaB!ED52:EF52),0))</f>
        <v>0</v>
      </c>
      <c r="CU52" s="34">
        <f>IF(CW52=0,0,MIN(DaB!$EI52:$EJ52)-SUM($C52:CT52))</f>
        <v>0</v>
      </c>
      <c r="CV52" s="29">
        <f>IF(CW52=0,0,IF(DaB!EI52&gt;0,DaB!EJ52-DaB!EI52,0))</f>
        <v>0</v>
      </c>
      <c r="CW52" s="33">
        <f>IF(DaB!EK52&gt;0,DaB!EK52-DaB!EJ52+1,0)</f>
        <v>0</v>
      </c>
      <c r="CX52" s="32">
        <f>IF(CW52=0,0,IF(DaB!EM52&gt;0,DaB!EM52-DaB!EL52+1,0))</f>
        <v>0</v>
      </c>
      <c r="CY52" s="30">
        <f>IF(CW52=0,0,IF(DaB!EN52&gt;0,DaB!EN52-MAX(DaB!EK52:EM52),0))</f>
        <v>0</v>
      </c>
      <c r="DF52" s="2">
        <f t="shared" si="4"/>
        <v>45474</v>
      </c>
      <c r="DG52" s="28"/>
      <c r="DH52" s="29"/>
      <c r="DI52" s="10"/>
      <c r="DJ52" s="10"/>
      <c r="DK52" s="11"/>
      <c r="DL52" s="11"/>
      <c r="DM52" s="30"/>
      <c r="DN52" s="28"/>
      <c r="DO52" s="29"/>
      <c r="DP52" s="10"/>
      <c r="DQ52" s="10"/>
      <c r="DR52" s="11"/>
      <c r="DS52" s="11"/>
      <c r="DT52" s="30"/>
      <c r="DU52" s="28"/>
      <c r="DV52" s="29"/>
      <c r="DW52" s="10"/>
      <c r="DX52" s="10"/>
      <c r="DY52" s="11"/>
      <c r="DZ52" s="11"/>
      <c r="EA52" s="30"/>
      <c r="EB52" s="28"/>
      <c r="EC52" s="29"/>
      <c r="ED52" s="10"/>
      <c r="EE52" s="10"/>
      <c r="EF52" s="11"/>
      <c r="EG52" s="11"/>
      <c r="EH52" s="30"/>
      <c r="EI52" s="34"/>
      <c r="EJ52" s="29"/>
      <c r="EK52" s="10"/>
      <c r="EL52" s="10"/>
      <c r="EM52" s="30"/>
      <c r="EN52" s="34"/>
      <c r="EO52" s="29"/>
      <c r="EP52" s="47"/>
      <c r="EQ52" s="47"/>
      <c r="ER52" s="30"/>
      <c r="ES52" s="34"/>
      <c r="ET52" s="29"/>
      <c r="EU52" s="47"/>
      <c r="EV52" s="47"/>
      <c r="EW52" s="30"/>
    </row>
    <row r="53" spans="1:153" x14ac:dyDescent="0.2">
      <c r="A53" s="2" t="str">
        <f>DaB!A53</f>
        <v>Calendar 24</v>
      </c>
      <c r="B53" s="2" t="str">
        <f t="shared" si="3"/>
        <v>.</v>
      </c>
      <c r="C53" s="27">
        <f t="shared" si="1"/>
        <v>45474</v>
      </c>
      <c r="D53" s="34">
        <f>IFERROR(MIN(DaB!F53:K53)-C53,0)</f>
        <v>-45474</v>
      </c>
      <c r="E53" s="29">
        <f>IF(F53=0,0,IF(DaB!F53&gt;0,DaB!G53-DaB!F53,0))</f>
        <v>0</v>
      </c>
      <c r="F53" s="33">
        <f>IF(DaB!G53&gt;MAX(DaB!EV53,DaB!FJ53),DaB!H53-DaB!G53+1,
IF(DaB!H53&gt;0,DaB!H53-DaB!G53,0))</f>
        <v>0</v>
      </c>
      <c r="G53" s="32">
        <f>IF(F53=0,0,IF(DaB!J53&gt;0,DaB!J53-DaB!I53+1,0))</f>
        <v>0</v>
      </c>
      <c r="H53" s="30">
        <f>IF(F53=0,0,IF(DaB!K53&gt;0,DaB!K53-MAX(DaB!H53:J53),0))</f>
        <v>0</v>
      </c>
      <c r="I53" s="34">
        <f>IF(K53=0,0,MIN(DaB!$M53:$N53)-SUM($C53:H53))</f>
        <v>0</v>
      </c>
      <c r="J53" s="29">
        <f>IF(K53=0,0,IF(DaB!M53&gt;0,DaB!N53-DaB!M53,0))</f>
        <v>0</v>
      </c>
      <c r="K53" s="33">
        <f>IF(DaB!O53&gt;0,DaB!O53-DaB!N53+1,0)</f>
        <v>0</v>
      </c>
      <c r="L53" s="32">
        <f>IF(K53=0,0,IF(DaB!Q53&gt;0,DaB!Q53-DaB!P53+1,0))</f>
        <v>0</v>
      </c>
      <c r="M53" s="30">
        <f>IF(K53=0,0,IF(DaB!R53&gt;0,DaB!R53-MAX(DaB!O53:Q53),0))</f>
        <v>0</v>
      </c>
      <c r="N53" s="31">
        <f>IF(P53=0,0,MIN(DaB!$T53:$U53)-SUM($C53:M53))</f>
        <v>0</v>
      </c>
      <c r="O53" s="29">
        <f>IF(P53=0,0,IF(DaB!T53&gt;0,DaB!U53-DaB!T53,0))</f>
        <v>0</v>
      </c>
      <c r="P53" s="33">
        <f>IF(DaB!V53&gt;0,DaB!V53-DaB!U53+1,0)</f>
        <v>0</v>
      </c>
      <c r="Q53" s="32">
        <f>IF(P53=0,0,IF(DaB!X53&gt;0,DaB!X53-DaB!W53+1,0))</f>
        <v>0</v>
      </c>
      <c r="R53" s="30">
        <f>IF(P53=0,0,IF(DaB!Y53&gt;0,DaB!Y53-MAX(DaB!V53:X53),0))</f>
        <v>0</v>
      </c>
      <c r="S53" s="34">
        <f>IF(U53=0,0,MIN(DaB!$AA53:$AB53)-SUM($C53:R53))</f>
        <v>0</v>
      </c>
      <c r="T53" s="29">
        <f>IF(U53=0,0,IF(DaB!AA53&gt;0,DaB!AB53-DaB!AA53,0))</f>
        <v>0</v>
      </c>
      <c r="U53" s="33">
        <f>IF(DaB!AC53&gt;0,DaB!AC53-DaB!AB53+1,0)</f>
        <v>0</v>
      </c>
      <c r="V53" s="32">
        <f>IF(U53=0,0,IF(DaB!AE53&gt;0,DaB!AE53-DaB!AD53+1,0))</f>
        <v>0</v>
      </c>
      <c r="W53" s="30">
        <f>IF(U53=0,0,IF(DaB!AF53&gt;0,DaB!AF53-MAX(DaB!AC53:AE53),0))</f>
        <v>0</v>
      </c>
      <c r="X53" s="34">
        <f>IF(Z53=0,0,MIN(DaB!$AH53:$AI53)-SUM($C53:W53))</f>
        <v>0</v>
      </c>
      <c r="Y53" s="29">
        <f>IF(Z53=0,0,IF(DaB!AH53&gt;0,DaB!AI53-DaB!AH53,0))</f>
        <v>0</v>
      </c>
      <c r="Z53" s="33">
        <f>IF(DaB!AJ53&gt;0,DaB!AJ53-DaB!AI53+1,0)</f>
        <v>0</v>
      </c>
      <c r="AA53" s="32">
        <f>IF(Z53=0,0,IF(DaB!AL53&gt;0,DaB!AL53-DaB!AK53+1,0))</f>
        <v>0</v>
      </c>
      <c r="AB53" s="30">
        <f>IF(Z53=0,0,IF(DaB!AM53&gt;0,DaB!AM53-MAX(DaB!AJ53:AL53),0))</f>
        <v>0</v>
      </c>
      <c r="AC53" s="34">
        <f>IF(AE53=0,0,MIN(DaB!$AO53:$AP53)-SUM($C53:AB53))</f>
        <v>0</v>
      </c>
      <c r="AD53" s="29">
        <f>IF(AE53=0,0,IF(DaB!AO53&gt;0,DaB!AP53-DaB!AO53,0))</f>
        <v>0</v>
      </c>
      <c r="AE53" s="33">
        <f>IF(DaB!AQ53&gt;0,DaB!AQ53-DaB!AP53+1,0)</f>
        <v>0</v>
      </c>
      <c r="AF53" s="32">
        <f>IF(AE53=0,0,IF(DaB!AS53&gt;0,DaB!AS53-DaB!AR53+1,0))</f>
        <v>0</v>
      </c>
      <c r="AG53" s="30">
        <f>IF(AE53=0,0,IF(DaB!AT53&gt;0,DaB!AT53-MAX(DaB!AQ53:AS53),0))</f>
        <v>0</v>
      </c>
      <c r="AH53" s="34">
        <f>IF(AJ53=0,0,MIN(DaB!$AV53:$AW53)-SUM($C53:AG53))</f>
        <v>0</v>
      </c>
      <c r="AI53" s="29">
        <f>IF(AJ53=0,0,IF(DaB!AV53&gt;0,DaB!AW53-DaB!AV53,0))</f>
        <v>0</v>
      </c>
      <c r="AJ53" s="33">
        <f>IF(DaB!AX53&gt;0,DaB!AX53-DaB!AW53+1,0)</f>
        <v>0</v>
      </c>
      <c r="AK53" s="32">
        <f>IF(AJ53=0,0,IF(DaB!AZ53&gt;0,DaB!AZ53-DaB!AY53+1,0))</f>
        <v>0</v>
      </c>
      <c r="AL53" s="30">
        <f>IF(AJ53=0,0,IF(DaB!BA53&gt;0,DaB!BA53-MAX(DaB!AX53:AZ53),0))</f>
        <v>0</v>
      </c>
      <c r="AM53" s="34">
        <f>IF(AO53=0,0,MIN(DaB!$BC53:$BD53)-SUM($C53:AL53))</f>
        <v>0</v>
      </c>
      <c r="AN53" s="29">
        <f>IF(AO53=0,0,IF(DaB!BC53&gt;0,DaB!BD53-DaB!BC53,0))</f>
        <v>0</v>
      </c>
      <c r="AO53" s="33">
        <f>IF(DaB!BE53&gt;0,DaB!BE53-DaB!BD53+1,0)</f>
        <v>0</v>
      </c>
      <c r="AP53" s="32">
        <f>IF(AO53=0,0,IF(DaB!BG53&gt;0,DaB!BG53-DaB!BF53+1,0))</f>
        <v>0</v>
      </c>
      <c r="AQ53" s="30">
        <f>IF(AO53=0,0,IF(DaB!BH53&gt;0,DaB!BH53-MAX(DaB!BE53:BG53),0))</f>
        <v>0</v>
      </c>
      <c r="AR53" s="34">
        <f>IF(AT53=0,0,MIN(DaB!$BJ53:$BK53)-SUM($C53:AQ53))</f>
        <v>0</v>
      </c>
      <c r="AS53" s="29">
        <f>IF(AT53=0,0,IF(DaB!BJ53&gt;0,DaB!BK53-DaB!BJ53,0))</f>
        <v>0</v>
      </c>
      <c r="AT53" s="33">
        <f>IF(DaB!BL53&gt;0,DaB!BL53-DaB!BK53+1,0)</f>
        <v>0</v>
      </c>
      <c r="AU53" s="32">
        <f>IF(AT53=0,0,IF(DaB!BN53&gt;0,DaB!BN53-DaB!BM53+1,0))</f>
        <v>0</v>
      </c>
      <c r="AV53" s="30">
        <f>IF(AT53=0,0,IF(DaB!BO53&gt;0,DaB!BO53-MAX(DaB!BL53:BN53),0))</f>
        <v>0</v>
      </c>
      <c r="AW53" s="34">
        <f>IF(AY53=0,0,MIN(DaB!$BQ53:$BR53)-SUM($C53:AV53))</f>
        <v>0</v>
      </c>
      <c r="AX53" s="29">
        <f>IF(AY53=0,0,IF(DaB!BQ53&gt;0,DaB!BR53-DaB!BQ53,0))</f>
        <v>0</v>
      </c>
      <c r="AY53" s="33">
        <f>IF(DaB!BS53&gt;0,DaB!BS53-DaB!BR53+1,0)</f>
        <v>0</v>
      </c>
      <c r="AZ53" s="32">
        <f>IF(AY53=0,0,IF(DaB!BU53&gt;0,DaB!BU53-DaB!BT53+1,0))</f>
        <v>0</v>
      </c>
      <c r="BA53" s="30">
        <f>IF(AY53=0,0,IF(DaB!BV53&gt;0,DaB!BV53-MAX(DaB!BS53:BU53),0))</f>
        <v>0</v>
      </c>
      <c r="BB53" s="34">
        <f>IF(BD53=0,0,MIN(DaB!$BX53:$BY53)-SUM($C53:BA53))</f>
        <v>0</v>
      </c>
      <c r="BC53" s="29">
        <f>IF(BD53=0,0,IF(DaB!BX53&gt;0,DaB!BY53-DaB!BX53,0))</f>
        <v>0</v>
      </c>
      <c r="BD53" s="33">
        <f>IF(DaB!BZ53&gt;0,DaB!BZ53-DaB!BY53+1,0)</f>
        <v>0</v>
      </c>
      <c r="BE53" s="32">
        <f>IF(BD53=0,0,IF(DaB!CB53&gt;0,DaB!CB53-DaB!CA53+1,0))</f>
        <v>0</v>
      </c>
      <c r="BF53" s="30">
        <f>IF(BD53=0,0,IF(DaB!CC53&gt;0,DaB!CC53-MAX(DaB!BZ53:CB53),0))</f>
        <v>0</v>
      </c>
      <c r="BG53" s="34">
        <f>IF(BI53=0,0,MIN(DaB!$CE53:$CF53)-SUM($C53:BF53))</f>
        <v>0</v>
      </c>
      <c r="BH53" s="29">
        <f>IF(BI53=0,0,IF(DaB!CE53&gt;0,DaB!CF53-DaB!CE53,0))</f>
        <v>0</v>
      </c>
      <c r="BI53" s="33">
        <f>IF(DaB!CG53&gt;0,DaB!CG53-DaB!CF53+1,0)</f>
        <v>0</v>
      </c>
      <c r="BJ53" s="32">
        <f>IF(BI53=0,0,IF(DaB!CI53&gt;0,DaB!CI53-DaB!CH53+1,0))</f>
        <v>0</v>
      </c>
      <c r="BK53" s="30">
        <f>IF(BI53=0,0,IF(DaB!CJ53&gt;0,DaB!CJ53-MAX(DaB!CG53:CI53),0))</f>
        <v>0</v>
      </c>
      <c r="BL53" s="34">
        <f>IF(BN53=0,0,MIN(DaB!$CL53:$CM53)-SUM($C53:BK53))</f>
        <v>0</v>
      </c>
      <c r="BM53" s="29">
        <f>IF(BN53=0,0,IF(DaB!CL53&gt;0,DaB!CM53-DaB!CL53,0))</f>
        <v>0</v>
      </c>
      <c r="BN53" s="33">
        <f>IF(DaB!CN53&gt;0,DaB!CN53-DaB!CM53+1,0)</f>
        <v>0</v>
      </c>
      <c r="BO53" s="32">
        <f>IF(BN53=0,0,IF(DaB!CP53&gt;0,DaB!CP53-DaB!CO53+1,0))</f>
        <v>0</v>
      </c>
      <c r="BP53" s="30">
        <f>IF(BN53=0,0,IF(DaB!CQ53&gt;0,DaB!CQ53-MAX(DaB!CN53:CP53),0))</f>
        <v>0</v>
      </c>
      <c r="BQ53" s="34">
        <f>IF(BS53=0,0,MIN(DaB!$CS53:$CT53)-SUM($C53:BP53))</f>
        <v>0</v>
      </c>
      <c r="BR53" s="29">
        <f>IF(BS53=0,0,IF(DaB!CS53&gt;0,DaB!CT53-DaB!CS53,0))</f>
        <v>0</v>
      </c>
      <c r="BS53" s="33">
        <f>IF(DaB!CU53&gt;0,DaB!CU53-DaB!CT53+1,0)</f>
        <v>0</v>
      </c>
      <c r="BT53" s="32">
        <f>IF(BS53=0,0,IF(DaB!CW53&gt;0,DaB!CW53-DaB!CV53+1,0))</f>
        <v>0</v>
      </c>
      <c r="BU53" s="30">
        <f>IF(BS53=0,0,IF(DaB!CX53&gt;0,DaB!CX53-MAX(DaB!CU53:CW53),0))</f>
        <v>0</v>
      </c>
      <c r="BV53" s="34">
        <f>IF(BX53=0,0,MIN(DaB!$CZ53:$DA53)-SUM($C53:BU53))</f>
        <v>0</v>
      </c>
      <c r="BW53" s="29">
        <f>IF(BX53=0,0,IF(DaB!CZ53&gt;0,DaB!DA53-DaB!CZ53,0))</f>
        <v>0</v>
      </c>
      <c r="BX53" s="33">
        <f>IF(DaB!DB53&gt;0,DaB!DB53-DaB!DA53+1,0)</f>
        <v>0</v>
      </c>
      <c r="BY53" s="32">
        <f>IF(BX53=0,0,IF(DaB!DD53&gt;0,DaB!DD53-DaB!DC53+1,0))</f>
        <v>0</v>
      </c>
      <c r="BZ53" s="30">
        <f>IF(BX53=0,0,IF(DaB!DE53&gt;0,DaB!DE53-MAX(DaB!DB53:DD53),0))</f>
        <v>0</v>
      </c>
      <c r="CA53" s="34">
        <f>IF(CC53=0,0,MIN(DaB!$DG53:$DH53)-SUM($C53:BZ53))</f>
        <v>0</v>
      </c>
      <c r="CB53" s="29">
        <f>IF(CC53=0,0,IF(DaB!DG53&gt;0,DaB!DH53-DaB!DG53,0))</f>
        <v>0</v>
      </c>
      <c r="CC53" s="33">
        <f>IF(DaB!DI53&gt;0,DaB!DI53-DaB!DH53+1,0)</f>
        <v>0</v>
      </c>
      <c r="CD53" s="32">
        <f>IF(CC53=0,0,IF(DaB!DK53&gt;0,DaB!DK53-DaB!DJ53+1,0))</f>
        <v>0</v>
      </c>
      <c r="CE53" s="30">
        <f>IF(CC53=0,0,IF(DaB!DL53&gt;0,DaB!DL53-MAX(DaB!DI53:DK53),0))</f>
        <v>0</v>
      </c>
      <c r="CF53" s="34">
        <f>IF(CH53=0,0,MIN(DaB!$DN53:$DO53)-SUM($C53:CE53))</f>
        <v>0</v>
      </c>
      <c r="CG53" s="29">
        <f>IF(CH53=0,0,IF(DaB!DN53&gt;0,DaB!DO53-DaB!DN53,0))</f>
        <v>0</v>
      </c>
      <c r="CH53" s="33">
        <f>IF(DaB!DP53&gt;0,DaB!DP53-DaB!DO53+1,0)</f>
        <v>0</v>
      </c>
      <c r="CI53" s="32">
        <f>IF(CH53=0,0,IF(DaB!DR53&gt;0,DaB!DR53-DaB!DQ53+1,0))</f>
        <v>0</v>
      </c>
      <c r="CJ53" s="30">
        <f>IF(CH53=0,0,IF(DaB!DS53&gt;0,DaB!DS53-MAX(DaB!DP53:DR53),0))</f>
        <v>0</v>
      </c>
      <c r="CK53" s="34">
        <f>IF(CM53=0,0,MIN(DaB!$DU53:$DV53)-SUM($C53:CJ53))</f>
        <v>0</v>
      </c>
      <c r="CL53" s="29">
        <f>IF(CM53=0,0,IF(DaB!DU53&gt;0,DaB!DV53-DaB!DU53,0))</f>
        <v>0</v>
      </c>
      <c r="CM53" s="33">
        <f>IF(DaB!DW53&gt;0,DaB!DW53-DaB!DV53+1,0)</f>
        <v>0</v>
      </c>
      <c r="CN53" s="32">
        <f>IF(CM53=0,0,IF(DaB!DY53&gt;0,DaB!DY53-DaB!DX53+1,0))</f>
        <v>0</v>
      </c>
      <c r="CO53" s="30">
        <f>IF(CM53=0,0,IF(DaB!DZ53&gt;0,DaB!DZ53-MAX(DaB!DW53:DY53),0))</f>
        <v>0</v>
      </c>
      <c r="CP53" s="34">
        <f>IF(CR53=0,0,MIN(DaB!$EB53:$EC53)-SUM($C53:CO53))</f>
        <v>0</v>
      </c>
      <c r="CQ53" s="29">
        <f>IF(CR53=0,0,IF(DaB!EB53&gt;0,DaB!EC53-DaB!EB53,0))</f>
        <v>0</v>
      </c>
      <c r="CR53" s="33">
        <f>IF(DaB!ED53&gt;0,DaB!ED53-DaB!EC53+1,0)</f>
        <v>0</v>
      </c>
      <c r="CS53" s="32">
        <f>IF(CR53=0,0,IF(DaB!EF53&gt;0,DaB!EF53-DaB!EE53+1,0))</f>
        <v>0</v>
      </c>
      <c r="CT53" s="30">
        <f>IF(CR53=0,0,IF(DaB!EG53&gt;0,DaB!EG53-MAX(DaB!ED53:EF53),0))</f>
        <v>0</v>
      </c>
      <c r="CU53" s="34">
        <f>IF(CW53=0,0,MIN(DaB!$EI53:$EJ53)-SUM($C53:CT53))</f>
        <v>0</v>
      </c>
      <c r="CV53" s="29">
        <f>IF(CW53=0,0,IF(DaB!EI53&gt;0,DaB!EJ53-DaB!EI53,0))</f>
        <v>0</v>
      </c>
      <c r="CW53" s="33">
        <f>IF(DaB!EK53&gt;0,DaB!EK53-DaB!EJ53+1,0)</f>
        <v>0</v>
      </c>
      <c r="CX53" s="32">
        <f>IF(CW53=0,0,IF(DaB!EM53&gt;0,DaB!EM53-DaB!EL53+1,0))</f>
        <v>0</v>
      </c>
      <c r="CY53" s="30">
        <f>IF(CW53=0,0,IF(DaB!EN53&gt;0,DaB!EN53-MAX(DaB!EK53:EM53),0))</f>
        <v>0</v>
      </c>
      <c r="DF53" s="2">
        <f t="shared" si="4"/>
        <v>45474</v>
      </c>
      <c r="DG53" s="28"/>
      <c r="DH53" s="29"/>
      <c r="DI53" s="10"/>
      <c r="DJ53" s="10"/>
      <c r="DK53" s="11"/>
      <c r="DL53" s="11"/>
      <c r="DM53" s="30"/>
      <c r="DN53" s="28"/>
      <c r="DO53" s="29"/>
      <c r="DP53" s="10"/>
      <c r="DQ53" s="10"/>
      <c r="DR53" s="11"/>
      <c r="DS53" s="11"/>
      <c r="DT53" s="30"/>
      <c r="DU53" s="28"/>
      <c r="DV53" s="29"/>
      <c r="DW53" s="10"/>
      <c r="DX53" s="10"/>
      <c r="DY53" s="11"/>
      <c r="DZ53" s="11"/>
      <c r="EA53" s="30"/>
      <c r="EB53" s="28"/>
      <c r="EC53" s="29"/>
      <c r="ED53" s="10"/>
      <c r="EE53" s="10"/>
      <c r="EF53" s="11"/>
      <c r="EG53" s="11"/>
      <c r="EH53" s="30"/>
      <c r="EI53" s="34"/>
      <c r="EJ53" s="29"/>
      <c r="EK53" s="10"/>
      <c r="EL53" s="10"/>
      <c r="EM53" s="30"/>
      <c r="EN53" s="34"/>
      <c r="EO53" s="29"/>
      <c r="EP53" s="47"/>
      <c r="EQ53" s="47"/>
      <c r="ER53" s="30"/>
      <c r="ES53" s="34"/>
      <c r="ET53" s="29"/>
      <c r="EU53" s="47"/>
      <c r="EV53" s="47"/>
      <c r="EW53" s="30"/>
    </row>
    <row r="54" spans="1:153" x14ac:dyDescent="0.2">
      <c r="A54" s="2" t="str">
        <f>DaB!A54</f>
        <v>Calendar 25</v>
      </c>
      <c r="B54" s="2" t="str">
        <f t="shared" si="3"/>
        <v>.</v>
      </c>
      <c r="C54" s="27">
        <f t="shared" si="1"/>
        <v>45474</v>
      </c>
      <c r="D54" s="34">
        <f>IFERROR(MIN(DaB!F54:K54)-C54,0)</f>
        <v>-45474</v>
      </c>
      <c r="E54" s="29">
        <f>IF(F54=0,0,IF(DaB!F54&gt;0,DaB!G54-DaB!F54,0))</f>
        <v>0</v>
      </c>
      <c r="F54" s="33">
        <f>IF(DaB!G54&gt;MAX(DaB!EV54,DaB!FJ54),DaB!H54-DaB!G54+1,
IF(DaB!H54&gt;0,DaB!H54-DaB!G54,0))</f>
        <v>0</v>
      </c>
      <c r="G54" s="32">
        <f>IF(F54=0,0,IF(DaB!J54&gt;0,DaB!J54-DaB!I54+1,0))</f>
        <v>0</v>
      </c>
      <c r="H54" s="30">
        <f>IF(F54=0,0,IF(DaB!K54&gt;0,DaB!K54-MAX(DaB!H54:J54),0))</f>
        <v>0</v>
      </c>
      <c r="I54" s="34">
        <f>IF(K54=0,0,MIN(DaB!$M54:$N54)-SUM($C54:H54))</f>
        <v>0</v>
      </c>
      <c r="J54" s="29">
        <f>IF(K54=0,0,IF(DaB!M54&gt;0,DaB!N54-DaB!M54,0))</f>
        <v>0</v>
      </c>
      <c r="K54" s="33">
        <f>IF(DaB!O54&gt;0,DaB!O54-DaB!N54+1,0)</f>
        <v>0</v>
      </c>
      <c r="L54" s="32">
        <f>IF(K54=0,0,IF(DaB!Q54&gt;0,DaB!Q54-DaB!P54+1,0))</f>
        <v>0</v>
      </c>
      <c r="M54" s="30">
        <f>IF(K54=0,0,IF(DaB!R54&gt;0,DaB!R54-MAX(DaB!O54:Q54),0))</f>
        <v>0</v>
      </c>
      <c r="N54" s="31">
        <f>IF(P54=0,0,MIN(DaB!$T54:$U54)-SUM($C54:M54))</f>
        <v>0</v>
      </c>
      <c r="O54" s="29">
        <f>IF(P54=0,0,IF(DaB!T54&gt;0,DaB!U54-DaB!T54,0))</f>
        <v>0</v>
      </c>
      <c r="P54" s="33">
        <f>IF(DaB!V54&gt;0,DaB!V54-DaB!U54+1,0)</f>
        <v>0</v>
      </c>
      <c r="Q54" s="32">
        <f>IF(P54=0,0,IF(DaB!X54&gt;0,DaB!X54-DaB!W54+1,0))</f>
        <v>0</v>
      </c>
      <c r="R54" s="30">
        <f>IF(P54=0,0,IF(DaB!Y54&gt;0,DaB!Y54-MAX(DaB!V54:X54),0))</f>
        <v>0</v>
      </c>
      <c r="S54" s="34">
        <f>IF(U54=0,0,MIN(DaB!$AA54:$AB54)-SUM($C54:R54))</f>
        <v>0</v>
      </c>
      <c r="T54" s="29">
        <f>IF(U54=0,0,IF(DaB!AA54&gt;0,DaB!AB54-DaB!AA54,0))</f>
        <v>0</v>
      </c>
      <c r="U54" s="33">
        <f>IF(DaB!AC54&gt;0,DaB!AC54-DaB!AB54+1,0)</f>
        <v>0</v>
      </c>
      <c r="V54" s="32">
        <f>IF(U54=0,0,IF(DaB!AE54&gt;0,DaB!AE54-DaB!AD54+1,0))</f>
        <v>0</v>
      </c>
      <c r="W54" s="30">
        <f>IF(U54=0,0,IF(DaB!AF54&gt;0,DaB!AF54-MAX(DaB!AC54:AE54),0))</f>
        <v>0</v>
      </c>
      <c r="X54" s="34">
        <f>IF(Z54=0,0,MIN(DaB!$AH54:$AI54)-SUM($C54:W54))</f>
        <v>0</v>
      </c>
      <c r="Y54" s="29">
        <f>IF(Z54=0,0,IF(DaB!AH54&gt;0,DaB!AI54-DaB!AH54,0))</f>
        <v>0</v>
      </c>
      <c r="Z54" s="33">
        <f>IF(DaB!AJ54&gt;0,DaB!AJ54-DaB!AI54+1,0)</f>
        <v>0</v>
      </c>
      <c r="AA54" s="32">
        <f>IF(Z54=0,0,IF(DaB!AL54&gt;0,DaB!AL54-DaB!AK54+1,0))</f>
        <v>0</v>
      </c>
      <c r="AB54" s="30">
        <f>IF(Z54=0,0,IF(DaB!AM54&gt;0,DaB!AM54-MAX(DaB!AJ54:AL54),0))</f>
        <v>0</v>
      </c>
      <c r="AC54" s="34">
        <f>IF(AE54=0,0,MIN(DaB!$AO54:$AP54)-SUM($C54:AB54))</f>
        <v>0</v>
      </c>
      <c r="AD54" s="29">
        <f>IF(AE54=0,0,IF(DaB!AO54&gt;0,DaB!AP54-DaB!AO54,0))</f>
        <v>0</v>
      </c>
      <c r="AE54" s="33">
        <f>IF(DaB!AQ54&gt;0,DaB!AQ54-DaB!AP54+1,0)</f>
        <v>0</v>
      </c>
      <c r="AF54" s="32">
        <f>IF(AE54=0,0,IF(DaB!AS54&gt;0,DaB!AS54-DaB!AR54+1,0))</f>
        <v>0</v>
      </c>
      <c r="AG54" s="30">
        <f>IF(AE54=0,0,IF(DaB!AT54&gt;0,DaB!AT54-MAX(DaB!AQ54:AS54),0))</f>
        <v>0</v>
      </c>
      <c r="AH54" s="34">
        <f>IF(AJ54=0,0,MIN(DaB!$AV54:$AW54)-SUM($C54:AG54))</f>
        <v>0</v>
      </c>
      <c r="AI54" s="29">
        <f>IF(AJ54=0,0,IF(DaB!AV54&gt;0,DaB!AW54-DaB!AV54,0))</f>
        <v>0</v>
      </c>
      <c r="AJ54" s="33">
        <f>IF(DaB!AX54&gt;0,DaB!AX54-DaB!AW54+1,0)</f>
        <v>0</v>
      </c>
      <c r="AK54" s="32">
        <f>IF(AJ54=0,0,IF(DaB!AZ54&gt;0,DaB!AZ54-DaB!AY54+1,0))</f>
        <v>0</v>
      </c>
      <c r="AL54" s="30">
        <f>IF(AJ54=0,0,IF(DaB!BA54&gt;0,DaB!BA54-MAX(DaB!AX54:AZ54),0))</f>
        <v>0</v>
      </c>
      <c r="AM54" s="34">
        <f>IF(AO54=0,0,MIN(DaB!$BC54:$BD54)-SUM($C54:AL54))</f>
        <v>0</v>
      </c>
      <c r="AN54" s="29">
        <f>IF(AO54=0,0,IF(DaB!BC54&gt;0,DaB!BD54-DaB!BC54,0))</f>
        <v>0</v>
      </c>
      <c r="AO54" s="33">
        <f>IF(DaB!BE54&gt;0,DaB!BE54-DaB!BD54+1,0)</f>
        <v>0</v>
      </c>
      <c r="AP54" s="32">
        <f>IF(AO54=0,0,IF(DaB!BG54&gt;0,DaB!BG54-DaB!BF54+1,0))</f>
        <v>0</v>
      </c>
      <c r="AQ54" s="30">
        <f>IF(AO54=0,0,IF(DaB!BH54&gt;0,DaB!BH54-MAX(DaB!BE54:BG54),0))</f>
        <v>0</v>
      </c>
      <c r="AR54" s="34">
        <f>IF(AT54=0,0,MIN(DaB!$BJ54:$BK54)-SUM($C54:AQ54))</f>
        <v>0</v>
      </c>
      <c r="AS54" s="29">
        <f>IF(AT54=0,0,IF(DaB!BJ54&gt;0,DaB!BK54-DaB!BJ54,0))</f>
        <v>0</v>
      </c>
      <c r="AT54" s="33">
        <f>IF(DaB!BL54&gt;0,DaB!BL54-DaB!BK54+1,0)</f>
        <v>0</v>
      </c>
      <c r="AU54" s="32">
        <f>IF(AT54=0,0,IF(DaB!BN54&gt;0,DaB!BN54-DaB!BM54+1,0))</f>
        <v>0</v>
      </c>
      <c r="AV54" s="30">
        <f>IF(AT54=0,0,IF(DaB!BO54&gt;0,DaB!BO54-MAX(DaB!BL54:BN54),0))</f>
        <v>0</v>
      </c>
      <c r="AW54" s="34">
        <f>IF(AY54=0,0,MIN(DaB!$BQ54:$BR54)-SUM($C54:AV54))</f>
        <v>0</v>
      </c>
      <c r="AX54" s="29">
        <f>IF(AY54=0,0,IF(DaB!BQ54&gt;0,DaB!BR54-DaB!BQ54,0))</f>
        <v>0</v>
      </c>
      <c r="AY54" s="33">
        <f>IF(DaB!BS54&gt;0,DaB!BS54-DaB!BR54+1,0)</f>
        <v>0</v>
      </c>
      <c r="AZ54" s="32">
        <f>IF(AY54=0,0,IF(DaB!BU54&gt;0,DaB!BU54-DaB!BT54+1,0))</f>
        <v>0</v>
      </c>
      <c r="BA54" s="30">
        <f>IF(AY54=0,0,IF(DaB!BV54&gt;0,DaB!BV54-MAX(DaB!BS54:BU54),0))</f>
        <v>0</v>
      </c>
      <c r="BB54" s="34">
        <f>IF(BD54=0,0,MIN(DaB!$BX54:$BY54)-SUM($C54:BA54))</f>
        <v>0</v>
      </c>
      <c r="BC54" s="29">
        <f>IF(BD54=0,0,IF(DaB!BX54&gt;0,DaB!BY54-DaB!BX54,0))</f>
        <v>0</v>
      </c>
      <c r="BD54" s="33">
        <f>IF(DaB!BZ54&gt;0,DaB!BZ54-DaB!BY54+1,0)</f>
        <v>0</v>
      </c>
      <c r="BE54" s="32">
        <f>IF(BD54=0,0,IF(DaB!CB54&gt;0,DaB!CB54-DaB!CA54+1,0))</f>
        <v>0</v>
      </c>
      <c r="BF54" s="30">
        <f>IF(BD54=0,0,IF(DaB!CC54&gt;0,DaB!CC54-MAX(DaB!BZ54:CB54),0))</f>
        <v>0</v>
      </c>
      <c r="BG54" s="34">
        <f>IF(BI54=0,0,MIN(DaB!$CE54:$CF54)-SUM($C54:BF54))</f>
        <v>0</v>
      </c>
      <c r="BH54" s="29">
        <f>IF(BI54=0,0,IF(DaB!CE54&gt;0,DaB!CF54-DaB!CE54,0))</f>
        <v>0</v>
      </c>
      <c r="BI54" s="33">
        <f>IF(DaB!CG54&gt;0,DaB!CG54-DaB!CF54+1,0)</f>
        <v>0</v>
      </c>
      <c r="BJ54" s="32">
        <f>IF(BI54=0,0,IF(DaB!CI54&gt;0,DaB!CI54-DaB!CH54+1,0))</f>
        <v>0</v>
      </c>
      <c r="BK54" s="30">
        <f>IF(BI54=0,0,IF(DaB!CJ54&gt;0,DaB!CJ54-MAX(DaB!CG54:CI54),0))</f>
        <v>0</v>
      </c>
      <c r="BL54" s="34">
        <f>IF(BN54=0,0,MIN(DaB!$CL54:$CM54)-SUM($C54:BK54))</f>
        <v>0</v>
      </c>
      <c r="BM54" s="29">
        <f>IF(BN54=0,0,IF(DaB!CL54&gt;0,DaB!CM54-DaB!CL54,0))</f>
        <v>0</v>
      </c>
      <c r="BN54" s="33">
        <f>IF(DaB!CN54&gt;0,DaB!CN54-DaB!CM54+1,0)</f>
        <v>0</v>
      </c>
      <c r="BO54" s="32">
        <f>IF(BN54=0,0,IF(DaB!CP54&gt;0,DaB!CP54-DaB!CO54+1,0))</f>
        <v>0</v>
      </c>
      <c r="BP54" s="30">
        <f>IF(BN54=0,0,IF(DaB!CQ54&gt;0,DaB!CQ54-MAX(DaB!CN54:CP54),0))</f>
        <v>0</v>
      </c>
      <c r="BQ54" s="34">
        <f>IF(BS54=0,0,MIN(DaB!$CS54:$CT54)-SUM($C54:BP54))</f>
        <v>0</v>
      </c>
      <c r="BR54" s="29">
        <f>IF(BS54=0,0,IF(DaB!CS54&gt;0,DaB!CT54-DaB!CS54,0))</f>
        <v>0</v>
      </c>
      <c r="BS54" s="33">
        <f>IF(DaB!CU54&gt;0,DaB!CU54-DaB!CT54+1,0)</f>
        <v>0</v>
      </c>
      <c r="BT54" s="32">
        <f>IF(BS54=0,0,IF(DaB!CW54&gt;0,DaB!CW54-DaB!CV54+1,0))</f>
        <v>0</v>
      </c>
      <c r="BU54" s="30">
        <f>IF(BS54=0,0,IF(DaB!CX54&gt;0,DaB!CX54-MAX(DaB!CU54:CW54),0))</f>
        <v>0</v>
      </c>
      <c r="BV54" s="34">
        <f>IF(BX54=0,0,MIN(DaB!$CZ54:$DA54)-SUM($C54:BU54))</f>
        <v>0</v>
      </c>
      <c r="BW54" s="29">
        <f>IF(BX54=0,0,IF(DaB!CZ54&gt;0,DaB!DA54-DaB!CZ54,0))</f>
        <v>0</v>
      </c>
      <c r="BX54" s="33">
        <f>IF(DaB!DB54&gt;0,DaB!DB54-DaB!DA54+1,0)</f>
        <v>0</v>
      </c>
      <c r="BY54" s="32">
        <f>IF(BX54=0,0,IF(DaB!DD54&gt;0,DaB!DD54-DaB!DC54+1,0))</f>
        <v>0</v>
      </c>
      <c r="BZ54" s="30">
        <f>IF(BX54=0,0,IF(DaB!DE54&gt;0,DaB!DE54-MAX(DaB!DB54:DD54),0))</f>
        <v>0</v>
      </c>
      <c r="CA54" s="34">
        <f>IF(CC54=0,0,MIN(DaB!$DG54:$DH54)-SUM($C54:BZ54))</f>
        <v>0</v>
      </c>
      <c r="CB54" s="29">
        <f>IF(CC54=0,0,IF(DaB!DG54&gt;0,DaB!DH54-DaB!DG54,0))</f>
        <v>0</v>
      </c>
      <c r="CC54" s="33">
        <f>IF(DaB!DI54&gt;0,DaB!DI54-DaB!DH54+1,0)</f>
        <v>0</v>
      </c>
      <c r="CD54" s="32">
        <f>IF(CC54=0,0,IF(DaB!DK54&gt;0,DaB!DK54-DaB!DJ54+1,0))</f>
        <v>0</v>
      </c>
      <c r="CE54" s="30">
        <f>IF(CC54=0,0,IF(DaB!DL54&gt;0,DaB!DL54-MAX(DaB!DI54:DK54),0))</f>
        <v>0</v>
      </c>
      <c r="CF54" s="34">
        <f>IF(CH54=0,0,MIN(DaB!$DN54:$DO54)-SUM($C54:CE54))</f>
        <v>0</v>
      </c>
      <c r="CG54" s="29">
        <f>IF(CH54=0,0,IF(DaB!DN54&gt;0,DaB!DO54-DaB!DN54,0))</f>
        <v>0</v>
      </c>
      <c r="CH54" s="33">
        <f>IF(DaB!DP54&gt;0,DaB!DP54-DaB!DO54+1,0)</f>
        <v>0</v>
      </c>
      <c r="CI54" s="32">
        <f>IF(CH54=0,0,IF(DaB!DR54&gt;0,DaB!DR54-DaB!DQ54+1,0))</f>
        <v>0</v>
      </c>
      <c r="CJ54" s="30">
        <f>IF(CH54=0,0,IF(DaB!DS54&gt;0,DaB!DS54-MAX(DaB!DP54:DR54),0))</f>
        <v>0</v>
      </c>
      <c r="CK54" s="34">
        <f>IF(CM54=0,0,MIN(DaB!$DU54:$DV54)-SUM($C54:CJ54))</f>
        <v>0</v>
      </c>
      <c r="CL54" s="29">
        <f>IF(CM54=0,0,IF(DaB!DU54&gt;0,DaB!DV54-DaB!DU54,0))</f>
        <v>0</v>
      </c>
      <c r="CM54" s="33">
        <f>IF(DaB!DW54&gt;0,DaB!DW54-DaB!DV54+1,0)</f>
        <v>0</v>
      </c>
      <c r="CN54" s="32">
        <f>IF(CM54=0,0,IF(DaB!DY54&gt;0,DaB!DY54-DaB!DX54+1,0))</f>
        <v>0</v>
      </c>
      <c r="CO54" s="30">
        <f>IF(CM54=0,0,IF(DaB!DZ54&gt;0,DaB!DZ54-MAX(DaB!DW54:DY54),0))</f>
        <v>0</v>
      </c>
      <c r="CP54" s="34">
        <f>IF(CR54=0,0,MIN(DaB!$EB54:$EC54)-SUM($C54:CO54))</f>
        <v>0</v>
      </c>
      <c r="CQ54" s="29">
        <f>IF(CR54=0,0,IF(DaB!EB54&gt;0,DaB!EC54-DaB!EB54,0))</f>
        <v>0</v>
      </c>
      <c r="CR54" s="33">
        <f>IF(DaB!ED54&gt;0,DaB!ED54-DaB!EC54+1,0)</f>
        <v>0</v>
      </c>
      <c r="CS54" s="32">
        <f>IF(CR54=0,0,IF(DaB!EF54&gt;0,DaB!EF54-DaB!EE54+1,0))</f>
        <v>0</v>
      </c>
      <c r="CT54" s="30">
        <f>IF(CR54=0,0,IF(DaB!EG54&gt;0,DaB!EG54-MAX(DaB!ED54:EF54),0))</f>
        <v>0</v>
      </c>
      <c r="CU54" s="34">
        <f>IF(CW54=0,0,MIN(DaB!$EI54:$EJ54)-SUM($C54:CT54))</f>
        <v>0</v>
      </c>
      <c r="CV54" s="29">
        <f>IF(CW54=0,0,IF(DaB!EI54&gt;0,DaB!EJ54-DaB!EI54,0))</f>
        <v>0</v>
      </c>
      <c r="CW54" s="33">
        <f>IF(DaB!EK54&gt;0,DaB!EK54-DaB!EJ54+1,0)</f>
        <v>0</v>
      </c>
      <c r="CX54" s="32">
        <f>IF(CW54=0,0,IF(DaB!EM54&gt;0,DaB!EM54-DaB!EL54+1,0))</f>
        <v>0</v>
      </c>
      <c r="CY54" s="30">
        <f>IF(CW54=0,0,IF(DaB!EN54&gt;0,DaB!EN54-MAX(DaB!EK54:EM54),0))</f>
        <v>0</v>
      </c>
      <c r="DF54" s="2">
        <f t="shared" si="4"/>
        <v>45474</v>
      </c>
      <c r="DG54" s="28"/>
      <c r="DH54" s="29"/>
      <c r="DI54" s="10"/>
      <c r="DJ54" s="10"/>
      <c r="DK54" s="11"/>
      <c r="DL54" s="11"/>
      <c r="DM54" s="30"/>
      <c r="DN54" s="28"/>
      <c r="DO54" s="29"/>
      <c r="DP54" s="10"/>
      <c r="DQ54" s="10"/>
      <c r="DR54" s="11"/>
      <c r="DS54" s="11"/>
      <c r="DT54" s="30"/>
      <c r="DU54" s="28"/>
      <c r="DV54" s="29"/>
      <c r="DW54" s="10"/>
      <c r="DX54" s="10"/>
      <c r="DY54" s="11"/>
      <c r="DZ54" s="11"/>
      <c r="EA54" s="30"/>
      <c r="EB54" s="28"/>
      <c r="EC54" s="29"/>
      <c r="ED54" s="10"/>
      <c r="EE54" s="10"/>
      <c r="EF54" s="11"/>
      <c r="EG54" s="11"/>
      <c r="EH54" s="30"/>
      <c r="EI54" s="34"/>
      <c r="EJ54" s="29"/>
      <c r="EK54" s="10"/>
      <c r="EL54" s="10"/>
      <c r="EM54" s="30"/>
      <c r="EN54" s="34"/>
      <c r="EO54" s="29"/>
      <c r="EP54" s="47"/>
      <c r="EQ54" s="47"/>
      <c r="ER54" s="30"/>
      <c r="ES54" s="34"/>
      <c r="ET54" s="29"/>
      <c r="EU54" s="47"/>
      <c r="EV54" s="47"/>
      <c r="EW54" s="30"/>
    </row>
    <row r="55" spans="1:153" x14ac:dyDescent="0.2">
      <c r="A55" s="2" t="str">
        <f>DaB!A55</f>
        <v>Calendar 25</v>
      </c>
      <c r="B55" s="2" t="str">
        <f t="shared" si="3"/>
        <v>.</v>
      </c>
      <c r="C55" s="27">
        <f t="shared" si="1"/>
        <v>45474</v>
      </c>
      <c r="D55" s="34">
        <f>IFERROR(MIN(DaB!F55:K55)-C55,0)</f>
        <v>-45474</v>
      </c>
      <c r="E55" s="29">
        <f>IF(F55=0,0,IF(DaB!F55&gt;0,DaB!G55-DaB!F55,0))</f>
        <v>0</v>
      </c>
      <c r="F55" s="33">
        <f>IF(DaB!G55&gt;MAX(DaB!EV55,DaB!FJ55),DaB!H55-DaB!G55+1,
IF(DaB!H55&gt;0,DaB!H55-DaB!G55,0))</f>
        <v>0</v>
      </c>
      <c r="G55" s="32">
        <f>IF(F55=0,0,IF(DaB!J55&gt;0,DaB!J55-DaB!I55+1,0))</f>
        <v>0</v>
      </c>
      <c r="H55" s="30">
        <f>IF(F55=0,0,IF(DaB!K55&gt;0,DaB!K55-MAX(DaB!H55:J55),0))</f>
        <v>0</v>
      </c>
      <c r="I55" s="34">
        <f>IF(K55=0,0,MIN(DaB!$M55:$N55)-SUM($C55:H55))</f>
        <v>0</v>
      </c>
      <c r="J55" s="29">
        <f>IF(K55=0,0,IF(DaB!M55&gt;0,DaB!N55-DaB!M55,0))</f>
        <v>0</v>
      </c>
      <c r="K55" s="33">
        <f>IF(DaB!O55&gt;0,DaB!O55-DaB!N55+1,0)</f>
        <v>0</v>
      </c>
      <c r="L55" s="32">
        <f>IF(K55=0,0,IF(DaB!Q55&gt;0,DaB!Q55-DaB!P55+1,0))</f>
        <v>0</v>
      </c>
      <c r="M55" s="30">
        <f>IF(K55=0,0,IF(DaB!R55&gt;0,DaB!R55-MAX(DaB!O55:Q55),0))</f>
        <v>0</v>
      </c>
      <c r="N55" s="31">
        <f>IF(P55=0,0,MIN(DaB!$T55:$U55)-SUM($C55:M55))</f>
        <v>0</v>
      </c>
      <c r="O55" s="29">
        <f>IF(P55=0,0,IF(DaB!T55&gt;0,DaB!U55-DaB!T55,0))</f>
        <v>0</v>
      </c>
      <c r="P55" s="33">
        <f>IF(DaB!V55&gt;0,DaB!V55-DaB!U55+1,0)</f>
        <v>0</v>
      </c>
      <c r="Q55" s="32">
        <f>IF(P55=0,0,IF(DaB!X55&gt;0,DaB!X55-DaB!W55+1,0))</f>
        <v>0</v>
      </c>
      <c r="R55" s="30">
        <f>IF(P55=0,0,IF(DaB!Y55&gt;0,DaB!Y55-MAX(DaB!V55:X55),0))</f>
        <v>0</v>
      </c>
      <c r="S55" s="34">
        <f>IF(U55=0,0,MIN(DaB!$AA55:$AB55)-SUM($C55:R55))</f>
        <v>0</v>
      </c>
      <c r="T55" s="29">
        <f>IF(U55=0,0,IF(DaB!AA55&gt;0,DaB!AB55-DaB!AA55,0))</f>
        <v>0</v>
      </c>
      <c r="U55" s="33">
        <f>IF(DaB!AC55&gt;0,DaB!AC55-DaB!AB55+1,0)</f>
        <v>0</v>
      </c>
      <c r="V55" s="32">
        <f>IF(U55=0,0,IF(DaB!AE55&gt;0,DaB!AE55-DaB!AD55+1,0))</f>
        <v>0</v>
      </c>
      <c r="W55" s="30">
        <f>IF(U55=0,0,IF(DaB!AF55&gt;0,DaB!AF55-MAX(DaB!AC55:AE55),0))</f>
        <v>0</v>
      </c>
      <c r="X55" s="34">
        <f>IF(Z55=0,0,MIN(DaB!$AH55:$AI55)-SUM($C55:W55))</f>
        <v>0</v>
      </c>
      <c r="Y55" s="29">
        <f>IF(Z55=0,0,IF(DaB!AH55&gt;0,DaB!AI55-DaB!AH55,0))</f>
        <v>0</v>
      </c>
      <c r="Z55" s="33">
        <f>IF(DaB!AJ55&gt;0,DaB!AJ55-DaB!AI55+1,0)</f>
        <v>0</v>
      </c>
      <c r="AA55" s="32">
        <f>IF(Z55=0,0,IF(DaB!AL55&gt;0,DaB!AL55-DaB!AK55+1,0))</f>
        <v>0</v>
      </c>
      <c r="AB55" s="30">
        <f>IF(Z55=0,0,IF(DaB!AM55&gt;0,DaB!AM55-MAX(DaB!AJ55:AL55),0))</f>
        <v>0</v>
      </c>
      <c r="AC55" s="34">
        <f>IF(AE55=0,0,MIN(DaB!$AO55:$AP55)-SUM($C55:AB55))</f>
        <v>0</v>
      </c>
      <c r="AD55" s="29">
        <f>IF(AE55=0,0,IF(DaB!AO55&gt;0,DaB!AP55-DaB!AO55,0))</f>
        <v>0</v>
      </c>
      <c r="AE55" s="33">
        <f>IF(DaB!AQ55&gt;0,DaB!AQ55-DaB!AP55+1,0)</f>
        <v>0</v>
      </c>
      <c r="AF55" s="32">
        <f>IF(AE55=0,0,IF(DaB!AS55&gt;0,DaB!AS55-DaB!AR55+1,0))</f>
        <v>0</v>
      </c>
      <c r="AG55" s="30">
        <f>IF(AE55=0,0,IF(DaB!AT55&gt;0,DaB!AT55-MAX(DaB!AQ55:AS55),0))</f>
        <v>0</v>
      </c>
      <c r="AH55" s="34">
        <f>IF(AJ55=0,0,MIN(DaB!$AV55:$AW55)-SUM($C55:AG55))</f>
        <v>0</v>
      </c>
      <c r="AI55" s="29">
        <f>IF(AJ55=0,0,IF(DaB!AV55&gt;0,DaB!AW55-DaB!AV55,0))</f>
        <v>0</v>
      </c>
      <c r="AJ55" s="33">
        <f>IF(DaB!AX55&gt;0,DaB!AX55-DaB!AW55+1,0)</f>
        <v>0</v>
      </c>
      <c r="AK55" s="32">
        <f>IF(AJ55=0,0,IF(DaB!AZ55&gt;0,DaB!AZ55-DaB!AY55+1,0))</f>
        <v>0</v>
      </c>
      <c r="AL55" s="30">
        <f>IF(AJ55=0,0,IF(DaB!BA55&gt;0,DaB!BA55-MAX(DaB!AX55:AZ55),0))</f>
        <v>0</v>
      </c>
      <c r="AM55" s="34">
        <f>IF(AO55=0,0,MIN(DaB!$BC55:$BD55)-SUM($C55:AL55))</f>
        <v>0</v>
      </c>
      <c r="AN55" s="29">
        <f>IF(AO55=0,0,IF(DaB!BC55&gt;0,DaB!BD55-DaB!BC55,0))</f>
        <v>0</v>
      </c>
      <c r="AO55" s="33">
        <f>IF(DaB!BE55&gt;0,DaB!BE55-DaB!BD55+1,0)</f>
        <v>0</v>
      </c>
      <c r="AP55" s="32">
        <f>IF(AO55=0,0,IF(DaB!BG55&gt;0,DaB!BG55-DaB!BF55+1,0))</f>
        <v>0</v>
      </c>
      <c r="AQ55" s="30">
        <f>IF(AO55=0,0,IF(DaB!BH55&gt;0,DaB!BH55-MAX(DaB!BE55:BG55),0))</f>
        <v>0</v>
      </c>
      <c r="AR55" s="34">
        <f>IF(AT55=0,0,MIN(DaB!$BJ55:$BK55)-SUM($C55:AQ55))</f>
        <v>0</v>
      </c>
      <c r="AS55" s="29">
        <f>IF(AT55=0,0,IF(DaB!BJ55&gt;0,DaB!BK55-DaB!BJ55,0))</f>
        <v>0</v>
      </c>
      <c r="AT55" s="33">
        <f>IF(DaB!BL55&gt;0,DaB!BL55-DaB!BK55+1,0)</f>
        <v>0</v>
      </c>
      <c r="AU55" s="32">
        <f>IF(AT55=0,0,IF(DaB!BN55&gt;0,DaB!BN55-DaB!BM55+1,0))</f>
        <v>0</v>
      </c>
      <c r="AV55" s="30">
        <f>IF(AT55=0,0,IF(DaB!BO55&gt;0,DaB!BO55-MAX(DaB!BL55:BN55),0))</f>
        <v>0</v>
      </c>
      <c r="AW55" s="34">
        <f>IF(AY55=0,0,MIN(DaB!$BQ55:$BR55)-SUM($C55:AV55))</f>
        <v>0</v>
      </c>
      <c r="AX55" s="29">
        <f>IF(AY55=0,0,IF(DaB!BQ55&gt;0,DaB!BR55-DaB!BQ55,0))</f>
        <v>0</v>
      </c>
      <c r="AY55" s="33">
        <f>IF(DaB!BS55&gt;0,DaB!BS55-DaB!BR55+1,0)</f>
        <v>0</v>
      </c>
      <c r="AZ55" s="32">
        <f>IF(AY55=0,0,IF(DaB!BU55&gt;0,DaB!BU55-DaB!BT55+1,0))</f>
        <v>0</v>
      </c>
      <c r="BA55" s="30">
        <f>IF(AY55=0,0,IF(DaB!BV55&gt;0,DaB!BV55-MAX(DaB!BS55:BU55),0))</f>
        <v>0</v>
      </c>
      <c r="BB55" s="34">
        <f>IF(BD55=0,0,MIN(DaB!$BX55:$BY55)-SUM($C55:BA55))</f>
        <v>0</v>
      </c>
      <c r="BC55" s="29">
        <f>IF(BD55=0,0,IF(DaB!BX55&gt;0,DaB!BY55-DaB!BX55,0))</f>
        <v>0</v>
      </c>
      <c r="BD55" s="33">
        <f>IF(DaB!BZ55&gt;0,DaB!BZ55-DaB!BY55+1,0)</f>
        <v>0</v>
      </c>
      <c r="BE55" s="32">
        <f>IF(BD55=0,0,IF(DaB!CB55&gt;0,DaB!CB55-DaB!CA55+1,0))</f>
        <v>0</v>
      </c>
      <c r="BF55" s="30">
        <f>IF(BD55=0,0,IF(DaB!CC55&gt;0,DaB!CC55-MAX(DaB!BZ55:CB55),0))</f>
        <v>0</v>
      </c>
      <c r="BG55" s="34">
        <f>IF(BI55=0,0,MIN(DaB!$CE55:$CF55)-SUM($C55:BF55))</f>
        <v>0</v>
      </c>
      <c r="BH55" s="29">
        <f>IF(BI55=0,0,IF(DaB!CE55&gt;0,DaB!CF55-DaB!CE55,0))</f>
        <v>0</v>
      </c>
      <c r="BI55" s="33">
        <f>IF(DaB!CG55&gt;0,DaB!CG55-DaB!CF55+1,0)</f>
        <v>0</v>
      </c>
      <c r="BJ55" s="32">
        <f>IF(BI55=0,0,IF(DaB!CI55&gt;0,DaB!CI55-DaB!CH55+1,0))</f>
        <v>0</v>
      </c>
      <c r="BK55" s="30">
        <f>IF(BI55=0,0,IF(DaB!CJ55&gt;0,DaB!CJ55-MAX(DaB!CG55:CI55),0))</f>
        <v>0</v>
      </c>
      <c r="BL55" s="34">
        <f>IF(BN55=0,0,MIN(DaB!$CL55:$CM55)-SUM($C55:BK55))</f>
        <v>0</v>
      </c>
      <c r="BM55" s="29">
        <f>IF(BN55=0,0,IF(DaB!CL55&gt;0,DaB!CM55-DaB!CL55,0))</f>
        <v>0</v>
      </c>
      <c r="BN55" s="33">
        <f>IF(DaB!CN55&gt;0,DaB!CN55-DaB!CM55+1,0)</f>
        <v>0</v>
      </c>
      <c r="BO55" s="32">
        <f>IF(BN55=0,0,IF(DaB!CP55&gt;0,DaB!CP55-DaB!CO55+1,0))</f>
        <v>0</v>
      </c>
      <c r="BP55" s="30">
        <f>IF(BN55=0,0,IF(DaB!CQ55&gt;0,DaB!CQ55-MAX(DaB!CN55:CP55),0))</f>
        <v>0</v>
      </c>
      <c r="BQ55" s="34">
        <f>IF(BS55=0,0,MIN(DaB!$CS55:$CT55)-SUM($C55:BP55))</f>
        <v>0</v>
      </c>
      <c r="BR55" s="29">
        <f>IF(BS55=0,0,IF(DaB!CS55&gt;0,DaB!CT55-DaB!CS55,0))</f>
        <v>0</v>
      </c>
      <c r="BS55" s="33">
        <f>IF(DaB!CU55&gt;0,DaB!CU55-DaB!CT55+1,0)</f>
        <v>0</v>
      </c>
      <c r="BT55" s="32">
        <f>IF(BS55=0,0,IF(DaB!CW55&gt;0,DaB!CW55-DaB!CV55+1,0))</f>
        <v>0</v>
      </c>
      <c r="BU55" s="30">
        <f>IF(BS55=0,0,IF(DaB!CX55&gt;0,DaB!CX55-MAX(DaB!CU55:CW55),0))</f>
        <v>0</v>
      </c>
      <c r="BV55" s="34">
        <f>IF(BX55=0,0,MIN(DaB!$CZ55:$DA55)-SUM($C55:BU55))</f>
        <v>0</v>
      </c>
      <c r="BW55" s="29">
        <f>IF(BX55=0,0,IF(DaB!CZ55&gt;0,DaB!DA55-DaB!CZ55,0))</f>
        <v>0</v>
      </c>
      <c r="BX55" s="33">
        <f>IF(DaB!DB55&gt;0,DaB!DB55-DaB!DA55+1,0)</f>
        <v>0</v>
      </c>
      <c r="BY55" s="32">
        <f>IF(BX55=0,0,IF(DaB!DD55&gt;0,DaB!DD55-DaB!DC55+1,0))</f>
        <v>0</v>
      </c>
      <c r="BZ55" s="30">
        <f>IF(BX55=0,0,IF(DaB!DE55&gt;0,DaB!DE55-MAX(DaB!DB55:DD55),0))</f>
        <v>0</v>
      </c>
      <c r="CA55" s="34">
        <f>IF(CC55=0,0,MIN(DaB!$DG55:$DH55)-SUM($C55:BZ55))</f>
        <v>0</v>
      </c>
      <c r="CB55" s="29">
        <f>IF(CC55=0,0,IF(DaB!DG55&gt;0,DaB!DH55-DaB!DG55,0))</f>
        <v>0</v>
      </c>
      <c r="CC55" s="33">
        <f>IF(DaB!DI55&gt;0,DaB!DI55-DaB!DH55+1,0)</f>
        <v>0</v>
      </c>
      <c r="CD55" s="32">
        <f>IF(CC55=0,0,IF(DaB!DK55&gt;0,DaB!DK55-DaB!DJ55+1,0))</f>
        <v>0</v>
      </c>
      <c r="CE55" s="30">
        <f>IF(CC55=0,0,IF(DaB!DL55&gt;0,DaB!DL55-MAX(DaB!DI55:DK55),0))</f>
        <v>0</v>
      </c>
      <c r="CF55" s="34">
        <f>IF(CH55=0,0,MIN(DaB!$DN55:$DO55)-SUM($C55:CE55))</f>
        <v>0</v>
      </c>
      <c r="CG55" s="29">
        <f>IF(CH55=0,0,IF(DaB!DN55&gt;0,DaB!DO55-DaB!DN55,0))</f>
        <v>0</v>
      </c>
      <c r="CH55" s="33">
        <f>IF(DaB!DP55&gt;0,DaB!DP55-DaB!DO55+1,0)</f>
        <v>0</v>
      </c>
      <c r="CI55" s="32">
        <f>IF(CH55=0,0,IF(DaB!DR55&gt;0,DaB!DR55-DaB!DQ55+1,0))</f>
        <v>0</v>
      </c>
      <c r="CJ55" s="30">
        <f>IF(CH55=0,0,IF(DaB!DS55&gt;0,DaB!DS55-MAX(DaB!DP55:DR55),0))</f>
        <v>0</v>
      </c>
      <c r="CK55" s="34">
        <f>IF(CM55=0,0,MIN(DaB!$DU55:$DV55)-SUM($C55:CJ55))</f>
        <v>0</v>
      </c>
      <c r="CL55" s="29">
        <f>IF(CM55=0,0,IF(DaB!DU55&gt;0,DaB!DV55-DaB!DU55,0))</f>
        <v>0</v>
      </c>
      <c r="CM55" s="33">
        <f>IF(DaB!DW55&gt;0,DaB!DW55-DaB!DV55+1,0)</f>
        <v>0</v>
      </c>
      <c r="CN55" s="32">
        <f>IF(CM55=0,0,IF(DaB!DY55&gt;0,DaB!DY55-DaB!DX55+1,0))</f>
        <v>0</v>
      </c>
      <c r="CO55" s="30">
        <f>IF(CM55=0,0,IF(DaB!DZ55&gt;0,DaB!DZ55-MAX(DaB!DW55:DY55),0))</f>
        <v>0</v>
      </c>
      <c r="CP55" s="34">
        <f>IF(CR55=0,0,MIN(DaB!$EB55:$EC55)-SUM($C55:CO55))</f>
        <v>0</v>
      </c>
      <c r="CQ55" s="29">
        <f>IF(CR55=0,0,IF(DaB!EB55&gt;0,DaB!EC55-DaB!EB55,0))</f>
        <v>0</v>
      </c>
      <c r="CR55" s="33">
        <f>IF(DaB!ED55&gt;0,DaB!ED55-DaB!EC55+1,0)</f>
        <v>0</v>
      </c>
      <c r="CS55" s="32">
        <f>IF(CR55=0,0,IF(DaB!EF55&gt;0,DaB!EF55-DaB!EE55+1,0))</f>
        <v>0</v>
      </c>
      <c r="CT55" s="30">
        <f>IF(CR55=0,0,IF(DaB!EG55&gt;0,DaB!EG55-MAX(DaB!ED55:EF55),0))</f>
        <v>0</v>
      </c>
      <c r="CU55" s="34">
        <f>IF(CW55=0,0,MIN(DaB!$EI55:$EJ55)-SUM($C55:CT55))</f>
        <v>0</v>
      </c>
      <c r="CV55" s="29">
        <f>IF(CW55=0,0,IF(DaB!EI55&gt;0,DaB!EJ55-DaB!EI55,0))</f>
        <v>0</v>
      </c>
      <c r="CW55" s="33">
        <f>IF(DaB!EK55&gt;0,DaB!EK55-DaB!EJ55+1,0)</f>
        <v>0</v>
      </c>
      <c r="CX55" s="32">
        <f>IF(CW55=0,0,IF(DaB!EM55&gt;0,DaB!EM55-DaB!EL55+1,0))</f>
        <v>0</v>
      </c>
      <c r="CY55" s="30">
        <f>IF(CW55=0,0,IF(DaB!EN55&gt;0,DaB!EN55-MAX(DaB!EK55:EM55),0))</f>
        <v>0</v>
      </c>
      <c r="DF55" s="2">
        <f t="shared" si="4"/>
        <v>45474</v>
      </c>
      <c r="DG55" s="28"/>
      <c r="DH55" s="29"/>
      <c r="DI55" s="10"/>
      <c r="DJ55" s="10"/>
      <c r="DK55" s="11"/>
      <c r="DL55" s="11"/>
      <c r="DM55" s="30"/>
      <c r="DN55" s="28"/>
      <c r="DO55" s="29"/>
      <c r="DP55" s="10"/>
      <c r="DQ55" s="10"/>
      <c r="DR55" s="11"/>
      <c r="DS55" s="11"/>
      <c r="DT55" s="30"/>
      <c r="DU55" s="28"/>
      <c r="DV55" s="29"/>
      <c r="DW55" s="10"/>
      <c r="DX55" s="10"/>
      <c r="DY55" s="11"/>
      <c r="DZ55" s="11"/>
      <c r="EA55" s="30"/>
      <c r="EB55" s="28"/>
      <c r="EC55" s="29"/>
      <c r="ED55" s="10"/>
      <c r="EE55" s="10"/>
      <c r="EF55" s="11"/>
      <c r="EG55" s="11"/>
      <c r="EH55" s="30"/>
      <c r="EI55" s="34"/>
      <c r="EJ55" s="29"/>
      <c r="EK55" s="10"/>
      <c r="EL55" s="10"/>
      <c r="EM55" s="30"/>
      <c r="EN55" s="34"/>
      <c r="EO55" s="29"/>
      <c r="EP55" s="47"/>
      <c r="EQ55" s="47"/>
      <c r="ER55" s="30"/>
      <c r="ES55" s="34"/>
      <c r="ET55" s="29"/>
      <c r="EU55" s="47"/>
      <c r="EV55" s="47"/>
      <c r="EW55" s="30"/>
    </row>
    <row r="56" spans="1:153" x14ac:dyDescent="0.2">
      <c r="A56" s="2" t="str">
        <f>DaB!A56</f>
        <v>Calendar 26</v>
      </c>
      <c r="B56" s="2" t="str">
        <f t="shared" si="3"/>
        <v>.</v>
      </c>
      <c r="C56" s="27">
        <f t="shared" si="1"/>
        <v>45474</v>
      </c>
      <c r="D56" s="34">
        <f>IFERROR(MIN(DaB!F56:K56)-C56,0)</f>
        <v>-45474</v>
      </c>
      <c r="E56" s="29">
        <f>IF(F56=0,0,IF(DaB!F56&gt;0,DaB!G56-DaB!F56,0))</f>
        <v>0</v>
      </c>
      <c r="F56" s="33">
        <f>IF(DaB!G56&gt;MAX(DaB!EV56,DaB!FJ56),DaB!H56-DaB!G56+1,
IF(DaB!H56&gt;0,DaB!H56-DaB!G56,0))</f>
        <v>0</v>
      </c>
      <c r="G56" s="32">
        <f>IF(F56=0,0,IF(DaB!J56&gt;0,DaB!J56-DaB!I56+1,0))</f>
        <v>0</v>
      </c>
      <c r="H56" s="30">
        <f>IF(F56=0,0,IF(DaB!K56&gt;0,DaB!K56-MAX(DaB!H56:J56),0))</f>
        <v>0</v>
      </c>
      <c r="I56" s="34">
        <f>IF(K56=0,0,MIN(DaB!$M56:$N56)-SUM($C56:H56))</f>
        <v>0</v>
      </c>
      <c r="J56" s="29">
        <f>IF(K56=0,0,IF(DaB!M56&gt;0,DaB!N56-DaB!M56,0))</f>
        <v>0</v>
      </c>
      <c r="K56" s="33">
        <f>IF(DaB!O56&gt;0,DaB!O56-DaB!N56+1,0)</f>
        <v>0</v>
      </c>
      <c r="L56" s="32">
        <f>IF(K56=0,0,IF(DaB!Q56&gt;0,DaB!Q56-DaB!P56+1,0))</f>
        <v>0</v>
      </c>
      <c r="M56" s="30">
        <f>IF(K56=0,0,IF(DaB!R56&gt;0,DaB!R56-MAX(DaB!O56:Q56),0))</f>
        <v>0</v>
      </c>
      <c r="N56" s="31">
        <f>IF(P56=0,0,MIN(DaB!$T56:$U56)-SUM($C56:M56))</f>
        <v>0</v>
      </c>
      <c r="O56" s="29">
        <f>IF(P56=0,0,IF(DaB!T56&gt;0,DaB!U56-DaB!T56,0))</f>
        <v>0</v>
      </c>
      <c r="P56" s="33">
        <f>IF(DaB!V56&gt;0,DaB!V56-DaB!U56+1,0)</f>
        <v>0</v>
      </c>
      <c r="Q56" s="32">
        <f>IF(P56=0,0,IF(DaB!X56&gt;0,DaB!X56-DaB!W56+1,0))</f>
        <v>0</v>
      </c>
      <c r="R56" s="30">
        <f>IF(P56=0,0,IF(DaB!Y56&gt;0,DaB!Y56-MAX(DaB!V56:X56),0))</f>
        <v>0</v>
      </c>
      <c r="S56" s="34">
        <f>IF(U56=0,0,MIN(DaB!$AA56:$AB56)-SUM($C56:R56))</f>
        <v>0</v>
      </c>
      <c r="T56" s="29">
        <f>IF(U56=0,0,IF(DaB!AA56&gt;0,DaB!AB56-DaB!AA56,0))</f>
        <v>0</v>
      </c>
      <c r="U56" s="33">
        <f>IF(DaB!AC56&gt;0,DaB!AC56-DaB!AB56+1,0)</f>
        <v>0</v>
      </c>
      <c r="V56" s="32">
        <f>IF(U56=0,0,IF(DaB!AE56&gt;0,DaB!AE56-DaB!AD56+1,0))</f>
        <v>0</v>
      </c>
      <c r="W56" s="30">
        <f>IF(U56=0,0,IF(DaB!AF56&gt;0,DaB!AF56-MAX(DaB!AC56:AE56),0))</f>
        <v>0</v>
      </c>
      <c r="X56" s="34">
        <f>IF(Z56=0,0,MIN(DaB!$AH56:$AI56)-SUM($C56:W56))</f>
        <v>0</v>
      </c>
      <c r="Y56" s="29">
        <f>IF(Z56=0,0,IF(DaB!AH56&gt;0,DaB!AI56-DaB!AH56,0))</f>
        <v>0</v>
      </c>
      <c r="Z56" s="33">
        <f>IF(DaB!AJ56&gt;0,DaB!AJ56-DaB!AI56+1,0)</f>
        <v>0</v>
      </c>
      <c r="AA56" s="32">
        <f>IF(Z56=0,0,IF(DaB!AL56&gt;0,DaB!AL56-DaB!AK56+1,0))</f>
        <v>0</v>
      </c>
      <c r="AB56" s="30">
        <f>IF(Z56=0,0,IF(DaB!AM56&gt;0,DaB!AM56-MAX(DaB!AJ56:AL56),0))</f>
        <v>0</v>
      </c>
      <c r="AC56" s="34">
        <f>IF(AE56=0,0,MIN(DaB!$AO56:$AP56)-SUM($C56:AB56))</f>
        <v>0</v>
      </c>
      <c r="AD56" s="29">
        <f>IF(AE56=0,0,IF(DaB!AO56&gt;0,DaB!AP56-DaB!AO56,0))</f>
        <v>0</v>
      </c>
      <c r="AE56" s="33">
        <f>IF(DaB!AQ56&gt;0,DaB!AQ56-DaB!AP56+1,0)</f>
        <v>0</v>
      </c>
      <c r="AF56" s="32">
        <f>IF(AE56=0,0,IF(DaB!AS56&gt;0,DaB!AS56-DaB!AR56+1,0))</f>
        <v>0</v>
      </c>
      <c r="AG56" s="30">
        <f>IF(AE56=0,0,IF(DaB!AT56&gt;0,DaB!AT56-MAX(DaB!AQ56:AS56),0))</f>
        <v>0</v>
      </c>
      <c r="AH56" s="34">
        <f>IF(AJ56=0,0,MIN(DaB!$AV56:$AW56)-SUM($C56:AG56))</f>
        <v>0</v>
      </c>
      <c r="AI56" s="29">
        <f>IF(AJ56=0,0,IF(DaB!AV56&gt;0,DaB!AW56-DaB!AV56,0))</f>
        <v>0</v>
      </c>
      <c r="AJ56" s="33">
        <f>IF(DaB!AX56&gt;0,DaB!AX56-DaB!AW56+1,0)</f>
        <v>0</v>
      </c>
      <c r="AK56" s="32">
        <f>IF(AJ56=0,0,IF(DaB!AZ56&gt;0,DaB!AZ56-DaB!AY56+1,0))</f>
        <v>0</v>
      </c>
      <c r="AL56" s="30">
        <f>IF(AJ56=0,0,IF(DaB!BA56&gt;0,DaB!BA56-MAX(DaB!AX56:AZ56),0))</f>
        <v>0</v>
      </c>
      <c r="AM56" s="34">
        <f>IF(AO56=0,0,MIN(DaB!$BC56:$BD56)-SUM($C56:AL56))</f>
        <v>0</v>
      </c>
      <c r="AN56" s="29">
        <f>IF(AO56=0,0,IF(DaB!BC56&gt;0,DaB!BD56-DaB!BC56,0))</f>
        <v>0</v>
      </c>
      <c r="AO56" s="33">
        <f>IF(DaB!BE56&gt;0,DaB!BE56-DaB!BD56+1,0)</f>
        <v>0</v>
      </c>
      <c r="AP56" s="32">
        <f>IF(AO56=0,0,IF(DaB!BG56&gt;0,DaB!BG56-DaB!BF56+1,0))</f>
        <v>0</v>
      </c>
      <c r="AQ56" s="30">
        <f>IF(AO56=0,0,IF(DaB!BH56&gt;0,DaB!BH56-MAX(DaB!BE56:BG56),0))</f>
        <v>0</v>
      </c>
      <c r="AR56" s="34">
        <f>IF(AT56=0,0,MIN(DaB!$BJ56:$BK56)-SUM($C56:AQ56))</f>
        <v>0</v>
      </c>
      <c r="AS56" s="29">
        <f>IF(AT56=0,0,IF(DaB!BJ56&gt;0,DaB!BK56-DaB!BJ56,0))</f>
        <v>0</v>
      </c>
      <c r="AT56" s="33">
        <f>IF(DaB!BL56&gt;0,DaB!BL56-DaB!BK56+1,0)</f>
        <v>0</v>
      </c>
      <c r="AU56" s="32">
        <f>IF(AT56=0,0,IF(DaB!BN56&gt;0,DaB!BN56-DaB!BM56+1,0))</f>
        <v>0</v>
      </c>
      <c r="AV56" s="30">
        <f>IF(AT56=0,0,IF(DaB!BO56&gt;0,DaB!BO56-MAX(DaB!BL56:BN56),0))</f>
        <v>0</v>
      </c>
      <c r="AW56" s="34">
        <f>IF(AY56=0,0,MIN(DaB!$BQ56:$BR56)-SUM($C56:AV56))</f>
        <v>0</v>
      </c>
      <c r="AX56" s="29">
        <f>IF(AY56=0,0,IF(DaB!BQ56&gt;0,DaB!BR56-DaB!BQ56,0))</f>
        <v>0</v>
      </c>
      <c r="AY56" s="33">
        <f>IF(DaB!BS56&gt;0,DaB!BS56-DaB!BR56+1,0)</f>
        <v>0</v>
      </c>
      <c r="AZ56" s="32">
        <f>IF(AY56=0,0,IF(DaB!BU56&gt;0,DaB!BU56-DaB!BT56+1,0))</f>
        <v>0</v>
      </c>
      <c r="BA56" s="30">
        <f>IF(AY56=0,0,IF(DaB!BV56&gt;0,DaB!BV56-MAX(DaB!BS56:BU56),0))</f>
        <v>0</v>
      </c>
      <c r="BB56" s="34">
        <f>IF(BD56=0,0,MIN(DaB!$BX56:$BY56)-SUM($C56:BA56))</f>
        <v>0</v>
      </c>
      <c r="BC56" s="29">
        <f>IF(BD56=0,0,IF(DaB!BX56&gt;0,DaB!BY56-DaB!BX56,0))</f>
        <v>0</v>
      </c>
      <c r="BD56" s="33">
        <f>IF(DaB!BZ56&gt;0,DaB!BZ56-DaB!BY56+1,0)</f>
        <v>0</v>
      </c>
      <c r="BE56" s="32">
        <f>IF(BD56=0,0,IF(DaB!CB56&gt;0,DaB!CB56-DaB!CA56+1,0))</f>
        <v>0</v>
      </c>
      <c r="BF56" s="30">
        <f>IF(BD56=0,0,IF(DaB!CC56&gt;0,DaB!CC56-MAX(DaB!BZ56:CB56),0))</f>
        <v>0</v>
      </c>
      <c r="BG56" s="34">
        <f>IF(BI56=0,0,MIN(DaB!$CE56:$CF56)-SUM($C56:BF56))</f>
        <v>0</v>
      </c>
      <c r="BH56" s="29">
        <f>IF(BI56=0,0,IF(DaB!CE56&gt;0,DaB!CF56-DaB!CE56,0))</f>
        <v>0</v>
      </c>
      <c r="BI56" s="33">
        <f>IF(DaB!CG56&gt;0,DaB!CG56-DaB!CF56+1,0)</f>
        <v>0</v>
      </c>
      <c r="BJ56" s="32">
        <f>IF(BI56=0,0,IF(DaB!CI56&gt;0,DaB!CI56-DaB!CH56+1,0))</f>
        <v>0</v>
      </c>
      <c r="BK56" s="30">
        <f>IF(BI56=0,0,IF(DaB!CJ56&gt;0,DaB!CJ56-MAX(DaB!CG56:CI56),0))</f>
        <v>0</v>
      </c>
      <c r="BL56" s="34">
        <f>IF(BN56=0,0,MIN(DaB!$CL56:$CM56)-SUM($C56:BK56))</f>
        <v>0</v>
      </c>
      <c r="BM56" s="29">
        <f>IF(BN56=0,0,IF(DaB!CL56&gt;0,DaB!CM56-DaB!CL56,0))</f>
        <v>0</v>
      </c>
      <c r="BN56" s="33">
        <f>IF(DaB!CN56&gt;0,DaB!CN56-DaB!CM56+1,0)</f>
        <v>0</v>
      </c>
      <c r="BO56" s="32">
        <f>IF(BN56=0,0,IF(DaB!CP56&gt;0,DaB!CP56-DaB!CO56+1,0))</f>
        <v>0</v>
      </c>
      <c r="BP56" s="30">
        <f>IF(BN56=0,0,IF(DaB!CQ56&gt;0,DaB!CQ56-MAX(DaB!CN56:CP56),0))</f>
        <v>0</v>
      </c>
      <c r="BQ56" s="34">
        <f>IF(BS56=0,0,MIN(DaB!$CS56:$CT56)-SUM($C56:BP56))</f>
        <v>0</v>
      </c>
      <c r="BR56" s="29">
        <f>IF(BS56=0,0,IF(DaB!CS56&gt;0,DaB!CT56-DaB!CS56,0))</f>
        <v>0</v>
      </c>
      <c r="BS56" s="33">
        <f>IF(DaB!CU56&gt;0,DaB!CU56-DaB!CT56+1,0)</f>
        <v>0</v>
      </c>
      <c r="BT56" s="32">
        <f>IF(BS56=0,0,IF(DaB!CW56&gt;0,DaB!CW56-DaB!CV56+1,0))</f>
        <v>0</v>
      </c>
      <c r="BU56" s="30">
        <f>IF(BS56=0,0,IF(DaB!CX56&gt;0,DaB!CX56-MAX(DaB!CU56:CW56),0))</f>
        <v>0</v>
      </c>
      <c r="BV56" s="34">
        <f>IF(BX56=0,0,MIN(DaB!$CZ56:$DA56)-SUM($C56:BU56))</f>
        <v>0</v>
      </c>
      <c r="BW56" s="29">
        <f>IF(BX56=0,0,IF(DaB!CZ56&gt;0,DaB!DA56-DaB!CZ56,0))</f>
        <v>0</v>
      </c>
      <c r="BX56" s="33">
        <f>IF(DaB!DB56&gt;0,DaB!DB56-DaB!DA56+1,0)</f>
        <v>0</v>
      </c>
      <c r="BY56" s="32">
        <f>IF(BX56=0,0,IF(DaB!DD56&gt;0,DaB!DD56-DaB!DC56+1,0))</f>
        <v>0</v>
      </c>
      <c r="BZ56" s="30">
        <f>IF(BX56=0,0,IF(DaB!DE56&gt;0,DaB!DE56-MAX(DaB!DB56:DD56),0))</f>
        <v>0</v>
      </c>
      <c r="CA56" s="34">
        <f>IF(CC56=0,0,MIN(DaB!$DG56:$DH56)-SUM($C56:BZ56))</f>
        <v>0</v>
      </c>
      <c r="CB56" s="29">
        <f>IF(CC56=0,0,IF(DaB!DG56&gt;0,DaB!DH56-DaB!DG56,0))</f>
        <v>0</v>
      </c>
      <c r="CC56" s="33">
        <f>IF(DaB!DI56&gt;0,DaB!DI56-DaB!DH56+1,0)</f>
        <v>0</v>
      </c>
      <c r="CD56" s="32">
        <f>IF(CC56=0,0,IF(DaB!DK56&gt;0,DaB!DK56-DaB!DJ56+1,0))</f>
        <v>0</v>
      </c>
      <c r="CE56" s="30">
        <f>IF(CC56=0,0,IF(DaB!DL56&gt;0,DaB!DL56-MAX(DaB!DI56:DK56),0))</f>
        <v>0</v>
      </c>
      <c r="CF56" s="34">
        <f>IF(CH56=0,0,MIN(DaB!$DN56:$DO56)-SUM($C56:CE56))</f>
        <v>0</v>
      </c>
      <c r="CG56" s="29">
        <f>IF(CH56=0,0,IF(DaB!DN56&gt;0,DaB!DO56-DaB!DN56,0))</f>
        <v>0</v>
      </c>
      <c r="CH56" s="33">
        <f>IF(DaB!DP56&gt;0,DaB!DP56-DaB!DO56+1,0)</f>
        <v>0</v>
      </c>
      <c r="CI56" s="32">
        <f>IF(CH56=0,0,IF(DaB!DR56&gt;0,DaB!DR56-DaB!DQ56+1,0))</f>
        <v>0</v>
      </c>
      <c r="CJ56" s="30">
        <f>IF(CH56=0,0,IF(DaB!DS56&gt;0,DaB!DS56-MAX(DaB!DP56:DR56),0))</f>
        <v>0</v>
      </c>
      <c r="CK56" s="34">
        <f>IF(CM56=0,0,MIN(DaB!$DU56:$DV56)-SUM($C56:CJ56))</f>
        <v>0</v>
      </c>
      <c r="CL56" s="29">
        <f>IF(CM56=0,0,IF(DaB!DU56&gt;0,DaB!DV56-DaB!DU56,0))</f>
        <v>0</v>
      </c>
      <c r="CM56" s="33">
        <f>IF(DaB!DW56&gt;0,DaB!DW56-DaB!DV56+1,0)</f>
        <v>0</v>
      </c>
      <c r="CN56" s="32">
        <f>IF(CM56=0,0,IF(DaB!DY56&gt;0,DaB!DY56-DaB!DX56+1,0))</f>
        <v>0</v>
      </c>
      <c r="CO56" s="30">
        <f>IF(CM56=0,0,IF(DaB!DZ56&gt;0,DaB!DZ56-MAX(DaB!DW56:DY56),0))</f>
        <v>0</v>
      </c>
      <c r="CP56" s="34">
        <f>IF(CR56=0,0,MIN(DaB!$EB56:$EC56)-SUM($C56:CO56))</f>
        <v>0</v>
      </c>
      <c r="CQ56" s="29">
        <f>IF(CR56=0,0,IF(DaB!EB56&gt;0,DaB!EC56-DaB!EB56,0))</f>
        <v>0</v>
      </c>
      <c r="CR56" s="33">
        <f>IF(DaB!ED56&gt;0,DaB!ED56-DaB!EC56+1,0)</f>
        <v>0</v>
      </c>
      <c r="CS56" s="32">
        <f>IF(CR56=0,0,IF(DaB!EF56&gt;0,DaB!EF56-DaB!EE56+1,0))</f>
        <v>0</v>
      </c>
      <c r="CT56" s="30">
        <f>IF(CR56=0,0,IF(DaB!EG56&gt;0,DaB!EG56-MAX(DaB!ED56:EF56),0))</f>
        <v>0</v>
      </c>
      <c r="CU56" s="34">
        <f>IF(CW56=0,0,MIN(DaB!$EI56:$EJ56)-SUM($C56:CT56))</f>
        <v>0</v>
      </c>
      <c r="CV56" s="29">
        <f>IF(CW56=0,0,IF(DaB!EI56&gt;0,DaB!EJ56-DaB!EI56,0))</f>
        <v>0</v>
      </c>
      <c r="CW56" s="33">
        <f>IF(DaB!EK56&gt;0,DaB!EK56-DaB!EJ56+1,0)</f>
        <v>0</v>
      </c>
      <c r="CX56" s="32">
        <f>IF(CW56=0,0,IF(DaB!EM56&gt;0,DaB!EM56-DaB!EL56+1,0))</f>
        <v>0</v>
      </c>
      <c r="CY56" s="30">
        <f>IF(CW56=0,0,IF(DaB!EN56&gt;0,DaB!EN56-MAX(DaB!EK56:EM56),0))</f>
        <v>0</v>
      </c>
      <c r="DF56" s="2">
        <f t="shared" si="4"/>
        <v>45474</v>
      </c>
      <c r="DG56" s="28"/>
      <c r="DH56" s="29"/>
      <c r="DI56" s="10"/>
      <c r="DJ56" s="10"/>
      <c r="DK56" s="11"/>
      <c r="DL56" s="11"/>
      <c r="DM56" s="30"/>
      <c r="DN56" s="28"/>
      <c r="DO56" s="29"/>
      <c r="DP56" s="10"/>
      <c r="DQ56" s="10"/>
      <c r="DR56" s="11"/>
      <c r="DS56" s="11"/>
      <c r="DT56" s="30"/>
      <c r="DU56" s="28"/>
      <c r="DV56" s="29"/>
      <c r="DW56" s="10"/>
      <c r="DX56" s="10"/>
      <c r="DY56" s="11"/>
      <c r="DZ56" s="11"/>
      <c r="EA56" s="30"/>
      <c r="EB56" s="28"/>
      <c r="EC56" s="29"/>
      <c r="ED56" s="10"/>
      <c r="EE56" s="10"/>
      <c r="EF56" s="11"/>
      <c r="EG56" s="11"/>
      <c r="EH56" s="30"/>
      <c r="EI56" s="34"/>
      <c r="EJ56" s="29"/>
      <c r="EK56" s="10"/>
      <c r="EL56" s="10"/>
      <c r="EM56" s="30"/>
      <c r="EN56" s="34"/>
      <c r="EO56" s="29"/>
      <c r="EP56" s="47"/>
      <c r="EQ56" s="47"/>
      <c r="ER56" s="30"/>
      <c r="ES56" s="34"/>
      <c r="ET56" s="29"/>
      <c r="EU56" s="47"/>
      <c r="EV56" s="47"/>
      <c r="EW56" s="30"/>
    </row>
    <row r="57" spans="1:153" x14ac:dyDescent="0.2">
      <c r="A57" s="2" t="str">
        <f>DaB!A57</f>
        <v>Calendar 26</v>
      </c>
      <c r="B57" s="2" t="str">
        <f t="shared" si="3"/>
        <v>.</v>
      </c>
      <c r="C57" s="27">
        <f t="shared" si="1"/>
        <v>45474</v>
      </c>
      <c r="D57" s="34">
        <f>IFERROR(MIN(DaB!F57:K57)-C57,0)</f>
        <v>-45474</v>
      </c>
      <c r="E57" s="29">
        <f>IF(F57=0,0,IF(DaB!F57&gt;0,DaB!G57-DaB!F57,0))</f>
        <v>0</v>
      </c>
      <c r="F57" s="33">
        <f>IF(DaB!G57&gt;MAX(DaB!EV57,DaB!FJ57),DaB!H57-DaB!G57+1,
IF(DaB!H57&gt;0,DaB!H57-DaB!G57,0))</f>
        <v>0</v>
      </c>
      <c r="G57" s="32">
        <f>IF(F57=0,0,IF(DaB!J57&gt;0,DaB!J57-DaB!I57+1,0))</f>
        <v>0</v>
      </c>
      <c r="H57" s="30">
        <f>IF(F57=0,0,IF(DaB!K57&gt;0,DaB!K57-MAX(DaB!H57:J57),0))</f>
        <v>0</v>
      </c>
      <c r="I57" s="34">
        <f>IF(K57=0,0,MIN(DaB!$M57:$N57)-SUM($C57:H57))</f>
        <v>0</v>
      </c>
      <c r="J57" s="29">
        <f>IF(K57=0,0,IF(DaB!M57&gt;0,DaB!N57-DaB!M57,0))</f>
        <v>0</v>
      </c>
      <c r="K57" s="33">
        <f>IF(DaB!O57&gt;0,DaB!O57-DaB!N57+1,0)</f>
        <v>0</v>
      </c>
      <c r="L57" s="32">
        <f>IF(K57=0,0,IF(DaB!Q57&gt;0,DaB!Q57-DaB!P57+1,0))</f>
        <v>0</v>
      </c>
      <c r="M57" s="30">
        <f>IF(K57=0,0,IF(DaB!R57&gt;0,DaB!R57-MAX(DaB!O57:Q57),0))</f>
        <v>0</v>
      </c>
      <c r="N57" s="31">
        <f>IF(P57=0,0,MIN(DaB!$T57:$U57)-SUM($C57:M57))</f>
        <v>0</v>
      </c>
      <c r="O57" s="29">
        <f>IF(P57=0,0,IF(DaB!T57&gt;0,DaB!U57-DaB!T57,0))</f>
        <v>0</v>
      </c>
      <c r="P57" s="33">
        <f>IF(DaB!V57&gt;0,DaB!V57-DaB!U57+1,0)</f>
        <v>0</v>
      </c>
      <c r="Q57" s="32">
        <f>IF(P57=0,0,IF(DaB!X57&gt;0,DaB!X57-DaB!W57+1,0))</f>
        <v>0</v>
      </c>
      <c r="R57" s="30">
        <f>IF(P57=0,0,IF(DaB!Y57&gt;0,DaB!Y57-MAX(DaB!V57:X57),0))</f>
        <v>0</v>
      </c>
      <c r="S57" s="34">
        <f>IF(U57=0,0,MIN(DaB!$AA57:$AB57)-SUM($C57:R57))</f>
        <v>0</v>
      </c>
      <c r="T57" s="29">
        <f>IF(U57=0,0,IF(DaB!AA57&gt;0,DaB!AB57-DaB!AA57,0))</f>
        <v>0</v>
      </c>
      <c r="U57" s="33">
        <f>IF(DaB!AC57&gt;0,DaB!AC57-DaB!AB57+1,0)</f>
        <v>0</v>
      </c>
      <c r="V57" s="32">
        <f>IF(U57=0,0,IF(DaB!AE57&gt;0,DaB!AE57-DaB!AD57+1,0))</f>
        <v>0</v>
      </c>
      <c r="W57" s="30">
        <f>IF(U57=0,0,IF(DaB!AF57&gt;0,DaB!AF57-MAX(DaB!AC57:AE57),0))</f>
        <v>0</v>
      </c>
      <c r="X57" s="34">
        <f>IF(Z57=0,0,MIN(DaB!$AH57:$AI57)-SUM($C57:W57))</f>
        <v>0</v>
      </c>
      <c r="Y57" s="29">
        <f>IF(Z57=0,0,IF(DaB!AH57&gt;0,DaB!AI57-DaB!AH57,0))</f>
        <v>0</v>
      </c>
      <c r="Z57" s="33">
        <f>IF(DaB!AJ57&gt;0,DaB!AJ57-DaB!AI57+1,0)</f>
        <v>0</v>
      </c>
      <c r="AA57" s="32">
        <f>IF(Z57=0,0,IF(DaB!AL57&gt;0,DaB!AL57-DaB!AK57+1,0))</f>
        <v>0</v>
      </c>
      <c r="AB57" s="30">
        <f>IF(Z57=0,0,IF(DaB!AM57&gt;0,DaB!AM57-MAX(DaB!AJ57:AL57),0))</f>
        <v>0</v>
      </c>
      <c r="AC57" s="34">
        <f>IF(AE57=0,0,MIN(DaB!$AO57:$AP57)-SUM($C57:AB57))</f>
        <v>0</v>
      </c>
      <c r="AD57" s="29">
        <f>IF(AE57=0,0,IF(DaB!AO57&gt;0,DaB!AP57-DaB!AO57,0))</f>
        <v>0</v>
      </c>
      <c r="AE57" s="33">
        <f>IF(DaB!AQ57&gt;0,DaB!AQ57-DaB!AP57+1,0)</f>
        <v>0</v>
      </c>
      <c r="AF57" s="32">
        <f>IF(AE57=0,0,IF(DaB!AS57&gt;0,DaB!AS57-DaB!AR57+1,0))</f>
        <v>0</v>
      </c>
      <c r="AG57" s="30">
        <f>IF(AE57=0,0,IF(DaB!AT57&gt;0,DaB!AT57-MAX(DaB!AQ57:AS57),0))</f>
        <v>0</v>
      </c>
      <c r="AH57" s="34">
        <f>IF(AJ57=0,0,MIN(DaB!$AV57:$AW57)-SUM($C57:AG57))</f>
        <v>0</v>
      </c>
      <c r="AI57" s="29">
        <f>IF(AJ57=0,0,IF(DaB!AV57&gt;0,DaB!AW57-DaB!AV57,0))</f>
        <v>0</v>
      </c>
      <c r="AJ57" s="33">
        <f>IF(DaB!AX57&gt;0,DaB!AX57-DaB!AW57+1,0)</f>
        <v>0</v>
      </c>
      <c r="AK57" s="32">
        <f>IF(AJ57=0,0,IF(DaB!AZ57&gt;0,DaB!AZ57-DaB!AY57+1,0))</f>
        <v>0</v>
      </c>
      <c r="AL57" s="30">
        <f>IF(AJ57=0,0,IF(DaB!BA57&gt;0,DaB!BA57-MAX(DaB!AX57:AZ57),0))</f>
        <v>0</v>
      </c>
      <c r="AM57" s="34">
        <f>IF(AO57=0,0,MIN(DaB!$BC57:$BD57)-SUM($C57:AL57))</f>
        <v>0</v>
      </c>
      <c r="AN57" s="29">
        <f>IF(AO57=0,0,IF(DaB!BC57&gt;0,DaB!BD57-DaB!BC57,0))</f>
        <v>0</v>
      </c>
      <c r="AO57" s="33">
        <f>IF(DaB!BE57&gt;0,DaB!BE57-DaB!BD57+1,0)</f>
        <v>0</v>
      </c>
      <c r="AP57" s="32">
        <f>IF(AO57=0,0,IF(DaB!BG57&gt;0,DaB!BG57-DaB!BF57+1,0))</f>
        <v>0</v>
      </c>
      <c r="AQ57" s="30">
        <f>IF(AO57=0,0,IF(DaB!BH57&gt;0,DaB!BH57-MAX(DaB!BE57:BG57),0))</f>
        <v>0</v>
      </c>
      <c r="AR57" s="34">
        <f>IF(AT57=0,0,MIN(DaB!$BJ57:$BK57)-SUM($C57:AQ57))</f>
        <v>0</v>
      </c>
      <c r="AS57" s="29">
        <f>IF(AT57=0,0,IF(DaB!BJ57&gt;0,DaB!BK57-DaB!BJ57,0))</f>
        <v>0</v>
      </c>
      <c r="AT57" s="33">
        <f>IF(DaB!BL57&gt;0,DaB!BL57-DaB!BK57+1,0)</f>
        <v>0</v>
      </c>
      <c r="AU57" s="32">
        <f>IF(AT57=0,0,IF(DaB!BN57&gt;0,DaB!BN57-DaB!BM57+1,0))</f>
        <v>0</v>
      </c>
      <c r="AV57" s="30">
        <f>IF(AT57=0,0,IF(DaB!BO57&gt;0,DaB!BO57-MAX(DaB!BL57:BN57),0))</f>
        <v>0</v>
      </c>
      <c r="AW57" s="34">
        <f>IF(AY57=0,0,MIN(DaB!$BQ57:$BR57)-SUM($C57:AV57))</f>
        <v>0</v>
      </c>
      <c r="AX57" s="29">
        <f>IF(AY57=0,0,IF(DaB!BQ57&gt;0,DaB!BR57-DaB!BQ57,0))</f>
        <v>0</v>
      </c>
      <c r="AY57" s="33">
        <f>IF(DaB!BS57&gt;0,DaB!BS57-DaB!BR57+1,0)</f>
        <v>0</v>
      </c>
      <c r="AZ57" s="32">
        <f>IF(AY57=0,0,IF(DaB!BU57&gt;0,DaB!BU57-DaB!BT57+1,0))</f>
        <v>0</v>
      </c>
      <c r="BA57" s="30">
        <f>IF(AY57=0,0,IF(DaB!BV57&gt;0,DaB!BV57-MAX(DaB!BS57:BU57),0))</f>
        <v>0</v>
      </c>
      <c r="BB57" s="34">
        <f>IF(BD57=0,0,MIN(DaB!$BX57:$BY57)-SUM($C57:BA57))</f>
        <v>0</v>
      </c>
      <c r="BC57" s="29">
        <f>IF(BD57=0,0,IF(DaB!BX57&gt;0,DaB!BY57-DaB!BX57,0))</f>
        <v>0</v>
      </c>
      <c r="BD57" s="33">
        <f>IF(DaB!BZ57&gt;0,DaB!BZ57-DaB!BY57+1,0)</f>
        <v>0</v>
      </c>
      <c r="BE57" s="32">
        <f>IF(BD57=0,0,IF(DaB!CB57&gt;0,DaB!CB57-DaB!CA57+1,0))</f>
        <v>0</v>
      </c>
      <c r="BF57" s="30">
        <f>IF(BD57=0,0,IF(DaB!CC57&gt;0,DaB!CC57-MAX(DaB!BZ57:CB57),0))</f>
        <v>0</v>
      </c>
      <c r="BG57" s="34">
        <f>IF(BI57=0,0,MIN(DaB!$CE57:$CF57)-SUM($C57:BF57))</f>
        <v>0</v>
      </c>
      <c r="BH57" s="29">
        <f>IF(BI57=0,0,IF(DaB!CE57&gt;0,DaB!CF57-DaB!CE57,0))</f>
        <v>0</v>
      </c>
      <c r="BI57" s="33">
        <f>IF(DaB!CG57&gt;0,DaB!CG57-DaB!CF57+1,0)</f>
        <v>0</v>
      </c>
      <c r="BJ57" s="32">
        <f>IF(BI57=0,0,IF(DaB!CI57&gt;0,DaB!CI57-DaB!CH57+1,0))</f>
        <v>0</v>
      </c>
      <c r="BK57" s="30">
        <f>IF(BI57=0,0,IF(DaB!CJ57&gt;0,DaB!CJ57-MAX(DaB!CG57:CI57),0))</f>
        <v>0</v>
      </c>
      <c r="BL57" s="34">
        <f>IF(BN57=0,0,MIN(DaB!$CL57:$CM57)-SUM($C57:BK57))</f>
        <v>0</v>
      </c>
      <c r="BM57" s="29">
        <f>IF(BN57=0,0,IF(DaB!CL57&gt;0,DaB!CM57-DaB!CL57,0))</f>
        <v>0</v>
      </c>
      <c r="BN57" s="33">
        <f>IF(DaB!CN57&gt;0,DaB!CN57-DaB!CM57+1,0)</f>
        <v>0</v>
      </c>
      <c r="BO57" s="32">
        <f>IF(BN57=0,0,IF(DaB!CP57&gt;0,DaB!CP57-DaB!CO57+1,0))</f>
        <v>0</v>
      </c>
      <c r="BP57" s="30">
        <f>IF(BN57=0,0,IF(DaB!CQ57&gt;0,DaB!CQ57-MAX(DaB!CN57:CP57),0))</f>
        <v>0</v>
      </c>
      <c r="BQ57" s="34">
        <f>IF(BS57=0,0,MIN(DaB!$CS57:$CT57)-SUM($C57:BP57))</f>
        <v>0</v>
      </c>
      <c r="BR57" s="29">
        <f>IF(BS57=0,0,IF(DaB!CS57&gt;0,DaB!CT57-DaB!CS57,0))</f>
        <v>0</v>
      </c>
      <c r="BS57" s="33">
        <f>IF(DaB!CU57&gt;0,DaB!CU57-DaB!CT57+1,0)</f>
        <v>0</v>
      </c>
      <c r="BT57" s="32">
        <f>IF(BS57=0,0,IF(DaB!CW57&gt;0,DaB!CW57-DaB!CV57+1,0))</f>
        <v>0</v>
      </c>
      <c r="BU57" s="30">
        <f>IF(BS57=0,0,IF(DaB!CX57&gt;0,DaB!CX57-MAX(DaB!CU57:CW57),0))</f>
        <v>0</v>
      </c>
      <c r="BV57" s="34">
        <f>IF(BX57=0,0,MIN(DaB!$CZ57:$DA57)-SUM($C57:BU57))</f>
        <v>0</v>
      </c>
      <c r="BW57" s="29">
        <f>IF(BX57=0,0,IF(DaB!CZ57&gt;0,DaB!DA57-DaB!CZ57,0))</f>
        <v>0</v>
      </c>
      <c r="BX57" s="33">
        <f>IF(DaB!DB57&gt;0,DaB!DB57-DaB!DA57+1,0)</f>
        <v>0</v>
      </c>
      <c r="BY57" s="32">
        <f>IF(BX57=0,0,IF(DaB!DD57&gt;0,DaB!DD57-DaB!DC57+1,0))</f>
        <v>0</v>
      </c>
      <c r="BZ57" s="30">
        <f>IF(BX57=0,0,IF(DaB!DE57&gt;0,DaB!DE57-MAX(DaB!DB57:DD57),0))</f>
        <v>0</v>
      </c>
      <c r="CA57" s="34">
        <f>IF(CC57=0,0,MIN(DaB!$DG57:$DH57)-SUM($C57:BZ57))</f>
        <v>0</v>
      </c>
      <c r="CB57" s="29">
        <f>IF(CC57=0,0,IF(DaB!DG57&gt;0,DaB!DH57-DaB!DG57,0))</f>
        <v>0</v>
      </c>
      <c r="CC57" s="33">
        <f>IF(DaB!DI57&gt;0,DaB!DI57-DaB!DH57+1,0)</f>
        <v>0</v>
      </c>
      <c r="CD57" s="32">
        <f>IF(CC57=0,0,IF(DaB!DK57&gt;0,DaB!DK57-DaB!DJ57+1,0))</f>
        <v>0</v>
      </c>
      <c r="CE57" s="30">
        <f>IF(CC57=0,0,IF(DaB!DL57&gt;0,DaB!DL57-MAX(DaB!DI57:DK57),0))</f>
        <v>0</v>
      </c>
      <c r="CF57" s="34">
        <f>IF(CH57=0,0,MIN(DaB!$DN57:$DO57)-SUM($C57:CE57))</f>
        <v>0</v>
      </c>
      <c r="CG57" s="29">
        <f>IF(CH57=0,0,IF(DaB!DN57&gt;0,DaB!DO57-DaB!DN57,0))</f>
        <v>0</v>
      </c>
      <c r="CH57" s="33">
        <f>IF(DaB!DP57&gt;0,DaB!DP57-DaB!DO57+1,0)</f>
        <v>0</v>
      </c>
      <c r="CI57" s="32">
        <f>IF(CH57=0,0,IF(DaB!DR57&gt;0,DaB!DR57-DaB!DQ57+1,0))</f>
        <v>0</v>
      </c>
      <c r="CJ57" s="30">
        <f>IF(CH57=0,0,IF(DaB!DS57&gt;0,DaB!DS57-MAX(DaB!DP57:DR57),0))</f>
        <v>0</v>
      </c>
      <c r="CK57" s="34">
        <f>IF(CM57=0,0,MIN(DaB!$DU57:$DV57)-SUM($C57:CJ57))</f>
        <v>0</v>
      </c>
      <c r="CL57" s="29">
        <f>IF(CM57=0,0,IF(DaB!DU57&gt;0,DaB!DV57-DaB!DU57,0))</f>
        <v>0</v>
      </c>
      <c r="CM57" s="33">
        <f>IF(DaB!DW57&gt;0,DaB!DW57-DaB!DV57+1,0)</f>
        <v>0</v>
      </c>
      <c r="CN57" s="32">
        <f>IF(CM57=0,0,IF(DaB!DY57&gt;0,DaB!DY57-DaB!DX57+1,0))</f>
        <v>0</v>
      </c>
      <c r="CO57" s="30">
        <f>IF(CM57=0,0,IF(DaB!DZ57&gt;0,DaB!DZ57-MAX(DaB!DW57:DY57),0))</f>
        <v>0</v>
      </c>
      <c r="CP57" s="34">
        <f>IF(CR57=0,0,MIN(DaB!$EB57:$EC57)-SUM($C57:CO57))</f>
        <v>0</v>
      </c>
      <c r="CQ57" s="29">
        <f>IF(CR57=0,0,IF(DaB!EB57&gt;0,DaB!EC57-DaB!EB57,0))</f>
        <v>0</v>
      </c>
      <c r="CR57" s="33">
        <f>IF(DaB!ED57&gt;0,DaB!ED57-DaB!EC57+1,0)</f>
        <v>0</v>
      </c>
      <c r="CS57" s="32">
        <f>IF(CR57=0,0,IF(DaB!EF57&gt;0,DaB!EF57-DaB!EE57+1,0))</f>
        <v>0</v>
      </c>
      <c r="CT57" s="30">
        <f>IF(CR57=0,0,IF(DaB!EG57&gt;0,DaB!EG57-MAX(DaB!ED57:EF57),0))</f>
        <v>0</v>
      </c>
      <c r="CU57" s="34">
        <f>IF(CW57=0,0,MIN(DaB!$EI57:$EJ57)-SUM($C57:CT57))</f>
        <v>0</v>
      </c>
      <c r="CV57" s="29">
        <f>IF(CW57=0,0,IF(DaB!EI57&gt;0,DaB!EJ57-DaB!EI57,0))</f>
        <v>0</v>
      </c>
      <c r="CW57" s="33">
        <f>IF(DaB!EK57&gt;0,DaB!EK57-DaB!EJ57+1,0)</f>
        <v>0</v>
      </c>
      <c r="CX57" s="32">
        <f>IF(CW57=0,0,IF(DaB!EM57&gt;0,DaB!EM57-DaB!EL57+1,0))</f>
        <v>0</v>
      </c>
      <c r="CY57" s="30">
        <f>IF(CW57=0,0,IF(DaB!EN57&gt;0,DaB!EN57-MAX(DaB!EK57:EM57),0))</f>
        <v>0</v>
      </c>
      <c r="DF57" s="2">
        <f t="shared" si="4"/>
        <v>45474</v>
      </c>
      <c r="DG57" s="28"/>
      <c r="DH57" s="29"/>
      <c r="DI57" s="10"/>
      <c r="DJ57" s="10"/>
      <c r="DK57" s="11"/>
      <c r="DL57" s="11"/>
      <c r="DM57" s="30"/>
      <c r="DN57" s="28"/>
      <c r="DO57" s="29"/>
      <c r="DP57" s="10"/>
      <c r="DQ57" s="10"/>
      <c r="DR57" s="11"/>
      <c r="DS57" s="11"/>
      <c r="DT57" s="30"/>
      <c r="DU57" s="28"/>
      <c r="DV57" s="29"/>
      <c r="DW57" s="10"/>
      <c r="DX57" s="10"/>
      <c r="DY57" s="11"/>
      <c r="DZ57" s="11"/>
      <c r="EA57" s="30"/>
      <c r="EB57" s="28"/>
      <c r="EC57" s="29"/>
      <c r="ED57" s="10"/>
      <c r="EE57" s="10"/>
      <c r="EF57" s="11"/>
      <c r="EG57" s="11"/>
      <c r="EH57" s="30"/>
      <c r="EI57" s="34"/>
      <c r="EJ57" s="29"/>
      <c r="EK57" s="10"/>
      <c r="EL57" s="10"/>
      <c r="EM57" s="30"/>
      <c r="EN57" s="34"/>
      <c r="EO57" s="29"/>
      <c r="EP57" s="47"/>
      <c r="EQ57" s="47"/>
      <c r="ER57" s="30"/>
      <c r="ES57" s="34"/>
      <c r="ET57" s="29"/>
      <c r="EU57" s="47"/>
      <c r="EV57" s="47"/>
      <c r="EW57" s="30"/>
    </row>
    <row r="58" spans="1:153" x14ac:dyDescent="0.2">
      <c r="A58" s="2" t="str">
        <f>DaB!A58</f>
        <v>Calendar 27</v>
      </c>
      <c r="B58" s="2" t="str">
        <f t="shared" si="3"/>
        <v>.</v>
      </c>
      <c r="C58" s="27">
        <f t="shared" si="1"/>
        <v>45474</v>
      </c>
      <c r="D58" s="34">
        <f>IFERROR(MIN(DaB!F58:K58)-C58,0)</f>
        <v>-45474</v>
      </c>
      <c r="E58" s="29">
        <f>IF(F58=0,0,IF(DaB!F58&gt;0,DaB!G58-DaB!F58,0))</f>
        <v>0</v>
      </c>
      <c r="F58" s="33">
        <f>IF(DaB!G58&gt;MAX(DaB!EV58,DaB!FJ58),DaB!H58-DaB!G58+1,
IF(DaB!H58&gt;0,DaB!H58-DaB!G58,0))</f>
        <v>0</v>
      </c>
      <c r="G58" s="32">
        <f>IF(F58=0,0,IF(DaB!J58&gt;0,DaB!J58-DaB!I58+1,0))</f>
        <v>0</v>
      </c>
      <c r="H58" s="30">
        <f>IF(F58=0,0,IF(DaB!K58&gt;0,DaB!K58-MAX(DaB!H58:J58),0))</f>
        <v>0</v>
      </c>
      <c r="I58" s="34">
        <f>IF(K58=0,0,MIN(DaB!$M58:$N58)-SUM($C58:H58))</f>
        <v>0</v>
      </c>
      <c r="J58" s="29">
        <f>IF(K58=0,0,IF(DaB!M58&gt;0,DaB!N58-DaB!M58,0))</f>
        <v>0</v>
      </c>
      <c r="K58" s="33">
        <f>IF(DaB!O58&gt;0,DaB!O58-DaB!N58+1,0)</f>
        <v>0</v>
      </c>
      <c r="L58" s="32">
        <f>IF(K58=0,0,IF(DaB!Q58&gt;0,DaB!Q58-DaB!P58+1,0))</f>
        <v>0</v>
      </c>
      <c r="M58" s="30">
        <f>IF(K58=0,0,IF(DaB!R58&gt;0,DaB!R58-MAX(DaB!O58:Q58),0))</f>
        <v>0</v>
      </c>
      <c r="N58" s="31">
        <f>IF(P58=0,0,MIN(DaB!$T58:$U58)-SUM($C58:M58))</f>
        <v>0</v>
      </c>
      <c r="O58" s="29">
        <f>IF(P58=0,0,IF(DaB!T58&gt;0,DaB!U58-DaB!T58,0))</f>
        <v>0</v>
      </c>
      <c r="P58" s="33">
        <f>IF(DaB!V58&gt;0,DaB!V58-DaB!U58+1,0)</f>
        <v>0</v>
      </c>
      <c r="Q58" s="32">
        <f>IF(P58=0,0,IF(DaB!X58&gt;0,DaB!X58-DaB!W58+1,0))</f>
        <v>0</v>
      </c>
      <c r="R58" s="30">
        <f>IF(P58=0,0,IF(DaB!Y58&gt;0,DaB!Y58-MAX(DaB!V58:X58),0))</f>
        <v>0</v>
      </c>
      <c r="S58" s="34">
        <f>IF(U58=0,0,MIN(DaB!$AA58:$AB58)-SUM($C58:R58))</f>
        <v>0</v>
      </c>
      <c r="T58" s="29">
        <f>IF(U58=0,0,IF(DaB!AA58&gt;0,DaB!AB58-DaB!AA58,0))</f>
        <v>0</v>
      </c>
      <c r="U58" s="33">
        <f>IF(DaB!AC58&gt;0,DaB!AC58-DaB!AB58+1,0)</f>
        <v>0</v>
      </c>
      <c r="V58" s="32">
        <f>IF(U58=0,0,IF(DaB!AE58&gt;0,DaB!AE58-DaB!AD58+1,0))</f>
        <v>0</v>
      </c>
      <c r="W58" s="30">
        <f>IF(U58=0,0,IF(DaB!AF58&gt;0,DaB!AF58-MAX(DaB!AC58:AE58),0))</f>
        <v>0</v>
      </c>
      <c r="X58" s="34">
        <f>IF(Z58=0,0,MIN(DaB!$AH58:$AI58)-SUM($C58:W58))</f>
        <v>0</v>
      </c>
      <c r="Y58" s="29">
        <f>IF(Z58=0,0,IF(DaB!AH58&gt;0,DaB!AI58-DaB!AH58,0))</f>
        <v>0</v>
      </c>
      <c r="Z58" s="33">
        <f>IF(DaB!AJ58&gt;0,DaB!AJ58-DaB!AI58+1,0)</f>
        <v>0</v>
      </c>
      <c r="AA58" s="32">
        <f>IF(Z58=0,0,IF(DaB!AL58&gt;0,DaB!AL58-DaB!AK58+1,0))</f>
        <v>0</v>
      </c>
      <c r="AB58" s="30">
        <f>IF(Z58=0,0,IF(DaB!AM58&gt;0,DaB!AM58-MAX(DaB!AJ58:AL58),0))</f>
        <v>0</v>
      </c>
      <c r="AC58" s="34">
        <f>IF(AE58=0,0,MIN(DaB!$AO58:$AP58)-SUM($C58:AB58))</f>
        <v>0</v>
      </c>
      <c r="AD58" s="29">
        <f>IF(AE58=0,0,IF(DaB!AO58&gt;0,DaB!AP58-DaB!AO58,0))</f>
        <v>0</v>
      </c>
      <c r="AE58" s="33">
        <f>IF(DaB!AQ58&gt;0,DaB!AQ58-DaB!AP58+1,0)</f>
        <v>0</v>
      </c>
      <c r="AF58" s="32">
        <f>IF(AE58=0,0,IF(DaB!AS58&gt;0,DaB!AS58-DaB!AR58+1,0))</f>
        <v>0</v>
      </c>
      <c r="AG58" s="30">
        <f>IF(AE58=0,0,IF(DaB!AT58&gt;0,DaB!AT58-MAX(DaB!AQ58:AS58),0))</f>
        <v>0</v>
      </c>
      <c r="AH58" s="34">
        <f>IF(AJ58=0,0,MIN(DaB!$AV58:$AW58)-SUM($C58:AG58))</f>
        <v>0</v>
      </c>
      <c r="AI58" s="29">
        <f>IF(AJ58=0,0,IF(DaB!AV58&gt;0,DaB!AW58-DaB!AV58,0))</f>
        <v>0</v>
      </c>
      <c r="AJ58" s="33">
        <f>IF(DaB!AX58&gt;0,DaB!AX58-DaB!AW58+1,0)</f>
        <v>0</v>
      </c>
      <c r="AK58" s="32">
        <f>IF(AJ58=0,0,IF(DaB!AZ58&gt;0,DaB!AZ58-DaB!AY58+1,0))</f>
        <v>0</v>
      </c>
      <c r="AL58" s="30">
        <f>IF(AJ58=0,0,IF(DaB!BA58&gt;0,DaB!BA58-MAX(DaB!AX58:AZ58),0))</f>
        <v>0</v>
      </c>
      <c r="AM58" s="34">
        <f>IF(AO58=0,0,MIN(DaB!$BC58:$BD58)-SUM($C58:AL58))</f>
        <v>0</v>
      </c>
      <c r="AN58" s="29">
        <f>IF(AO58=0,0,IF(DaB!BC58&gt;0,DaB!BD58-DaB!BC58,0))</f>
        <v>0</v>
      </c>
      <c r="AO58" s="33">
        <f>IF(DaB!BE58&gt;0,DaB!BE58-DaB!BD58+1,0)</f>
        <v>0</v>
      </c>
      <c r="AP58" s="32">
        <f>IF(AO58=0,0,IF(DaB!BG58&gt;0,DaB!BG58-DaB!BF58+1,0))</f>
        <v>0</v>
      </c>
      <c r="AQ58" s="30">
        <f>IF(AO58=0,0,IF(DaB!BH58&gt;0,DaB!BH58-MAX(DaB!BE58:BG58),0))</f>
        <v>0</v>
      </c>
      <c r="AR58" s="34">
        <f>IF(AT58=0,0,MIN(DaB!$BJ58:$BK58)-SUM($C58:AQ58))</f>
        <v>0</v>
      </c>
      <c r="AS58" s="29">
        <f>IF(AT58=0,0,IF(DaB!BJ58&gt;0,DaB!BK58-DaB!BJ58,0))</f>
        <v>0</v>
      </c>
      <c r="AT58" s="33">
        <f>IF(DaB!BL58&gt;0,DaB!BL58-DaB!BK58+1,0)</f>
        <v>0</v>
      </c>
      <c r="AU58" s="32">
        <f>IF(AT58=0,0,IF(DaB!BN58&gt;0,DaB!BN58-DaB!BM58+1,0))</f>
        <v>0</v>
      </c>
      <c r="AV58" s="30">
        <f>IF(AT58=0,0,IF(DaB!BO58&gt;0,DaB!BO58-MAX(DaB!BL58:BN58),0))</f>
        <v>0</v>
      </c>
      <c r="AW58" s="34">
        <f>IF(AY58=0,0,MIN(DaB!$BQ58:$BR58)-SUM($C58:AV58))</f>
        <v>0</v>
      </c>
      <c r="AX58" s="29">
        <f>IF(AY58=0,0,IF(DaB!BQ58&gt;0,DaB!BR58-DaB!BQ58,0))</f>
        <v>0</v>
      </c>
      <c r="AY58" s="33">
        <f>IF(DaB!BS58&gt;0,DaB!BS58-DaB!BR58+1,0)</f>
        <v>0</v>
      </c>
      <c r="AZ58" s="32">
        <f>IF(AY58=0,0,IF(DaB!BU58&gt;0,DaB!BU58-DaB!BT58+1,0))</f>
        <v>0</v>
      </c>
      <c r="BA58" s="30">
        <f>IF(AY58=0,0,IF(DaB!BV58&gt;0,DaB!BV58-MAX(DaB!BS58:BU58),0))</f>
        <v>0</v>
      </c>
      <c r="BB58" s="34">
        <f>IF(BD58=0,0,MIN(DaB!$BX58:$BY58)-SUM($C58:BA58))</f>
        <v>0</v>
      </c>
      <c r="BC58" s="29">
        <f>IF(BD58=0,0,IF(DaB!BX58&gt;0,DaB!BY58-DaB!BX58,0))</f>
        <v>0</v>
      </c>
      <c r="BD58" s="33">
        <f>IF(DaB!BZ58&gt;0,DaB!BZ58-DaB!BY58+1,0)</f>
        <v>0</v>
      </c>
      <c r="BE58" s="32">
        <f>IF(BD58=0,0,IF(DaB!CB58&gt;0,DaB!CB58-DaB!CA58+1,0))</f>
        <v>0</v>
      </c>
      <c r="BF58" s="30">
        <f>IF(BD58=0,0,IF(DaB!CC58&gt;0,DaB!CC58-MAX(DaB!BZ58:CB58),0))</f>
        <v>0</v>
      </c>
      <c r="BG58" s="34">
        <f>IF(BI58=0,0,MIN(DaB!$CE58:$CF58)-SUM($C58:BF58))</f>
        <v>0</v>
      </c>
      <c r="BH58" s="29">
        <f>IF(BI58=0,0,IF(DaB!CE58&gt;0,DaB!CF58-DaB!CE58,0))</f>
        <v>0</v>
      </c>
      <c r="BI58" s="33">
        <f>IF(DaB!CG58&gt;0,DaB!CG58-DaB!CF58+1,0)</f>
        <v>0</v>
      </c>
      <c r="BJ58" s="32">
        <f>IF(BI58=0,0,IF(DaB!CI58&gt;0,DaB!CI58-DaB!CH58+1,0))</f>
        <v>0</v>
      </c>
      <c r="BK58" s="30">
        <f>IF(BI58=0,0,IF(DaB!CJ58&gt;0,DaB!CJ58-MAX(DaB!CG58:CI58),0))</f>
        <v>0</v>
      </c>
      <c r="BL58" s="34">
        <f>IF(BN58=0,0,MIN(DaB!$CL58:$CM58)-SUM($C58:BK58))</f>
        <v>0</v>
      </c>
      <c r="BM58" s="29">
        <f>IF(BN58=0,0,IF(DaB!CL58&gt;0,DaB!CM58-DaB!CL58,0))</f>
        <v>0</v>
      </c>
      <c r="BN58" s="33">
        <f>IF(DaB!CN58&gt;0,DaB!CN58-DaB!CM58+1,0)</f>
        <v>0</v>
      </c>
      <c r="BO58" s="32">
        <f>IF(BN58=0,0,IF(DaB!CP58&gt;0,DaB!CP58-DaB!CO58+1,0))</f>
        <v>0</v>
      </c>
      <c r="BP58" s="30">
        <f>IF(BN58=0,0,IF(DaB!CQ58&gt;0,DaB!CQ58-MAX(DaB!CN58:CP58),0))</f>
        <v>0</v>
      </c>
      <c r="BQ58" s="34">
        <f>IF(BS58=0,0,MIN(DaB!$CS58:$CT58)-SUM($C58:BP58))</f>
        <v>0</v>
      </c>
      <c r="BR58" s="29">
        <f>IF(BS58=0,0,IF(DaB!CS58&gt;0,DaB!CT58-DaB!CS58,0))</f>
        <v>0</v>
      </c>
      <c r="BS58" s="33">
        <f>IF(DaB!CU58&gt;0,DaB!CU58-DaB!CT58+1,0)</f>
        <v>0</v>
      </c>
      <c r="BT58" s="32">
        <f>IF(BS58=0,0,IF(DaB!CW58&gt;0,DaB!CW58-DaB!CV58+1,0))</f>
        <v>0</v>
      </c>
      <c r="BU58" s="30">
        <f>IF(BS58=0,0,IF(DaB!CX58&gt;0,DaB!CX58-MAX(DaB!CU58:CW58),0))</f>
        <v>0</v>
      </c>
      <c r="BV58" s="34">
        <f>IF(BX58=0,0,MIN(DaB!$CZ58:$DA58)-SUM($C58:BU58))</f>
        <v>0</v>
      </c>
      <c r="BW58" s="29">
        <f>IF(BX58=0,0,IF(DaB!CZ58&gt;0,DaB!DA58-DaB!CZ58,0))</f>
        <v>0</v>
      </c>
      <c r="BX58" s="33">
        <f>IF(DaB!DB58&gt;0,DaB!DB58-DaB!DA58+1,0)</f>
        <v>0</v>
      </c>
      <c r="BY58" s="32">
        <f>IF(BX58=0,0,IF(DaB!DD58&gt;0,DaB!DD58-DaB!DC58+1,0))</f>
        <v>0</v>
      </c>
      <c r="BZ58" s="30">
        <f>IF(BX58=0,0,IF(DaB!DE58&gt;0,DaB!DE58-MAX(DaB!DB58:DD58),0))</f>
        <v>0</v>
      </c>
      <c r="CA58" s="34">
        <f>IF(CC58=0,0,MIN(DaB!$DG58:$DH58)-SUM($C58:BZ58))</f>
        <v>0</v>
      </c>
      <c r="CB58" s="29">
        <f>IF(CC58=0,0,IF(DaB!DG58&gt;0,DaB!DH58-DaB!DG58,0))</f>
        <v>0</v>
      </c>
      <c r="CC58" s="33">
        <f>IF(DaB!DI58&gt;0,DaB!DI58-DaB!DH58+1,0)</f>
        <v>0</v>
      </c>
      <c r="CD58" s="32">
        <f>IF(CC58=0,0,IF(DaB!DK58&gt;0,DaB!DK58-DaB!DJ58+1,0))</f>
        <v>0</v>
      </c>
      <c r="CE58" s="30">
        <f>IF(CC58=0,0,IF(DaB!DL58&gt;0,DaB!DL58-MAX(DaB!DI58:DK58),0))</f>
        <v>0</v>
      </c>
      <c r="CF58" s="34">
        <f>IF(CH58=0,0,MIN(DaB!$DN58:$DO58)-SUM($C58:CE58))</f>
        <v>0</v>
      </c>
      <c r="CG58" s="29">
        <f>IF(CH58=0,0,IF(DaB!DN58&gt;0,DaB!DO58-DaB!DN58,0))</f>
        <v>0</v>
      </c>
      <c r="CH58" s="33">
        <f>IF(DaB!DP58&gt;0,DaB!DP58-DaB!DO58+1,0)</f>
        <v>0</v>
      </c>
      <c r="CI58" s="32">
        <f>IF(CH58=0,0,IF(DaB!DR58&gt;0,DaB!DR58-DaB!DQ58+1,0))</f>
        <v>0</v>
      </c>
      <c r="CJ58" s="30">
        <f>IF(CH58=0,0,IF(DaB!DS58&gt;0,DaB!DS58-MAX(DaB!DP58:DR58),0))</f>
        <v>0</v>
      </c>
      <c r="CK58" s="34">
        <f>IF(CM58=0,0,MIN(DaB!$DU58:$DV58)-SUM($C58:CJ58))</f>
        <v>0</v>
      </c>
      <c r="CL58" s="29">
        <f>IF(CM58=0,0,IF(DaB!DU58&gt;0,DaB!DV58-DaB!DU58,0))</f>
        <v>0</v>
      </c>
      <c r="CM58" s="33">
        <f>IF(DaB!DW58&gt;0,DaB!DW58-DaB!DV58+1,0)</f>
        <v>0</v>
      </c>
      <c r="CN58" s="32">
        <f>IF(CM58=0,0,IF(DaB!DY58&gt;0,DaB!DY58-DaB!DX58+1,0))</f>
        <v>0</v>
      </c>
      <c r="CO58" s="30">
        <f>IF(CM58=0,0,IF(DaB!DZ58&gt;0,DaB!DZ58-MAX(DaB!DW58:DY58),0))</f>
        <v>0</v>
      </c>
      <c r="CP58" s="34">
        <f>IF(CR58=0,0,MIN(DaB!$EB58:$EC58)-SUM($C58:CO58))</f>
        <v>0</v>
      </c>
      <c r="CQ58" s="29">
        <f>IF(CR58=0,0,IF(DaB!EB58&gt;0,DaB!EC58-DaB!EB58,0))</f>
        <v>0</v>
      </c>
      <c r="CR58" s="33">
        <f>IF(DaB!ED58&gt;0,DaB!ED58-DaB!EC58+1,0)</f>
        <v>0</v>
      </c>
      <c r="CS58" s="32">
        <f>IF(CR58=0,0,IF(DaB!EF58&gt;0,DaB!EF58-DaB!EE58+1,0))</f>
        <v>0</v>
      </c>
      <c r="CT58" s="30">
        <f>IF(CR58=0,0,IF(DaB!EG58&gt;0,DaB!EG58-MAX(DaB!ED58:EF58),0))</f>
        <v>0</v>
      </c>
      <c r="CU58" s="34">
        <f>IF(CW58=0,0,MIN(DaB!$EI58:$EJ58)-SUM($C58:CT58))</f>
        <v>0</v>
      </c>
      <c r="CV58" s="29">
        <f>IF(CW58=0,0,IF(DaB!EI58&gt;0,DaB!EJ58-DaB!EI58,0))</f>
        <v>0</v>
      </c>
      <c r="CW58" s="33">
        <f>IF(DaB!EK58&gt;0,DaB!EK58-DaB!EJ58+1,0)</f>
        <v>0</v>
      </c>
      <c r="CX58" s="32">
        <f>IF(CW58=0,0,IF(DaB!EM58&gt;0,DaB!EM58-DaB!EL58+1,0))</f>
        <v>0</v>
      </c>
      <c r="CY58" s="30">
        <f>IF(CW58=0,0,IF(DaB!EN58&gt;0,DaB!EN58-MAX(DaB!EK58:EM58),0))</f>
        <v>0</v>
      </c>
      <c r="DF58" s="2">
        <f t="shared" si="4"/>
        <v>45474</v>
      </c>
      <c r="DG58" s="28"/>
      <c r="DH58" s="29"/>
      <c r="DI58" s="10"/>
      <c r="DJ58" s="10"/>
      <c r="DK58" s="11"/>
      <c r="DL58" s="11"/>
      <c r="DM58" s="30"/>
      <c r="DN58" s="28"/>
      <c r="DO58" s="29"/>
      <c r="DP58" s="10"/>
      <c r="DQ58" s="10"/>
      <c r="DR58" s="11"/>
      <c r="DS58" s="11"/>
      <c r="DT58" s="30"/>
      <c r="DU58" s="28"/>
      <c r="DV58" s="29"/>
      <c r="DW58" s="10"/>
      <c r="DX58" s="10"/>
      <c r="DY58" s="11"/>
      <c r="DZ58" s="11"/>
      <c r="EA58" s="30"/>
      <c r="EB58" s="28"/>
      <c r="EC58" s="29"/>
      <c r="ED58" s="10"/>
      <c r="EE58" s="10"/>
      <c r="EF58" s="11"/>
      <c r="EG58" s="11"/>
      <c r="EH58" s="30"/>
      <c r="EI58" s="34"/>
      <c r="EJ58" s="29"/>
      <c r="EK58" s="10"/>
      <c r="EL58" s="10"/>
      <c r="EM58" s="30"/>
      <c r="EN58" s="34"/>
      <c r="EO58" s="29"/>
      <c r="EP58" s="47"/>
      <c r="EQ58" s="47"/>
      <c r="ER58" s="30"/>
      <c r="ES58" s="34"/>
      <c r="ET58" s="29"/>
      <c r="EU58" s="47"/>
      <c r="EV58" s="47"/>
      <c r="EW58" s="30"/>
    </row>
    <row r="59" spans="1:153" x14ac:dyDescent="0.2">
      <c r="A59" s="2" t="str">
        <f>DaB!A59</f>
        <v>Calendar 27</v>
      </c>
      <c r="B59" s="2" t="str">
        <f t="shared" si="3"/>
        <v>.</v>
      </c>
      <c r="C59" s="27">
        <f t="shared" si="1"/>
        <v>45474</v>
      </c>
      <c r="D59" s="34">
        <f>IFERROR(MIN(DaB!F59:K59)-C59,0)</f>
        <v>-45474</v>
      </c>
      <c r="E59" s="29">
        <f>IF(F59=0,0,IF(DaB!F59&gt;0,DaB!G59-DaB!F59,0))</f>
        <v>0</v>
      </c>
      <c r="F59" s="33">
        <f>IF(DaB!G59&gt;MAX(DaB!EV59,DaB!FJ59),DaB!H59-DaB!G59+1,
IF(DaB!H59&gt;0,DaB!H59-DaB!G59,0))</f>
        <v>0</v>
      </c>
      <c r="G59" s="32">
        <f>IF(F59=0,0,IF(DaB!J59&gt;0,DaB!J59-DaB!I59+1,0))</f>
        <v>0</v>
      </c>
      <c r="H59" s="30">
        <f>IF(F59=0,0,IF(DaB!K59&gt;0,DaB!K59-MAX(DaB!H59:J59),0))</f>
        <v>0</v>
      </c>
      <c r="I59" s="34">
        <f>IF(K59=0,0,MIN(DaB!$M59:$N59)-SUM($C59:H59))</f>
        <v>0</v>
      </c>
      <c r="J59" s="29">
        <f>IF(K59=0,0,IF(DaB!M59&gt;0,DaB!N59-DaB!M59,0))</f>
        <v>0</v>
      </c>
      <c r="K59" s="33">
        <f>IF(DaB!O59&gt;0,DaB!O59-DaB!N59+1,0)</f>
        <v>0</v>
      </c>
      <c r="L59" s="32">
        <f>IF(K59=0,0,IF(DaB!Q59&gt;0,DaB!Q59-DaB!P59+1,0))</f>
        <v>0</v>
      </c>
      <c r="M59" s="30">
        <f>IF(K59=0,0,IF(DaB!R59&gt;0,DaB!R59-MAX(DaB!O59:Q59),0))</f>
        <v>0</v>
      </c>
      <c r="N59" s="31">
        <f>IF(P59=0,0,MIN(DaB!$T59:$U59)-SUM($C59:M59))</f>
        <v>0</v>
      </c>
      <c r="O59" s="29">
        <f>IF(P59=0,0,IF(DaB!T59&gt;0,DaB!U59-DaB!T59,0))</f>
        <v>0</v>
      </c>
      <c r="P59" s="33">
        <f>IF(DaB!V59&gt;0,DaB!V59-DaB!U59+1,0)</f>
        <v>0</v>
      </c>
      <c r="Q59" s="32">
        <f>IF(P59=0,0,IF(DaB!X59&gt;0,DaB!X59-DaB!W59+1,0))</f>
        <v>0</v>
      </c>
      <c r="R59" s="30">
        <f>IF(P59=0,0,IF(DaB!Y59&gt;0,DaB!Y59-MAX(DaB!V59:X59),0))</f>
        <v>0</v>
      </c>
      <c r="S59" s="34">
        <f>IF(U59=0,0,MIN(DaB!$AA59:$AB59)-SUM($C59:R59))</f>
        <v>0</v>
      </c>
      <c r="T59" s="29">
        <f>IF(U59=0,0,IF(DaB!AA59&gt;0,DaB!AB59-DaB!AA59,0))</f>
        <v>0</v>
      </c>
      <c r="U59" s="33">
        <f>IF(DaB!AC59&gt;0,DaB!AC59-DaB!AB59+1,0)</f>
        <v>0</v>
      </c>
      <c r="V59" s="32">
        <f>IF(U59=0,0,IF(DaB!AE59&gt;0,DaB!AE59-DaB!AD59+1,0))</f>
        <v>0</v>
      </c>
      <c r="W59" s="30">
        <f>IF(U59=0,0,IF(DaB!AF59&gt;0,DaB!AF59-MAX(DaB!AC59:AE59),0))</f>
        <v>0</v>
      </c>
      <c r="X59" s="34">
        <f>IF(Z59=0,0,MIN(DaB!$AH59:$AI59)-SUM($C59:W59))</f>
        <v>0</v>
      </c>
      <c r="Y59" s="29">
        <f>IF(Z59=0,0,IF(DaB!AH59&gt;0,DaB!AI59-DaB!AH59,0))</f>
        <v>0</v>
      </c>
      <c r="Z59" s="33">
        <f>IF(DaB!AJ59&gt;0,DaB!AJ59-DaB!AI59+1,0)</f>
        <v>0</v>
      </c>
      <c r="AA59" s="32">
        <f>IF(Z59=0,0,IF(DaB!AL59&gt;0,DaB!AL59-DaB!AK59+1,0))</f>
        <v>0</v>
      </c>
      <c r="AB59" s="30">
        <f>IF(Z59=0,0,IF(DaB!AM59&gt;0,DaB!AM59-MAX(DaB!AJ59:AL59),0))</f>
        <v>0</v>
      </c>
      <c r="AC59" s="34">
        <f>IF(AE59=0,0,MIN(DaB!$AO59:$AP59)-SUM($C59:AB59))</f>
        <v>0</v>
      </c>
      <c r="AD59" s="29">
        <f>IF(AE59=0,0,IF(DaB!AO59&gt;0,DaB!AP59-DaB!AO59,0))</f>
        <v>0</v>
      </c>
      <c r="AE59" s="33">
        <f>IF(DaB!AQ59&gt;0,DaB!AQ59-DaB!AP59+1,0)</f>
        <v>0</v>
      </c>
      <c r="AF59" s="32">
        <f>IF(AE59=0,0,IF(DaB!AS59&gt;0,DaB!AS59-DaB!AR59+1,0))</f>
        <v>0</v>
      </c>
      <c r="AG59" s="30">
        <f>IF(AE59=0,0,IF(DaB!AT59&gt;0,DaB!AT59-MAX(DaB!AQ59:AS59),0))</f>
        <v>0</v>
      </c>
      <c r="AH59" s="34">
        <f>IF(AJ59=0,0,MIN(DaB!$AV59:$AW59)-SUM($C59:AG59))</f>
        <v>0</v>
      </c>
      <c r="AI59" s="29">
        <f>IF(AJ59=0,0,IF(DaB!AV59&gt;0,DaB!AW59-DaB!AV59,0))</f>
        <v>0</v>
      </c>
      <c r="AJ59" s="33">
        <f>IF(DaB!AX59&gt;0,DaB!AX59-DaB!AW59+1,0)</f>
        <v>0</v>
      </c>
      <c r="AK59" s="32">
        <f>IF(AJ59=0,0,IF(DaB!AZ59&gt;0,DaB!AZ59-DaB!AY59+1,0))</f>
        <v>0</v>
      </c>
      <c r="AL59" s="30">
        <f>IF(AJ59=0,0,IF(DaB!BA59&gt;0,DaB!BA59-MAX(DaB!AX59:AZ59),0))</f>
        <v>0</v>
      </c>
      <c r="AM59" s="34">
        <f>IF(AO59=0,0,MIN(DaB!$BC59:$BD59)-SUM($C59:AL59))</f>
        <v>0</v>
      </c>
      <c r="AN59" s="29">
        <f>IF(AO59=0,0,IF(DaB!BC59&gt;0,DaB!BD59-DaB!BC59,0))</f>
        <v>0</v>
      </c>
      <c r="AO59" s="33">
        <f>IF(DaB!BE59&gt;0,DaB!BE59-DaB!BD59+1,0)</f>
        <v>0</v>
      </c>
      <c r="AP59" s="32">
        <f>IF(AO59=0,0,IF(DaB!BG59&gt;0,DaB!BG59-DaB!BF59+1,0))</f>
        <v>0</v>
      </c>
      <c r="AQ59" s="30">
        <f>IF(AO59=0,0,IF(DaB!BH59&gt;0,DaB!BH59-MAX(DaB!BE59:BG59),0))</f>
        <v>0</v>
      </c>
      <c r="AR59" s="34">
        <f>IF(AT59=0,0,MIN(DaB!$BJ59:$BK59)-SUM($C59:AQ59))</f>
        <v>0</v>
      </c>
      <c r="AS59" s="29">
        <f>IF(AT59=0,0,IF(DaB!BJ59&gt;0,DaB!BK59-DaB!BJ59,0))</f>
        <v>0</v>
      </c>
      <c r="AT59" s="33">
        <f>IF(DaB!BL59&gt;0,DaB!BL59-DaB!BK59+1,0)</f>
        <v>0</v>
      </c>
      <c r="AU59" s="32">
        <f>IF(AT59=0,0,IF(DaB!BN59&gt;0,DaB!BN59-DaB!BM59+1,0))</f>
        <v>0</v>
      </c>
      <c r="AV59" s="30">
        <f>IF(AT59=0,0,IF(DaB!BO59&gt;0,DaB!BO59-MAX(DaB!BL59:BN59),0))</f>
        <v>0</v>
      </c>
      <c r="AW59" s="34">
        <f>IF(AY59=0,0,MIN(DaB!$BQ59:$BR59)-SUM($C59:AV59))</f>
        <v>0</v>
      </c>
      <c r="AX59" s="29">
        <f>IF(AY59=0,0,IF(DaB!BQ59&gt;0,DaB!BR59-DaB!BQ59,0))</f>
        <v>0</v>
      </c>
      <c r="AY59" s="33">
        <f>IF(DaB!BS59&gt;0,DaB!BS59-DaB!BR59+1,0)</f>
        <v>0</v>
      </c>
      <c r="AZ59" s="32">
        <f>IF(AY59=0,0,IF(DaB!BU59&gt;0,DaB!BU59-DaB!BT59+1,0))</f>
        <v>0</v>
      </c>
      <c r="BA59" s="30">
        <f>IF(AY59=0,0,IF(DaB!BV59&gt;0,DaB!BV59-MAX(DaB!BS59:BU59),0))</f>
        <v>0</v>
      </c>
      <c r="BB59" s="34">
        <f>IF(BD59=0,0,MIN(DaB!$BX59:$BY59)-SUM($C59:BA59))</f>
        <v>0</v>
      </c>
      <c r="BC59" s="29">
        <f>IF(BD59=0,0,IF(DaB!BX59&gt;0,DaB!BY59-DaB!BX59,0))</f>
        <v>0</v>
      </c>
      <c r="BD59" s="33">
        <f>IF(DaB!BZ59&gt;0,DaB!BZ59-DaB!BY59+1,0)</f>
        <v>0</v>
      </c>
      <c r="BE59" s="32">
        <f>IF(BD59=0,0,IF(DaB!CB59&gt;0,DaB!CB59-DaB!CA59+1,0))</f>
        <v>0</v>
      </c>
      <c r="BF59" s="30">
        <f>IF(BD59=0,0,IF(DaB!CC59&gt;0,DaB!CC59-MAX(DaB!BZ59:CB59),0))</f>
        <v>0</v>
      </c>
      <c r="BG59" s="34">
        <f>IF(BI59=0,0,MIN(DaB!$CE59:$CF59)-SUM($C59:BF59))</f>
        <v>0</v>
      </c>
      <c r="BH59" s="29">
        <f>IF(BI59=0,0,IF(DaB!CE59&gt;0,DaB!CF59-DaB!CE59,0))</f>
        <v>0</v>
      </c>
      <c r="BI59" s="33">
        <f>IF(DaB!CG59&gt;0,DaB!CG59-DaB!CF59+1,0)</f>
        <v>0</v>
      </c>
      <c r="BJ59" s="32">
        <f>IF(BI59=0,0,IF(DaB!CI59&gt;0,DaB!CI59-DaB!CH59+1,0))</f>
        <v>0</v>
      </c>
      <c r="BK59" s="30">
        <f>IF(BI59=0,0,IF(DaB!CJ59&gt;0,DaB!CJ59-MAX(DaB!CG59:CI59),0))</f>
        <v>0</v>
      </c>
      <c r="BL59" s="34">
        <f>IF(BN59=0,0,MIN(DaB!$CL59:$CM59)-SUM($C59:BK59))</f>
        <v>0</v>
      </c>
      <c r="BM59" s="29">
        <f>IF(BN59=0,0,IF(DaB!CL59&gt;0,DaB!CM59-DaB!CL59,0))</f>
        <v>0</v>
      </c>
      <c r="BN59" s="33">
        <f>IF(DaB!CN59&gt;0,DaB!CN59-DaB!CM59+1,0)</f>
        <v>0</v>
      </c>
      <c r="BO59" s="32">
        <f>IF(BN59=0,0,IF(DaB!CP59&gt;0,DaB!CP59-DaB!CO59+1,0))</f>
        <v>0</v>
      </c>
      <c r="BP59" s="30">
        <f>IF(BN59=0,0,IF(DaB!CQ59&gt;0,DaB!CQ59-MAX(DaB!CN59:CP59),0))</f>
        <v>0</v>
      </c>
      <c r="BQ59" s="34">
        <f>IF(BS59=0,0,MIN(DaB!$CS59:$CT59)-SUM($C59:BP59))</f>
        <v>0</v>
      </c>
      <c r="BR59" s="29">
        <f>IF(BS59=0,0,IF(DaB!CS59&gt;0,DaB!CT59-DaB!CS59,0))</f>
        <v>0</v>
      </c>
      <c r="BS59" s="33">
        <f>IF(DaB!CU59&gt;0,DaB!CU59-DaB!CT59+1,0)</f>
        <v>0</v>
      </c>
      <c r="BT59" s="32">
        <f>IF(BS59=0,0,IF(DaB!CW59&gt;0,DaB!CW59-DaB!CV59+1,0))</f>
        <v>0</v>
      </c>
      <c r="BU59" s="30">
        <f>IF(BS59=0,0,IF(DaB!CX59&gt;0,DaB!CX59-MAX(DaB!CU59:CW59),0))</f>
        <v>0</v>
      </c>
      <c r="BV59" s="34">
        <f>IF(BX59=0,0,MIN(DaB!$CZ59:$DA59)-SUM($C59:BU59))</f>
        <v>0</v>
      </c>
      <c r="BW59" s="29">
        <f>IF(BX59=0,0,IF(DaB!CZ59&gt;0,DaB!DA59-DaB!CZ59,0))</f>
        <v>0</v>
      </c>
      <c r="BX59" s="33">
        <f>IF(DaB!DB59&gt;0,DaB!DB59-DaB!DA59+1,0)</f>
        <v>0</v>
      </c>
      <c r="BY59" s="32">
        <f>IF(BX59=0,0,IF(DaB!DD59&gt;0,DaB!DD59-DaB!DC59+1,0))</f>
        <v>0</v>
      </c>
      <c r="BZ59" s="30">
        <f>IF(BX59=0,0,IF(DaB!DE59&gt;0,DaB!DE59-MAX(DaB!DB59:DD59),0))</f>
        <v>0</v>
      </c>
      <c r="CA59" s="34">
        <f>IF(CC59=0,0,MIN(DaB!$DG59:$DH59)-SUM($C59:BZ59))</f>
        <v>0</v>
      </c>
      <c r="CB59" s="29">
        <f>IF(CC59=0,0,IF(DaB!DG59&gt;0,DaB!DH59-DaB!DG59,0))</f>
        <v>0</v>
      </c>
      <c r="CC59" s="33">
        <f>IF(DaB!DI59&gt;0,DaB!DI59-DaB!DH59+1,0)</f>
        <v>0</v>
      </c>
      <c r="CD59" s="32">
        <f>IF(CC59=0,0,IF(DaB!DK59&gt;0,DaB!DK59-DaB!DJ59+1,0))</f>
        <v>0</v>
      </c>
      <c r="CE59" s="30">
        <f>IF(CC59=0,0,IF(DaB!DL59&gt;0,DaB!DL59-MAX(DaB!DI59:DK59),0))</f>
        <v>0</v>
      </c>
      <c r="CF59" s="34">
        <f>IF(CH59=0,0,MIN(DaB!$DN59:$DO59)-SUM($C59:CE59))</f>
        <v>0</v>
      </c>
      <c r="CG59" s="29">
        <f>IF(CH59=0,0,IF(DaB!DN59&gt;0,DaB!DO59-DaB!DN59,0))</f>
        <v>0</v>
      </c>
      <c r="CH59" s="33">
        <f>IF(DaB!DP59&gt;0,DaB!DP59-DaB!DO59+1,0)</f>
        <v>0</v>
      </c>
      <c r="CI59" s="32">
        <f>IF(CH59=0,0,IF(DaB!DR59&gt;0,DaB!DR59-DaB!DQ59+1,0))</f>
        <v>0</v>
      </c>
      <c r="CJ59" s="30">
        <f>IF(CH59=0,0,IF(DaB!DS59&gt;0,DaB!DS59-MAX(DaB!DP59:DR59),0))</f>
        <v>0</v>
      </c>
      <c r="CK59" s="34">
        <f>IF(CM59=0,0,MIN(DaB!$DU59:$DV59)-SUM($C59:CJ59))</f>
        <v>0</v>
      </c>
      <c r="CL59" s="29">
        <f>IF(CM59=0,0,IF(DaB!DU59&gt;0,DaB!DV59-DaB!DU59,0))</f>
        <v>0</v>
      </c>
      <c r="CM59" s="33">
        <f>IF(DaB!DW59&gt;0,DaB!DW59-DaB!DV59+1,0)</f>
        <v>0</v>
      </c>
      <c r="CN59" s="32">
        <f>IF(CM59=0,0,IF(DaB!DY59&gt;0,DaB!DY59-DaB!DX59+1,0))</f>
        <v>0</v>
      </c>
      <c r="CO59" s="30">
        <f>IF(CM59=0,0,IF(DaB!DZ59&gt;0,DaB!DZ59-MAX(DaB!DW59:DY59),0))</f>
        <v>0</v>
      </c>
      <c r="CP59" s="34">
        <f>IF(CR59=0,0,MIN(DaB!$EB59:$EC59)-SUM($C59:CO59))</f>
        <v>0</v>
      </c>
      <c r="CQ59" s="29">
        <f>IF(CR59=0,0,IF(DaB!EB59&gt;0,DaB!EC59-DaB!EB59,0))</f>
        <v>0</v>
      </c>
      <c r="CR59" s="33">
        <f>IF(DaB!ED59&gt;0,DaB!ED59-DaB!EC59+1,0)</f>
        <v>0</v>
      </c>
      <c r="CS59" s="32">
        <f>IF(CR59=0,0,IF(DaB!EF59&gt;0,DaB!EF59-DaB!EE59+1,0))</f>
        <v>0</v>
      </c>
      <c r="CT59" s="30">
        <f>IF(CR59=0,0,IF(DaB!EG59&gt;0,DaB!EG59-MAX(DaB!ED59:EF59),0))</f>
        <v>0</v>
      </c>
      <c r="CU59" s="34">
        <f>IF(CW59=0,0,MIN(DaB!$EI59:$EJ59)-SUM($C59:CT59))</f>
        <v>0</v>
      </c>
      <c r="CV59" s="29">
        <f>IF(CW59=0,0,IF(DaB!EI59&gt;0,DaB!EJ59-DaB!EI59,0))</f>
        <v>0</v>
      </c>
      <c r="CW59" s="33">
        <f>IF(DaB!EK59&gt;0,DaB!EK59-DaB!EJ59+1,0)</f>
        <v>0</v>
      </c>
      <c r="CX59" s="32">
        <f>IF(CW59=0,0,IF(DaB!EM59&gt;0,DaB!EM59-DaB!EL59+1,0))</f>
        <v>0</v>
      </c>
      <c r="CY59" s="30">
        <f>IF(CW59=0,0,IF(DaB!EN59&gt;0,DaB!EN59-MAX(DaB!EK59:EM59),0))</f>
        <v>0</v>
      </c>
      <c r="DF59" s="2">
        <f t="shared" si="4"/>
        <v>45474</v>
      </c>
      <c r="DG59" s="28"/>
      <c r="DH59" s="29"/>
      <c r="DI59" s="10"/>
      <c r="DJ59" s="10"/>
      <c r="DK59" s="11"/>
      <c r="DL59" s="11"/>
      <c r="DM59" s="30"/>
      <c r="DN59" s="28"/>
      <c r="DO59" s="29"/>
      <c r="DP59" s="10"/>
      <c r="DQ59" s="10"/>
      <c r="DR59" s="11"/>
      <c r="DS59" s="11"/>
      <c r="DT59" s="30"/>
      <c r="DU59" s="28"/>
      <c r="DV59" s="29"/>
      <c r="DW59" s="10"/>
      <c r="DX59" s="10"/>
      <c r="DY59" s="11"/>
      <c r="DZ59" s="11"/>
      <c r="EA59" s="30"/>
      <c r="EB59" s="28"/>
      <c r="EC59" s="29"/>
      <c r="ED59" s="10"/>
      <c r="EE59" s="10"/>
      <c r="EF59" s="11"/>
      <c r="EG59" s="11"/>
      <c r="EH59" s="30"/>
      <c r="EI59" s="34"/>
      <c r="EJ59" s="29"/>
      <c r="EK59" s="10"/>
      <c r="EL59" s="10"/>
      <c r="EM59" s="30"/>
      <c r="EN59" s="34"/>
      <c r="EO59" s="29"/>
      <c r="EP59" s="47"/>
      <c r="EQ59" s="47"/>
      <c r="ER59" s="30"/>
      <c r="ES59" s="34"/>
      <c r="ET59" s="29"/>
      <c r="EU59" s="47"/>
      <c r="EV59" s="47"/>
      <c r="EW59" s="30"/>
    </row>
    <row r="60" spans="1:153" x14ac:dyDescent="0.2">
      <c r="A60" s="2" t="str">
        <f>DaB!A60</f>
        <v>Calendar 28</v>
      </c>
      <c r="B60" s="2" t="str">
        <f t="shared" si="3"/>
        <v>.</v>
      </c>
      <c r="C60" s="27">
        <f t="shared" si="1"/>
        <v>45474</v>
      </c>
      <c r="D60" s="34">
        <f>IFERROR(MIN(DaB!F60:K60)-C60,0)</f>
        <v>-45474</v>
      </c>
      <c r="E60" s="29">
        <f>IF(F60=0,0,IF(DaB!F60&gt;0,DaB!G60-DaB!F60,0))</f>
        <v>0</v>
      </c>
      <c r="F60" s="33">
        <f>IF(DaB!G60&gt;MAX(DaB!EV60,DaB!FJ60),DaB!H60-DaB!G60+1,
IF(DaB!H60&gt;0,DaB!H60-DaB!G60,0))</f>
        <v>0</v>
      </c>
      <c r="G60" s="32">
        <f>IF(F60=0,0,IF(DaB!J60&gt;0,DaB!J60-DaB!I60+1,0))</f>
        <v>0</v>
      </c>
      <c r="H60" s="30">
        <f>IF(F60=0,0,IF(DaB!K60&gt;0,DaB!K60-MAX(DaB!H60:J60),0))</f>
        <v>0</v>
      </c>
      <c r="I60" s="34">
        <f>IF(K60=0,0,MIN(DaB!$M60:$N60)-SUM($C60:H60))</f>
        <v>0</v>
      </c>
      <c r="J60" s="29">
        <f>IF(K60=0,0,IF(DaB!M60&gt;0,DaB!N60-DaB!M60,0))</f>
        <v>0</v>
      </c>
      <c r="K60" s="33">
        <f>IF(DaB!O60&gt;0,DaB!O60-DaB!N60+1,0)</f>
        <v>0</v>
      </c>
      <c r="L60" s="32">
        <f>IF(K60=0,0,IF(DaB!Q60&gt;0,DaB!Q60-DaB!P60+1,0))</f>
        <v>0</v>
      </c>
      <c r="M60" s="30">
        <f>IF(K60=0,0,IF(DaB!R60&gt;0,DaB!R60-MAX(DaB!O60:Q60),0))</f>
        <v>0</v>
      </c>
      <c r="N60" s="31">
        <f>IF(P60=0,0,MIN(DaB!$T60:$U60)-SUM($C60:M60))</f>
        <v>0</v>
      </c>
      <c r="O60" s="29">
        <f>IF(P60=0,0,IF(DaB!T60&gt;0,DaB!U60-DaB!T60,0))</f>
        <v>0</v>
      </c>
      <c r="P60" s="33">
        <f>IF(DaB!V60&gt;0,DaB!V60-DaB!U60+1,0)</f>
        <v>0</v>
      </c>
      <c r="Q60" s="32">
        <f>IF(P60=0,0,IF(DaB!X60&gt;0,DaB!X60-DaB!W60+1,0))</f>
        <v>0</v>
      </c>
      <c r="R60" s="30">
        <f>IF(P60=0,0,IF(DaB!Y60&gt;0,DaB!Y60-MAX(DaB!V60:X60),0))</f>
        <v>0</v>
      </c>
      <c r="S60" s="34">
        <f>IF(U60=0,0,MIN(DaB!$AA60:$AB60)-SUM($C60:R60))</f>
        <v>0</v>
      </c>
      <c r="T60" s="29">
        <f>IF(U60=0,0,IF(DaB!AA60&gt;0,DaB!AB60-DaB!AA60,0))</f>
        <v>0</v>
      </c>
      <c r="U60" s="33">
        <f>IF(DaB!AC60&gt;0,DaB!AC60-DaB!AB60+1,0)</f>
        <v>0</v>
      </c>
      <c r="V60" s="32">
        <f>IF(U60=0,0,IF(DaB!AE60&gt;0,DaB!AE60-DaB!AD60+1,0))</f>
        <v>0</v>
      </c>
      <c r="W60" s="30">
        <f>IF(U60=0,0,IF(DaB!AF60&gt;0,DaB!AF60-MAX(DaB!AC60:AE60),0))</f>
        <v>0</v>
      </c>
      <c r="X60" s="34">
        <f>IF(Z60=0,0,MIN(DaB!$AH60:$AI60)-SUM($C60:W60))</f>
        <v>0</v>
      </c>
      <c r="Y60" s="29">
        <f>IF(Z60=0,0,IF(DaB!AH60&gt;0,DaB!AI60-DaB!AH60,0))</f>
        <v>0</v>
      </c>
      <c r="Z60" s="33">
        <f>IF(DaB!AJ60&gt;0,DaB!AJ60-DaB!AI60+1,0)</f>
        <v>0</v>
      </c>
      <c r="AA60" s="32">
        <f>IF(Z60=0,0,IF(DaB!AL60&gt;0,DaB!AL60-DaB!AK60+1,0))</f>
        <v>0</v>
      </c>
      <c r="AB60" s="30">
        <f>IF(Z60=0,0,IF(DaB!AM60&gt;0,DaB!AM60-MAX(DaB!AJ60:AL60),0))</f>
        <v>0</v>
      </c>
      <c r="AC60" s="34">
        <f>IF(AE60=0,0,MIN(DaB!$AO60:$AP60)-SUM($C60:AB60))</f>
        <v>0</v>
      </c>
      <c r="AD60" s="29">
        <f>IF(AE60=0,0,IF(DaB!AO60&gt;0,DaB!AP60-DaB!AO60,0))</f>
        <v>0</v>
      </c>
      <c r="AE60" s="33">
        <f>IF(DaB!AQ60&gt;0,DaB!AQ60-DaB!AP60+1,0)</f>
        <v>0</v>
      </c>
      <c r="AF60" s="32">
        <f>IF(AE60=0,0,IF(DaB!AS60&gt;0,DaB!AS60-DaB!AR60+1,0))</f>
        <v>0</v>
      </c>
      <c r="AG60" s="30">
        <f>IF(AE60=0,0,IF(DaB!AT60&gt;0,DaB!AT60-MAX(DaB!AQ60:AS60),0))</f>
        <v>0</v>
      </c>
      <c r="AH60" s="34">
        <f>IF(AJ60=0,0,MIN(DaB!$AV60:$AW60)-SUM($C60:AG60))</f>
        <v>0</v>
      </c>
      <c r="AI60" s="29">
        <f>IF(AJ60=0,0,IF(DaB!AV60&gt;0,DaB!AW60-DaB!AV60,0))</f>
        <v>0</v>
      </c>
      <c r="AJ60" s="33">
        <f>IF(DaB!AX60&gt;0,DaB!AX60-DaB!AW60+1,0)</f>
        <v>0</v>
      </c>
      <c r="AK60" s="32">
        <f>IF(AJ60=0,0,IF(DaB!AZ60&gt;0,DaB!AZ60-DaB!AY60+1,0))</f>
        <v>0</v>
      </c>
      <c r="AL60" s="30">
        <f>IF(AJ60=0,0,IF(DaB!BA60&gt;0,DaB!BA60-MAX(DaB!AX60:AZ60),0))</f>
        <v>0</v>
      </c>
      <c r="AM60" s="34">
        <f>IF(AO60=0,0,MIN(DaB!$BC60:$BD60)-SUM($C60:AL60))</f>
        <v>0</v>
      </c>
      <c r="AN60" s="29">
        <f>IF(AO60=0,0,IF(DaB!BC60&gt;0,DaB!BD60-DaB!BC60,0))</f>
        <v>0</v>
      </c>
      <c r="AO60" s="33">
        <f>IF(DaB!BE60&gt;0,DaB!BE60-DaB!BD60+1,0)</f>
        <v>0</v>
      </c>
      <c r="AP60" s="32">
        <f>IF(AO60=0,0,IF(DaB!BG60&gt;0,DaB!BG60-DaB!BF60+1,0))</f>
        <v>0</v>
      </c>
      <c r="AQ60" s="30">
        <f>IF(AO60=0,0,IF(DaB!BH60&gt;0,DaB!BH60-MAX(DaB!BE60:BG60),0))</f>
        <v>0</v>
      </c>
      <c r="AR60" s="34">
        <f>IF(AT60=0,0,MIN(DaB!$BJ60:$BK60)-SUM($C60:AQ60))</f>
        <v>0</v>
      </c>
      <c r="AS60" s="29">
        <f>IF(AT60=0,0,IF(DaB!BJ60&gt;0,DaB!BK60-DaB!BJ60,0))</f>
        <v>0</v>
      </c>
      <c r="AT60" s="33">
        <f>IF(DaB!BL60&gt;0,DaB!BL60-DaB!BK60+1,0)</f>
        <v>0</v>
      </c>
      <c r="AU60" s="32">
        <f>IF(AT60=0,0,IF(DaB!BN60&gt;0,DaB!BN60-DaB!BM60+1,0))</f>
        <v>0</v>
      </c>
      <c r="AV60" s="30">
        <f>IF(AT60=0,0,IF(DaB!BO60&gt;0,DaB!BO60-MAX(DaB!BL60:BN60),0))</f>
        <v>0</v>
      </c>
      <c r="AW60" s="34">
        <f>IF(AY60=0,0,MIN(DaB!$BQ60:$BR60)-SUM($C60:AV60))</f>
        <v>0</v>
      </c>
      <c r="AX60" s="29">
        <f>IF(AY60=0,0,IF(DaB!BQ60&gt;0,DaB!BR60-DaB!BQ60,0))</f>
        <v>0</v>
      </c>
      <c r="AY60" s="33">
        <f>IF(DaB!BS60&gt;0,DaB!BS60-DaB!BR60+1,0)</f>
        <v>0</v>
      </c>
      <c r="AZ60" s="32">
        <f>IF(AY60=0,0,IF(DaB!BU60&gt;0,DaB!BU60-DaB!BT60+1,0))</f>
        <v>0</v>
      </c>
      <c r="BA60" s="30">
        <f>IF(AY60=0,0,IF(DaB!BV60&gt;0,DaB!BV60-MAX(DaB!BS60:BU60),0))</f>
        <v>0</v>
      </c>
      <c r="BB60" s="34">
        <f>IF(BD60=0,0,MIN(DaB!$BX60:$BY60)-SUM($C60:BA60))</f>
        <v>0</v>
      </c>
      <c r="BC60" s="29">
        <f>IF(BD60=0,0,IF(DaB!BX60&gt;0,DaB!BY60-DaB!BX60,0))</f>
        <v>0</v>
      </c>
      <c r="BD60" s="33">
        <f>IF(DaB!BZ60&gt;0,DaB!BZ60-DaB!BY60+1,0)</f>
        <v>0</v>
      </c>
      <c r="BE60" s="32">
        <f>IF(BD60=0,0,IF(DaB!CB60&gt;0,DaB!CB60-DaB!CA60+1,0))</f>
        <v>0</v>
      </c>
      <c r="BF60" s="30">
        <f>IF(BD60=0,0,IF(DaB!CC60&gt;0,DaB!CC60-MAX(DaB!BZ60:CB60),0))</f>
        <v>0</v>
      </c>
      <c r="BG60" s="34">
        <f>IF(BI60=0,0,MIN(DaB!$CE60:$CF60)-SUM($C60:BF60))</f>
        <v>0</v>
      </c>
      <c r="BH60" s="29">
        <f>IF(BI60=0,0,IF(DaB!CE60&gt;0,DaB!CF60-DaB!CE60,0))</f>
        <v>0</v>
      </c>
      <c r="BI60" s="33">
        <f>IF(DaB!CG60&gt;0,DaB!CG60-DaB!CF60+1,0)</f>
        <v>0</v>
      </c>
      <c r="BJ60" s="32">
        <f>IF(BI60=0,0,IF(DaB!CI60&gt;0,DaB!CI60-DaB!CH60+1,0))</f>
        <v>0</v>
      </c>
      <c r="BK60" s="30">
        <f>IF(BI60=0,0,IF(DaB!CJ60&gt;0,DaB!CJ60-MAX(DaB!CG60:CI60),0))</f>
        <v>0</v>
      </c>
      <c r="BL60" s="34">
        <f>IF(BN60=0,0,MIN(DaB!$CL60:$CM60)-SUM($C60:BK60))</f>
        <v>0</v>
      </c>
      <c r="BM60" s="29">
        <f>IF(BN60=0,0,IF(DaB!CL60&gt;0,DaB!CM60-DaB!CL60,0))</f>
        <v>0</v>
      </c>
      <c r="BN60" s="33">
        <f>IF(DaB!CN60&gt;0,DaB!CN60-DaB!CM60+1,0)</f>
        <v>0</v>
      </c>
      <c r="BO60" s="32">
        <f>IF(BN60=0,0,IF(DaB!CP60&gt;0,DaB!CP60-DaB!CO60+1,0))</f>
        <v>0</v>
      </c>
      <c r="BP60" s="30">
        <f>IF(BN60=0,0,IF(DaB!CQ60&gt;0,DaB!CQ60-MAX(DaB!CN60:CP60),0))</f>
        <v>0</v>
      </c>
      <c r="BQ60" s="34">
        <f>IF(BS60=0,0,MIN(DaB!$CS60:$CT60)-SUM($C60:BP60))</f>
        <v>0</v>
      </c>
      <c r="BR60" s="29">
        <f>IF(BS60=0,0,IF(DaB!CS60&gt;0,DaB!CT60-DaB!CS60,0))</f>
        <v>0</v>
      </c>
      <c r="BS60" s="33">
        <f>IF(DaB!CU60&gt;0,DaB!CU60-DaB!CT60+1,0)</f>
        <v>0</v>
      </c>
      <c r="BT60" s="32">
        <f>IF(BS60=0,0,IF(DaB!CW60&gt;0,DaB!CW60-DaB!CV60+1,0))</f>
        <v>0</v>
      </c>
      <c r="BU60" s="30">
        <f>IF(BS60=0,0,IF(DaB!CX60&gt;0,DaB!CX60-MAX(DaB!CU60:CW60),0))</f>
        <v>0</v>
      </c>
      <c r="BV60" s="34">
        <f>IF(BX60=0,0,MIN(DaB!$CZ60:$DA60)-SUM($C60:BU60))</f>
        <v>0</v>
      </c>
      <c r="BW60" s="29">
        <f>IF(BX60=0,0,IF(DaB!CZ60&gt;0,DaB!DA60-DaB!CZ60,0))</f>
        <v>0</v>
      </c>
      <c r="BX60" s="33">
        <f>IF(DaB!DB60&gt;0,DaB!DB60-DaB!DA60+1,0)</f>
        <v>0</v>
      </c>
      <c r="BY60" s="32">
        <f>IF(BX60=0,0,IF(DaB!DD60&gt;0,DaB!DD60-DaB!DC60+1,0))</f>
        <v>0</v>
      </c>
      <c r="BZ60" s="30">
        <f>IF(BX60=0,0,IF(DaB!DE60&gt;0,DaB!DE60-MAX(DaB!DB60:DD60),0))</f>
        <v>0</v>
      </c>
      <c r="CA60" s="34">
        <f>IF(CC60=0,0,MIN(DaB!$DG60:$DH60)-SUM($C60:BZ60))</f>
        <v>0</v>
      </c>
      <c r="CB60" s="29">
        <f>IF(CC60=0,0,IF(DaB!DG60&gt;0,DaB!DH60-DaB!DG60,0))</f>
        <v>0</v>
      </c>
      <c r="CC60" s="33">
        <f>IF(DaB!DI60&gt;0,DaB!DI60-DaB!DH60+1,0)</f>
        <v>0</v>
      </c>
      <c r="CD60" s="32">
        <f>IF(CC60=0,0,IF(DaB!DK60&gt;0,DaB!DK60-DaB!DJ60+1,0))</f>
        <v>0</v>
      </c>
      <c r="CE60" s="30">
        <f>IF(CC60=0,0,IF(DaB!DL60&gt;0,DaB!DL60-MAX(DaB!DI60:DK60),0))</f>
        <v>0</v>
      </c>
      <c r="CF60" s="34">
        <f>IF(CH60=0,0,MIN(DaB!$DN60:$DO60)-SUM($C60:CE60))</f>
        <v>0</v>
      </c>
      <c r="CG60" s="29">
        <f>IF(CH60=0,0,IF(DaB!DN60&gt;0,DaB!DO60-DaB!DN60,0))</f>
        <v>0</v>
      </c>
      <c r="CH60" s="33">
        <f>IF(DaB!DP60&gt;0,DaB!DP60-DaB!DO60+1,0)</f>
        <v>0</v>
      </c>
      <c r="CI60" s="32">
        <f>IF(CH60=0,0,IF(DaB!DR60&gt;0,DaB!DR60-DaB!DQ60+1,0))</f>
        <v>0</v>
      </c>
      <c r="CJ60" s="30">
        <f>IF(CH60=0,0,IF(DaB!DS60&gt;0,DaB!DS60-MAX(DaB!DP60:DR60),0))</f>
        <v>0</v>
      </c>
      <c r="CK60" s="34">
        <f>IF(CM60=0,0,MIN(DaB!$DU60:$DV60)-SUM($C60:CJ60))</f>
        <v>0</v>
      </c>
      <c r="CL60" s="29">
        <f>IF(CM60=0,0,IF(DaB!DU60&gt;0,DaB!DV60-DaB!DU60,0))</f>
        <v>0</v>
      </c>
      <c r="CM60" s="33">
        <f>IF(DaB!DW60&gt;0,DaB!DW60-DaB!DV60+1,0)</f>
        <v>0</v>
      </c>
      <c r="CN60" s="32">
        <f>IF(CM60=0,0,IF(DaB!DY60&gt;0,DaB!DY60-DaB!DX60+1,0))</f>
        <v>0</v>
      </c>
      <c r="CO60" s="30">
        <f>IF(CM60=0,0,IF(DaB!DZ60&gt;0,DaB!DZ60-MAX(DaB!DW60:DY60),0))</f>
        <v>0</v>
      </c>
      <c r="CP60" s="34">
        <f>IF(CR60=0,0,MIN(DaB!$EB60:$EC60)-SUM($C60:CO60))</f>
        <v>0</v>
      </c>
      <c r="CQ60" s="29">
        <f>IF(CR60=0,0,IF(DaB!EB60&gt;0,DaB!EC60-DaB!EB60,0))</f>
        <v>0</v>
      </c>
      <c r="CR60" s="33">
        <f>IF(DaB!ED60&gt;0,DaB!ED60-DaB!EC60+1,0)</f>
        <v>0</v>
      </c>
      <c r="CS60" s="32">
        <f>IF(CR60=0,0,IF(DaB!EF60&gt;0,DaB!EF60-DaB!EE60+1,0))</f>
        <v>0</v>
      </c>
      <c r="CT60" s="30">
        <f>IF(CR60=0,0,IF(DaB!EG60&gt;0,DaB!EG60-MAX(DaB!ED60:EF60),0))</f>
        <v>0</v>
      </c>
      <c r="CU60" s="34">
        <f>IF(CW60=0,0,MIN(DaB!$EI60:$EJ60)-SUM($C60:CT60))</f>
        <v>0</v>
      </c>
      <c r="CV60" s="29">
        <f>IF(CW60=0,0,IF(DaB!EI60&gt;0,DaB!EJ60-DaB!EI60,0))</f>
        <v>0</v>
      </c>
      <c r="CW60" s="33">
        <f>IF(DaB!EK60&gt;0,DaB!EK60-DaB!EJ60+1,0)</f>
        <v>0</v>
      </c>
      <c r="CX60" s="32">
        <f>IF(CW60=0,0,IF(DaB!EM60&gt;0,DaB!EM60-DaB!EL60+1,0))</f>
        <v>0</v>
      </c>
      <c r="CY60" s="30">
        <f>IF(CW60=0,0,IF(DaB!EN60&gt;0,DaB!EN60-MAX(DaB!EK60:EM60),0))</f>
        <v>0</v>
      </c>
      <c r="DF60" s="2">
        <f t="shared" si="4"/>
        <v>45474</v>
      </c>
      <c r="DG60" s="28"/>
      <c r="DH60" s="29"/>
      <c r="DI60" s="10"/>
      <c r="DJ60" s="10"/>
      <c r="DK60" s="11"/>
      <c r="DL60" s="11"/>
      <c r="DM60" s="30"/>
      <c r="DN60" s="28"/>
      <c r="DO60" s="29"/>
      <c r="DP60" s="10"/>
      <c r="DQ60" s="10"/>
      <c r="DR60" s="11"/>
      <c r="DS60" s="11"/>
      <c r="DT60" s="30"/>
      <c r="DU60" s="28"/>
      <c r="DV60" s="29"/>
      <c r="DW60" s="10"/>
      <c r="DX60" s="10"/>
      <c r="DY60" s="11"/>
      <c r="DZ60" s="11"/>
      <c r="EA60" s="30"/>
      <c r="EB60" s="28"/>
      <c r="EC60" s="29"/>
      <c r="ED60" s="10"/>
      <c r="EE60" s="10"/>
      <c r="EF60" s="11"/>
      <c r="EG60" s="11"/>
      <c r="EH60" s="30"/>
      <c r="EI60" s="34"/>
      <c r="EJ60" s="29"/>
      <c r="EK60" s="10"/>
      <c r="EL60" s="10"/>
      <c r="EM60" s="30"/>
      <c r="EN60" s="34"/>
      <c r="EO60" s="29"/>
      <c r="EP60" s="47"/>
      <c r="EQ60" s="47"/>
      <c r="ER60" s="30"/>
      <c r="ES60" s="34"/>
      <c r="ET60" s="29"/>
      <c r="EU60" s="47"/>
      <c r="EV60" s="47"/>
      <c r="EW60" s="30"/>
    </row>
    <row r="61" spans="1:153" x14ac:dyDescent="0.2">
      <c r="A61" s="2" t="str">
        <f>DaB!A61</f>
        <v>Calendar 28</v>
      </c>
      <c r="B61" s="2" t="str">
        <f t="shared" si="3"/>
        <v>.</v>
      </c>
      <c r="C61" s="27">
        <f t="shared" si="1"/>
        <v>45474</v>
      </c>
      <c r="D61" s="34">
        <f>IFERROR(MIN(DaB!F61:K61)-C61,0)</f>
        <v>-45474</v>
      </c>
      <c r="E61" s="29">
        <f>IF(F61=0,0,IF(DaB!F61&gt;0,DaB!G61-DaB!F61,0))</f>
        <v>0</v>
      </c>
      <c r="F61" s="33">
        <f>IF(DaB!G61&gt;MAX(DaB!EV61,DaB!FJ61),DaB!H61-DaB!G61+1,
IF(DaB!H61&gt;0,DaB!H61-DaB!G61,0))</f>
        <v>0</v>
      </c>
      <c r="G61" s="32">
        <f>IF(F61=0,0,IF(DaB!J61&gt;0,DaB!J61-DaB!I61+1,0))</f>
        <v>0</v>
      </c>
      <c r="H61" s="30">
        <f>IF(F61=0,0,IF(DaB!K61&gt;0,DaB!K61-MAX(DaB!H61:J61),0))</f>
        <v>0</v>
      </c>
      <c r="I61" s="34">
        <f>IF(K61=0,0,MIN(DaB!$M61:$N61)-SUM($C61:H61))</f>
        <v>0</v>
      </c>
      <c r="J61" s="29">
        <f>IF(K61=0,0,IF(DaB!M61&gt;0,DaB!N61-DaB!M61,0))</f>
        <v>0</v>
      </c>
      <c r="K61" s="33">
        <f>IF(DaB!O61&gt;0,DaB!O61-DaB!N61+1,0)</f>
        <v>0</v>
      </c>
      <c r="L61" s="32">
        <f>IF(K61=0,0,IF(DaB!Q61&gt;0,DaB!Q61-DaB!P61+1,0))</f>
        <v>0</v>
      </c>
      <c r="M61" s="30">
        <f>IF(K61=0,0,IF(DaB!R61&gt;0,DaB!R61-MAX(DaB!O61:Q61),0))</f>
        <v>0</v>
      </c>
      <c r="N61" s="31">
        <f>IF(P61=0,0,MIN(DaB!$T61:$U61)-SUM($C61:M61))</f>
        <v>0</v>
      </c>
      <c r="O61" s="29">
        <f>IF(P61=0,0,IF(DaB!T61&gt;0,DaB!U61-DaB!T61,0))</f>
        <v>0</v>
      </c>
      <c r="P61" s="33">
        <f>IF(DaB!V61&gt;0,DaB!V61-DaB!U61+1,0)</f>
        <v>0</v>
      </c>
      <c r="Q61" s="32">
        <f>IF(P61=0,0,IF(DaB!X61&gt;0,DaB!X61-DaB!W61+1,0))</f>
        <v>0</v>
      </c>
      <c r="R61" s="30">
        <f>IF(P61=0,0,IF(DaB!Y61&gt;0,DaB!Y61-MAX(DaB!V61:X61),0))</f>
        <v>0</v>
      </c>
      <c r="S61" s="34">
        <f>IF(U61=0,0,MIN(DaB!$AA61:$AB61)-SUM($C61:R61))</f>
        <v>0</v>
      </c>
      <c r="T61" s="29">
        <f>IF(U61=0,0,IF(DaB!AA61&gt;0,DaB!AB61-DaB!AA61,0))</f>
        <v>0</v>
      </c>
      <c r="U61" s="33">
        <f>IF(DaB!AC61&gt;0,DaB!AC61-DaB!AB61+1,0)</f>
        <v>0</v>
      </c>
      <c r="V61" s="32">
        <f>IF(U61=0,0,IF(DaB!AE61&gt;0,DaB!AE61-DaB!AD61+1,0))</f>
        <v>0</v>
      </c>
      <c r="W61" s="30">
        <f>IF(U61=0,0,IF(DaB!AF61&gt;0,DaB!AF61-MAX(DaB!AC61:AE61),0))</f>
        <v>0</v>
      </c>
      <c r="X61" s="34">
        <f>IF(Z61=0,0,MIN(DaB!$AH61:$AI61)-SUM($C61:W61))</f>
        <v>0</v>
      </c>
      <c r="Y61" s="29">
        <f>IF(Z61=0,0,IF(DaB!AH61&gt;0,DaB!AI61-DaB!AH61,0))</f>
        <v>0</v>
      </c>
      <c r="Z61" s="33">
        <f>IF(DaB!AJ61&gt;0,DaB!AJ61-DaB!AI61+1,0)</f>
        <v>0</v>
      </c>
      <c r="AA61" s="32">
        <f>IF(Z61=0,0,IF(DaB!AL61&gt;0,DaB!AL61-DaB!AK61+1,0))</f>
        <v>0</v>
      </c>
      <c r="AB61" s="30">
        <f>IF(Z61=0,0,IF(DaB!AM61&gt;0,DaB!AM61-MAX(DaB!AJ61:AL61),0))</f>
        <v>0</v>
      </c>
      <c r="AC61" s="34">
        <f>IF(AE61=0,0,MIN(DaB!$AO61:$AP61)-SUM($C61:AB61))</f>
        <v>0</v>
      </c>
      <c r="AD61" s="29">
        <f>IF(AE61=0,0,IF(DaB!AO61&gt;0,DaB!AP61-DaB!AO61,0))</f>
        <v>0</v>
      </c>
      <c r="AE61" s="33">
        <f>IF(DaB!AQ61&gt;0,DaB!AQ61-DaB!AP61+1,0)</f>
        <v>0</v>
      </c>
      <c r="AF61" s="32">
        <f>IF(AE61=0,0,IF(DaB!AS61&gt;0,DaB!AS61-DaB!AR61+1,0))</f>
        <v>0</v>
      </c>
      <c r="AG61" s="30">
        <f>IF(AE61=0,0,IF(DaB!AT61&gt;0,DaB!AT61-MAX(DaB!AQ61:AS61),0))</f>
        <v>0</v>
      </c>
      <c r="AH61" s="34">
        <f>IF(AJ61=0,0,MIN(DaB!$AV61:$AW61)-SUM($C61:AG61))</f>
        <v>0</v>
      </c>
      <c r="AI61" s="29">
        <f>IF(AJ61=0,0,IF(DaB!AV61&gt;0,DaB!AW61-DaB!AV61,0))</f>
        <v>0</v>
      </c>
      <c r="AJ61" s="33">
        <f>IF(DaB!AX61&gt;0,DaB!AX61-DaB!AW61+1,0)</f>
        <v>0</v>
      </c>
      <c r="AK61" s="32">
        <f>IF(AJ61=0,0,IF(DaB!AZ61&gt;0,DaB!AZ61-DaB!AY61+1,0))</f>
        <v>0</v>
      </c>
      <c r="AL61" s="30">
        <f>IF(AJ61=0,0,IF(DaB!BA61&gt;0,DaB!BA61-MAX(DaB!AX61:AZ61),0))</f>
        <v>0</v>
      </c>
      <c r="AM61" s="34">
        <f>IF(AO61=0,0,MIN(DaB!$BC61:$BD61)-SUM($C61:AL61))</f>
        <v>0</v>
      </c>
      <c r="AN61" s="29">
        <f>IF(AO61=0,0,IF(DaB!BC61&gt;0,DaB!BD61-DaB!BC61,0))</f>
        <v>0</v>
      </c>
      <c r="AO61" s="33">
        <f>IF(DaB!BE61&gt;0,DaB!BE61-DaB!BD61+1,0)</f>
        <v>0</v>
      </c>
      <c r="AP61" s="32">
        <f>IF(AO61=0,0,IF(DaB!BG61&gt;0,DaB!BG61-DaB!BF61+1,0))</f>
        <v>0</v>
      </c>
      <c r="AQ61" s="30">
        <f>IF(AO61=0,0,IF(DaB!BH61&gt;0,DaB!BH61-MAX(DaB!BE61:BG61),0))</f>
        <v>0</v>
      </c>
      <c r="AR61" s="34">
        <f>IF(AT61=0,0,MIN(DaB!$BJ61:$BK61)-SUM($C61:AQ61))</f>
        <v>0</v>
      </c>
      <c r="AS61" s="29">
        <f>IF(AT61=0,0,IF(DaB!BJ61&gt;0,DaB!BK61-DaB!BJ61,0))</f>
        <v>0</v>
      </c>
      <c r="AT61" s="33">
        <f>IF(DaB!BL61&gt;0,DaB!BL61-DaB!BK61+1,0)</f>
        <v>0</v>
      </c>
      <c r="AU61" s="32">
        <f>IF(AT61=0,0,IF(DaB!BN61&gt;0,DaB!BN61-DaB!BM61+1,0))</f>
        <v>0</v>
      </c>
      <c r="AV61" s="30">
        <f>IF(AT61=0,0,IF(DaB!BO61&gt;0,DaB!BO61-MAX(DaB!BL61:BN61),0))</f>
        <v>0</v>
      </c>
      <c r="AW61" s="34">
        <f>IF(AY61=0,0,MIN(DaB!$BQ61:$BR61)-SUM($C61:AV61))</f>
        <v>0</v>
      </c>
      <c r="AX61" s="29">
        <f>IF(AY61=0,0,IF(DaB!BQ61&gt;0,DaB!BR61-DaB!BQ61,0))</f>
        <v>0</v>
      </c>
      <c r="AY61" s="33">
        <f>IF(DaB!BS61&gt;0,DaB!BS61-DaB!BR61+1,0)</f>
        <v>0</v>
      </c>
      <c r="AZ61" s="32">
        <f>IF(AY61=0,0,IF(DaB!BU61&gt;0,DaB!BU61-DaB!BT61+1,0))</f>
        <v>0</v>
      </c>
      <c r="BA61" s="30">
        <f>IF(AY61=0,0,IF(DaB!BV61&gt;0,DaB!BV61-MAX(DaB!BS61:BU61),0))</f>
        <v>0</v>
      </c>
      <c r="BB61" s="34">
        <f>IF(BD61=0,0,MIN(DaB!$BX61:$BY61)-SUM($C61:BA61))</f>
        <v>0</v>
      </c>
      <c r="BC61" s="29">
        <f>IF(BD61=0,0,IF(DaB!BX61&gt;0,DaB!BY61-DaB!BX61,0))</f>
        <v>0</v>
      </c>
      <c r="BD61" s="33">
        <f>IF(DaB!BZ61&gt;0,DaB!BZ61-DaB!BY61+1,0)</f>
        <v>0</v>
      </c>
      <c r="BE61" s="32">
        <f>IF(BD61=0,0,IF(DaB!CB61&gt;0,DaB!CB61-DaB!CA61+1,0))</f>
        <v>0</v>
      </c>
      <c r="BF61" s="30">
        <f>IF(BD61=0,0,IF(DaB!CC61&gt;0,DaB!CC61-MAX(DaB!BZ61:CB61),0))</f>
        <v>0</v>
      </c>
      <c r="BG61" s="34">
        <f>IF(BI61=0,0,MIN(DaB!$CE61:$CF61)-SUM($C61:BF61))</f>
        <v>0</v>
      </c>
      <c r="BH61" s="29">
        <f>IF(BI61=0,0,IF(DaB!CE61&gt;0,DaB!CF61-DaB!CE61,0))</f>
        <v>0</v>
      </c>
      <c r="BI61" s="33">
        <f>IF(DaB!CG61&gt;0,DaB!CG61-DaB!CF61+1,0)</f>
        <v>0</v>
      </c>
      <c r="BJ61" s="32">
        <f>IF(BI61=0,0,IF(DaB!CI61&gt;0,DaB!CI61-DaB!CH61+1,0))</f>
        <v>0</v>
      </c>
      <c r="BK61" s="30">
        <f>IF(BI61=0,0,IF(DaB!CJ61&gt;0,DaB!CJ61-MAX(DaB!CG61:CI61),0))</f>
        <v>0</v>
      </c>
      <c r="BL61" s="34">
        <f>IF(BN61=0,0,MIN(DaB!$CL61:$CM61)-SUM($C61:BK61))</f>
        <v>0</v>
      </c>
      <c r="BM61" s="29">
        <f>IF(BN61=0,0,IF(DaB!CL61&gt;0,DaB!CM61-DaB!CL61,0))</f>
        <v>0</v>
      </c>
      <c r="BN61" s="33">
        <f>IF(DaB!CN61&gt;0,DaB!CN61-DaB!CM61+1,0)</f>
        <v>0</v>
      </c>
      <c r="BO61" s="32">
        <f>IF(BN61=0,0,IF(DaB!CP61&gt;0,DaB!CP61-DaB!CO61+1,0))</f>
        <v>0</v>
      </c>
      <c r="BP61" s="30">
        <f>IF(BN61=0,0,IF(DaB!CQ61&gt;0,DaB!CQ61-MAX(DaB!CN61:CP61),0))</f>
        <v>0</v>
      </c>
      <c r="BQ61" s="34">
        <f>IF(BS61=0,0,MIN(DaB!$CS61:$CT61)-SUM($C61:BP61))</f>
        <v>0</v>
      </c>
      <c r="BR61" s="29">
        <f>IF(BS61=0,0,IF(DaB!CS61&gt;0,DaB!CT61-DaB!CS61,0))</f>
        <v>0</v>
      </c>
      <c r="BS61" s="33">
        <f>IF(DaB!CU61&gt;0,DaB!CU61-DaB!CT61+1,0)</f>
        <v>0</v>
      </c>
      <c r="BT61" s="32">
        <f>IF(BS61=0,0,IF(DaB!CW61&gt;0,DaB!CW61-DaB!CV61+1,0))</f>
        <v>0</v>
      </c>
      <c r="BU61" s="30">
        <f>IF(BS61=0,0,IF(DaB!CX61&gt;0,DaB!CX61-MAX(DaB!CU61:CW61),0))</f>
        <v>0</v>
      </c>
      <c r="BV61" s="34">
        <f>IF(BX61=0,0,MIN(DaB!$CZ61:$DA61)-SUM($C61:BU61))</f>
        <v>0</v>
      </c>
      <c r="BW61" s="29">
        <f>IF(BX61=0,0,IF(DaB!CZ61&gt;0,DaB!DA61-DaB!CZ61,0))</f>
        <v>0</v>
      </c>
      <c r="BX61" s="33">
        <f>IF(DaB!DB61&gt;0,DaB!DB61-DaB!DA61+1,0)</f>
        <v>0</v>
      </c>
      <c r="BY61" s="32">
        <f>IF(BX61=0,0,IF(DaB!DD61&gt;0,DaB!DD61-DaB!DC61+1,0))</f>
        <v>0</v>
      </c>
      <c r="BZ61" s="30">
        <f>IF(BX61=0,0,IF(DaB!DE61&gt;0,DaB!DE61-MAX(DaB!DB61:DD61),0))</f>
        <v>0</v>
      </c>
      <c r="CA61" s="34">
        <f>IF(CC61=0,0,MIN(DaB!$DG61:$DH61)-SUM($C61:BZ61))</f>
        <v>0</v>
      </c>
      <c r="CB61" s="29">
        <f>IF(CC61=0,0,IF(DaB!DG61&gt;0,DaB!DH61-DaB!DG61,0))</f>
        <v>0</v>
      </c>
      <c r="CC61" s="33">
        <f>IF(DaB!DI61&gt;0,DaB!DI61-DaB!DH61+1,0)</f>
        <v>0</v>
      </c>
      <c r="CD61" s="32">
        <f>IF(CC61=0,0,IF(DaB!DK61&gt;0,DaB!DK61-DaB!DJ61+1,0))</f>
        <v>0</v>
      </c>
      <c r="CE61" s="30">
        <f>IF(CC61=0,0,IF(DaB!DL61&gt;0,DaB!DL61-MAX(DaB!DI61:DK61),0))</f>
        <v>0</v>
      </c>
      <c r="CF61" s="34">
        <f>IF(CH61=0,0,MIN(DaB!$DN61:$DO61)-SUM($C61:CE61))</f>
        <v>0</v>
      </c>
      <c r="CG61" s="29">
        <f>IF(CH61=0,0,IF(DaB!DN61&gt;0,DaB!DO61-DaB!DN61,0))</f>
        <v>0</v>
      </c>
      <c r="CH61" s="33">
        <f>IF(DaB!DP61&gt;0,DaB!DP61-DaB!DO61+1,0)</f>
        <v>0</v>
      </c>
      <c r="CI61" s="32">
        <f>IF(CH61=0,0,IF(DaB!DR61&gt;0,DaB!DR61-DaB!DQ61+1,0))</f>
        <v>0</v>
      </c>
      <c r="CJ61" s="30">
        <f>IF(CH61=0,0,IF(DaB!DS61&gt;0,DaB!DS61-MAX(DaB!DP61:DR61),0))</f>
        <v>0</v>
      </c>
      <c r="CK61" s="34">
        <f>IF(CM61=0,0,MIN(DaB!$DU61:$DV61)-SUM($C61:CJ61))</f>
        <v>0</v>
      </c>
      <c r="CL61" s="29">
        <f>IF(CM61=0,0,IF(DaB!DU61&gt;0,DaB!DV61-DaB!DU61,0))</f>
        <v>0</v>
      </c>
      <c r="CM61" s="33">
        <f>IF(DaB!DW61&gt;0,DaB!DW61-DaB!DV61+1,0)</f>
        <v>0</v>
      </c>
      <c r="CN61" s="32">
        <f>IF(CM61=0,0,IF(DaB!DY61&gt;0,DaB!DY61-DaB!DX61+1,0))</f>
        <v>0</v>
      </c>
      <c r="CO61" s="30">
        <f>IF(CM61=0,0,IF(DaB!DZ61&gt;0,DaB!DZ61-MAX(DaB!DW61:DY61),0))</f>
        <v>0</v>
      </c>
      <c r="CP61" s="34">
        <f>IF(CR61=0,0,MIN(DaB!$EB61:$EC61)-SUM($C61:CO61))</f>
        <v>0</v>
      </c>
      <c r="CQ61" s="29">
        <f>IF(CR61=0,0,IF(DaB!EB61&gt;0,DaB!EC61-DaB!EB61,0))</f>
        <v>0</v>
      </c>
      <c r="CR61" s="33">
        <f>IF(DaB!ED61&gt;0,DaB!ED61-DaB!EC61+1,0)</f>
        <v>0</v>
      </c>
      <c r="CS61" s="32">
        <f>IF(CR61=0,0,IF(DaB!EF61&gt;0,DaB!EF61-DaB!EE61+1,0))</f>
        <v>0</v>
      </c>
      <c r="CT61" s="30">
        <f>IF(CR61=0,0,IF(DaB!EG61&gt;0,DaB!EG61-MAX(DaB!ED61:EF61),0))</f>
        <v>0</v>
      </c>
      <c r="CU61" s="34">
        <f>IF(CW61=0,0,MIN(DaB!$EI61:$EJ61)-SUM($C61:CT61))</f>
        <v>0</v>
      </c>
      <c r="CV61" s="29">
        <f>IF(CW61=0,0,IF(DaB!EI61&gt;0,DaB!EJ61-DaB!EI61,0))</f>
        <v>0</v>
      </c>
      <c r="CW61" s="33">
        <f>IF(DaB!EK61&gt;0,DaB!EK61-DaB!EJ61+1,0)</f>
        <v>0</v>
      </c>
      <c r="CX61" s="32">
        <f>IF(CW61=0,0,IF(DaB!EM61&gt;0,DaB!EM61-DaB!EL61+1,0))</f>
        <v>0</v>
      </c>
      <c r="CY61" s="30">
        <f>IF(CW61=0,0,IF(DaB!EN61&gt;0,DaB!EN61-MAX(DaB!EK61:EM61),0))</f>
        <v>0</v>
      </c>
      <c r="DF61" s="2">
        <f t="shared" si="4"/>
        <v>45474</v>
      </c>
      <c r="DG61" s="28"/>
      <c r="DH61" s="29"/>
      <c r="DI61" s="10"/>
      <c r="DJ61" s="10"/>
      <c r="DK61" s="11"/>
      <c r="DL61" s="11"/>
      <c r="DM61" s="30"/>
      <c r="DN61" s="28"/>
      <c r="DO61" s="29"/>
      <c r="DP61" s="10"/>
      <c r="DQ61" s="10"/>
      <c r="DR61" s="11"/>
      <c r="DS61" s="11"/>
      <c r="DT61" s="30"/>
      <c r="DU61" s="28"/>
      <c r="DV61" s="29"/>
      <c r="DW61" s="10"/>
      <c r="DX61" s="10"/>
      <c r="DY61" s="11"/>
      <c r="DZ61" s="11"/>
      <c r="EA61" s="30"/>
      <c r="EB61" s="28"/>
      <c r="EC61" s="29"/>
      <c r="ED61" s="10"/>
      <c r="EE61" s="10"/>
      <c r="EF61" s="11"/>
      <c r="EG61" s="11"/>
      <c r="EH61" s="30"/>
      <c r="EI61" s="34"/>
      <c r="EJ61" s="29"/>
      <c r="EK61" s="10"/>
      <c r="EL61" s="10"/>
      <c r="EM61" s="30"/>
      <c r="EN61" s="34"/>
      <c r="EO61" s="29"/>
      <c r="EP61" s="47"/>
      <c r="EQ61" s="47"/>
      <c r="ER61" s="30"/>
      <c r="ES61" s="34"/>
      <c r="ET61" s="29"/>
      <c r="EU61" s="47"/>
      <c r="EV61" s="47"/>
      <c r="EW61" s="30"/>
    </row>
    <row r="62" spans="1:153" x14ac:dyDescent="0.2">
      <c r="A62" s="2" t="str">
        <f>DaB!A62</f>
        <v>Calendar 29</v>
      </c>
      <c r="B62" s="2" t="str">
        <f t="shared" si="3"/>
        <v>.</v>
      </c>
      <c r="C62" s="27">
        <f t="shared" si="1"/>
        <v>45474</v>
      </c>
      <c r="D62" s="34">
        <f>IFERROR(MIN(DaB!F62:K62)-C62,0)</f>
        <v>-45474</v>
      </c>
      <c r="E62" s="29">
        <f>IF(F62=0,0,IF(DaB!F62&gt;0,DaB!G62-DaB!F62,0))</f>
        <v>0</v>
      </c>
      <c r="F62" s="33">
        <f>IF(DaB!G62&gt;MAX(DaB!EV62,DaB!FJ62),DaB!H62-DaB!G62+1,
IF(DaB!H62&gt;0,DaB!H62-DaB!G62,0))</f>
        <v>0</v>
      </c>
      <c r="G62" s="32">
        <f>IF(F62=0,0,IF(DaB!J62&gt;0,DaB!J62-DaB!I62+1,0))</f>
        <v>0</v>
      </c>
      <c r="H62" s="30">
        <f>IF(F62=0,0,IF(DaB!K62&gt;0,DaB!K62-MAX(DaB!H62:J62),0))</f>
        <v>0</v>
      </c>
      <c r="I62" s="34">
        <f>IF(K62=0,0,MIN(DaB!$M62:$N62)-SUM($C62:H62))</f>
        <v>0</v>
      </c>
      <c r="J62" s="29">
        <f>IF(K62=0,0,IF(DaB!M62&gt;0,DaB!N62-DaB!M62,0))</f>
        <v>0</v>
      </c>
      <c r="K62" s="33">
        <f>IF(DaB!O62&gt;0,DaB!O62-DaB!N62+1,0)</f>
        <v>0</v>
      </c>
      <c r="L62" s="32">
        <f>IF(K62=0,0,IF(DaB!Q62&gt;0,DaB!Q62-DaB!P62+1,0))</f>
        <v>0</v>
      </c>
      <c r="M62" s="30">
        <f>IF(K62=0,0,IF(DaB!R62&gt;0,DaB!R62-MAX(DaB!O62:Q62),0))</f>
        <v>0</v>
      </c>
      <c r="N62" s="31">
        <f>IF(P62=0,0,MIN(DaB!$T62:$U62)-SUM($C62:M62))</f>
        <v>0</v>
      </c>
      <c r="O62" s="29">
        <f>IF(P62=0,0,IF(DaB!T62&gt;0,DaB!U62-DaB!T62,0))</f>
        <v>0</v>
      </c>
      <c r="P62" s="33">
        <f>IF(DaB!V62&gt;0,DaB!V62-DaB!U62+1,0)</f>
        <v>0</v>
      </c>
      <c r="Q62" s="32">
        <f>IF(P62=0,0,IF(DaB!X62&gt;0,DaB!X62-DaB!W62+1,0))</f>
        <v>0</v>
      </c>
      <c r="R62" s="30">
        <f>IF(P62=0,0,IF(DaB!Y62&gt;0,DaB!Y62-MAX(DaB!V62:X62),0))</f>
        <v>0</v>
      </c>
      <c r="S62" s="34">
        <f>IF(U62=0,0,MIN(DaB!$AA62:$AB62)-SUM($C62:R62))</f>
        <v>0</v>
      </c>
      <c r="T62" s="29">
        <f>IF(U62=0,0,IF(DaB!AA62&gt;0,DaB!AB62-DaB!AA62,0))</f>
        <v>0</v>
      </c>
      <c r="U62" s="33">
        <f>IF(DaB!AC62&gt;0,DaB!AC62-DaB!AB62+1,0)</f>
        <v>0</v>
      </c>
      <c r="V62" s="32">
        <f>IF(U62=0,0,IF(DaB!AE62&gt;0,DaB!AE62-DaB!AD62+1,0))</f>
        <v>0</v>
      </c>
      <c r="W62" s="30">
        <f>IF(U62=0,0,IF(DaB!AF62&gt;0,DaB!AF62-MAX(DaB!AC62:AE62),0))</f>
        <v>0</v>
      </c>
      <c r="X62" s="34">
        <f>IF(Z62=0,0,MIN(DaB!$AH62:$AI62)-SUM($C62:W62))</f>
        <v>0</v>
      </c>
      <c r="Y62" s="29">
        <f>IF(Z62=0,0,IF(DaB!AH62&gt;0,DaB!AI62-DaB!AH62,0))</f>
        <v>0</v>
      </c>
      <c r="Z62" s="33">
        <f>IF(DaB!AJ62&gt;0,DaB!AJ62-DaB!AI62+1,0)</f>
        <v>0</v>
      </c>
      <c r="AA62" s="32">
        <f>IF(Z62=0,0,IF(DaB!AL62&gt;0,DaB!AL62-DaB!AK62+1,0))</f>
        <v>0</v>
      </c>
      <c r="AB62" s="30">
        <f>IF(Z62=0,0,IF(DaB!AM62&gt;0,DaB!AM62-MAX(DaB!AJ62:AL62),0))</f>
        <v>0</v>
      </c>
      <c r="AC62" s="34">
        <f>IF(AE62=0,0,MIN(DaB!$AO62:$AP62)-SUM($C62:AB62))</f>
        <v>0</v>
      </c>
      <c r="AD62" s="29">
        <f>IF(AE62=0,0,IF(DaB!AO62&gt;0,DaB!AP62-DaB!AO62,0))</f>
        <v>0</v>
      </c>
      <c r="AE62" s="33">
        <f>IF(DaB!AQ62&gt;0,DaB!AQ62-DaB!AP62+1,0)</f>
        <v>0</v>
      </c>
      <c r="AF62" s="32">
        <f>IF(AE62=0,0,IF(DaB!AS62&gt;0,DaB!AS62-DaB!AR62+1,0))</f>
        <v>0</v>
      </c>
      <c r="AG62" s="30">
        <f>IF(AE62=0,0,IF(DaB!AT62&gt;0,DaB!AT62-MAX(DaB!AQ62:AS62),0))</f>
        <v>0</v>
      </c>
      <c r="AH62" s="34">
        <f>IF(AJ62=0,0,MIN(DaB!$AV62:$AW62)-SUM($C62:AG62))</f>
        <v>0</v>
      </c>
      <c r="AI62" s="29">
        <f>IF(AJ62=0,0,IF(DaB!AV62&gt;0,DaB!AW62-DaB!AV62,0))</f>
        <v>0</v>
      </c>
      <c r="AJ62" s="33">
        <f>IF(DaB!AX62&gt;0,DaB!AX62-DaB!AW62+1,0)</f>
        <v>0</v>
      </c>
      <c r="AK62" s="32">
        <f>IF(AJ62=0,0,IF(DaB!AZ62&gt;0,DaB!AZ62-DaB!AY62+1,0))</f>
        <v>0</v>
      </c>
      <c r="AL62" s="30">
        <f>IF(AJ62=0,0,IF(DaB!BA62&gt;0,DaB!BA62-MAX(DaB!AX62:AZ62),0))</f>
        <v>0</v>
      </c>
      <c r="AM62" s="34">
        <f>IF(AO62=0,0,MIN(DaB!$BC62:$BD62)-SUM($C62:AL62))</f>
        <v>0</v>
      </c>
      <c r="AN62" s="29">
        <f>IF(AO62=0,0,IF(DaB!BC62&gt;0,DaB!BD62-DaB!BC62,0))</f>
        <v>0</v>
      </c>
      <c r="AO62" s="33">
        <f>IF(DaB!BE62&gt;0,DaB!BE62-DaB!BD62+1,0)</f>
        <v>0</v>
      </c>
      <c r="AP62" s="32">
        <f>IF(AO62=0,0,IF(DaB!BG62&gt;0,DaB!BG62-DaB!BF62+1,0))</f>
        <v>0</v>
      </c>
      <c r="AQ62" s="30">
        <f>IF(AO62=0,0,IF(DaB!BH62&gt;0,DaB!BH62-MAX(DaB!BE62:BG62),0))</f>
        <v>0</v>
      </c>
      <c r="AR62" s="34">
        <f>IF(AT62=0,0,MIN(DaB!$BJ62:$BK62)-SUM($C62:AQ62))</f>
        <v>0</v>
      </c>
      <c r="AS62" s="29">
        <f>IF(AT62=0,0,IF(DaB!BJ62&gt;0,DaB!BK62-DaB!BJ62,0))</f>
        <v>0</v>
      </c>
      <c r="AT62" s="33">
        <f>IF(DaB!BL62&gt;0,DaB!BL62-DaB!BK62+1,0)</f>
        <v>0</v>
      </c>
      <c r="AU62" s="32">
        <f>IF(AT62=0,0,IF(DaB!BN62&gt;0,DaB!BN62-DaB!BM62+1,0))</f>
        <v>0</v>
      </c>
      <c r="AV62" s="30">
        <f>IF(AT62=0,0,IF(DaB!BO62&gt;0,DaB!BO62-MAX(DaB!BL62:BN62),0))</f>
        <v>0</v>
      </c>
      <c r="AW62" s="34">
        <f>IF(AY62=0,0,MIN(DaB!$BQ62:$BR62)-SUM($C62:AV62))</f>
        <v>0</v>
      </c>
      <c r="AX62" s="29">
        <f>IF(AY62=0,0,IF(DaB!BQ62&gt;0,DaB!BR62-DaB!BQ62,0))</f>
        <v>0</v>
      </c>
      <c r="AY62" s="33">
        <f>IF(DaB!BS62&gt;0,DaB!BS62-DaB!BR62+1,0)</f>
        <v>0</v>
      </c>
      <c r="AZ62" s="32">
        <f>IF(AY62=0,0,IF(DaB!BU62&gt;0,DaB!BU62-DaB!BT62+1,0))</f>
        <v>0</v>
      </c>
      <c r="BA62" s="30">
        <f>IF(AY62=0,0,IF(DaB!BV62&gt;0,DaB!BV62-MAX(DaB!BS62:BU62),0))</f>
        <v>0</v>
      </c>
      <c r="BB62" s="34">
        <f>IF(BD62=0,0,MIN(DaB!$BX62:$BY62)-SUM($C62:BA62))</f>
        <v>0</v>
      </c>
      <c r="BC62" s="29">
        <f>IF(BD62=0,0,IF(DaB!BX62&gt;0,DaB!BY62-DaB!BX62,0))</f>
        <v>0</v>
      </c>
      <c r="BD62" s="33">
        <f>IF(DaB!BZ62&gt;0,DaB!BZ62-DaB!BY62+1,0)</f>
        <v>0</v>
      </c>
      <c r="BE62" s="32">
        <f>IF(BD62=0,0,IF(DaB!CB62&gt;0,DaB!CB62-DaB!CA62+1,0))</f>
        <v>0</v>
      </c>
      <c r="BF62" s="30">
        <f>IF(BD62=0,0,IF(DaB!CC62&gt;0,DaB!CC62-MAX(DaB!BZ62:CB62),0))</f>
        <v>0</v>
      </c>
      <c r="BG62" s="34">
        <f>IF(BI62=0,0,MIN(DaB!$CE62:$CF62)-SUM($C62:BF62))</f>
        <v>0</v>
      </c>
      <c r="BH62" s="29">
        <f>IF(BI62=0,0,IF(DaB!CE62&gt;0,DaB!CF62-DaB!CE62,0))</f>
        <v>0</v>
      </c>
      <c r="BI62" s="33">
        <f>IF(DaB!CG62&gt;0,DaB!CG62-DaB!CF62+1,0)</f>
        <v>0</v>
      </c>
      <c r="BJ62" s="32">
        <f>IF(BI62=0,0,IF(DaB!CI62&gt;0,DaB!CI62-DaB!CH62+1,0))</f>
        <v>0</v>
      </c>
      <c r="BK62" s="30">
        <f>IF(BI62=0,0,IF(DaB!CJ62&gt;0,DaB!CJ62-MAX(DaB!CG62:CI62),0))</f>
        <v>0</v>
      </c>
      <c r="BL62" s="34">
        <f>IF(BN62=0,0,MIN(DaB!$CL62:$CM62)-SUM($C62:BK62))</f>
        <v>0</v>
      </c>
      <c r="BM62" s="29">
        <f>IF(BN62=0,0,IF(DaB!CL62&gt;0,DaB!CM62-DaB!CL62,0))</f>
        <v>0</v>
      </c>
      <c r="BN62" s="33">
        <f>IF(DaB!CN62&gt;0,DaB!CN62-DaB!CM62+1,0)</f>
        <v>0</v>
      </c>
      <c r="BO62" s="32">
        <f>IF(BN62=0,0,IF(DaB!CP62&gt;0,DaB!CP62-DaB!CO62+1,0))</f>
        <v>0</v>
      </c>
      <c r="BP62" s="30">
        <f>IF(BN62=0,0,IF(DaB!CQ62&gt;0,DaB!CQ62-MAX(DaB!CN62:CP62),0))</f>
        <v>0</v>
      </c>
      <c r="BQ62" s="34">
        <f>IF(BS62=0,0,MIN(DaB!$CS62:$CT62)-SUM($C62:BP62))</f>
        <v>0</v>
      </c>
      <c r="BR62" s="29">
        <f>IF(BS62=0,0,IF(DaB!CS62&gt;0,DaB!CT62-DaB!CS62,0))</f>
        <v>0</v>
      </c>
      <c r="BS62" s="33">
        <f>IF(DaB!CU62&gt;0,DaB!CU62-DaB!CT62+1,0)</f>
        <v>0</v>
      </c>
      <c r="BT62" s="32">
        <f>IF(BS62=0,0,IF(DaB!CW62&gt;0,DaB!CW62-DaB!CV62+1,0))</f>
        <v>0</v>
      </c>
      <c r="BU62" s="30">
        <f>IF(BS62=0,0,IF(DaB!CX62&gt;0,DaB!CX62-MAX(DaB!CU62:CW62),0))</f>
        <v>0</v>
      </c>
      <c r="BV62" s="34">
        <f>IF(BX62=0,0,MIN(DaB!$CZ62:$DA62)-SUM($C62:BU62))</f>
        <v>0</v>
      </c>
      <c r="BW62" s="29">
        <f>IF(BX62=0,0,IF(DaB!CZ62&gt;0,DaB!DA62-DaB!CZ62,0))</f>
        <v>0</v>
      </c>
      <c r="BX62" s="33">
        <f>IF(DaB!DB62&gt;0,DaB!DB62-DaB!DA62+1,0)</f>
        <v>0</v>
      </c>
      <c r="BY62" s="32">
        <f>IF(BX62=0,0,IF(DaB!DD62&gt;0,DaB!DD62-DaB!DC62+1,0))</f>
        <v>0</v>
      </c>
      <c r="BZ62" s="30">
        <f>IF(BX62=0,0,IF(DaB!DE62&gt;0,DaB!DE62-MAX(DaB!DB62:DD62),0))</f>
        <v>0</v>
      </c>
      <c r="CA62" s="34">
        <f>IF(CC62=0,0,MIN(DaB!$DG62:$DH62)-SUM($C62:BZ62))</f>
        <v>0</v>
      </c>
      <c r="CB62" s="29">
        <f>IF(CC62=0,0,IF(DaB!DG62&gt;0,DaB!DH62-DaB!DG62,0))</f>
        <v>0</v>
      </c>
      <c r="CC62" s="33">
        <f>IF(DaB!DI62&gt;0,DaB!DI62-DaB!DH62+1,0)</f>
        <v>0</v>
      </c>
      <c r="CD62" s="32">
        <f>IF(CC62=0,0,IF(DaB!DK62&gt;0,DaB!DK62-DaB!DJ62+1,0))</f>
        <v>0</v>
      </c>
      <c r="CE62" s="30">
        <f>IF(CC62=0,0,IF(DaB!DL62&gt;0,DaB!DL62-MAX(DaB!DI62:DK62),0))</f>
        <v>0</v>
      </c>
      <c r="CF62" s="34">
        <f>IF(CH62=0,0,MIN(DaB!$DN62:$DO62)-SUM($C62:CE62))</f>
        <v>0</v>
      </c>
      <c r="CG62" s="29">
        <f>IF(CH62=0,0,IF(DaB!DN62&gt;0,DaB!DO62-DaB!DN62,0))</f>
        <v>0</v>
      </c>
      <c r="CH62" s="33">
        <f>IF(DaB!DP62&gt;0,DaB!DP62-DaB!DO62+1,0)</f>
        <v>0</v>
      </c>
      <c r="CI62" s="32">
        <f>IF(CH62=0,0,IF(DaB!DR62&gt;0,DaB!DR62-DaB!DQ62+1,0))</f>
        <v>0</v>
      </c>
      <c r="CJ62" s="30">
        <f>IF(CH62=0,0,IF(DaB!DS62&gt;0,DaB!DS62-MAX(DaB!DP62:DR62),0))</f>
        <v>0</v>
      </c>
      <c r="CK62" s="34">
        <f>IF(CM62=0,0,MIN(DaB!$DU62:$DV62)-SUM($C62:CJ62))</f>
        <v>0</v>
      </c>
      <c r="CL62" s="29">
        <f>IF(CM62=0,0,IF(DaB!DU62&gt;0,DaB!DV62-DaB!DU62,0))</f>
        <v>0</v>
      </c>
      <c r="CM62" s="33">
        <f>IF(DaB!DW62&gt;0,DaB!DW62-DaB!DV62+1,0)</f>
        <v>0</v>
      </c>
      <c r="CN62" s="32">
        <f>IF(CM62=0,0,IF(DaB!DY62&gt;0,DaB!DY62-DaB!DX62+1,0))</f>
        <v>0</v>
      </c>
      <c r="CO62" s="30">
        <f>IF(CM62=0,0,IF(DaB!DZ62&gt;0,DaB!DZ62-MAX(DaB!DW62:DY62),0))</f>
        <v>0</v>
      </c>
      <c r="CP62" s="34">
        <f>IF(CR62=0,0,MIN(DaB!$EB62:$EC62)-SUM($C62:CO62))</f>
        <v>0</v>
      </c>
      <c r="CQ62" s="29">
        <f>IF(CR62=0,0,IF(DaB!EB62&gt;0,DaB!EC62-DaB!EB62,0))</f>
        <v>0</v>
      </c>
      <c r="CR62" s="33">
        <f>IF(DaB!ED62&gt;0,DaB!ED62-DaB!EC62+1,0)</f>
        <v>0</v>
      </c>
      <c r="CS62" s="32">
        <f>IF(CR62=0,0,IF(DaB!EF62&gt;0,DaB!EF62-DaB!EE62+1,0))</f>
        <v>0</v>
      </c>
      <c r="CT62" s="30">
        <f>IF(CR62=0,0,IF(DaB!EG62&gt;0,DaB!EG62-MAX(DaB!ED62:EF62),0))</f>
        <v>0</v>
      </c>
      <c r="CU62" s="34">
        <f>IF(CW62=0,0,MIN(DaB!$EI62:$EJ62)-SUM($C62:CT62))</f>
        <v>0</v>
      </c>
      <c r="CV62" s="29">
        <f>IF(CW62=0,0,IF(DaB!EI62&gt;0,DaB!EJ62-DaB!EI62,0))</f>
        <v>0</v>
      </c>
      <c r="CW62" s="33">
        <f>IF(DaB!EK62&gt;0,DaB!EK62-DaB!EJ62+1,0)</f>
        <v>0</v>
      </c>
      <c r="CX62" s="32">
        <f>IF(CW62=0,0,IF(DaB!EM62&gt;0,DaB!EM62-DaB!EL62+1,0))</f>
        <v>0</v>
      </c>
      <c r="CY62" s="30">
        <f>IF(CW62=0,0,IF(DaB!EN62&gt;0,DaB!EN62-MAX(DaB!EK62:EM62),0))</f>
        <v>0</v>
      </c>
      <c r="DF62" s="2">
        <f t="shared" si="4"/>
        <v>45474</v>
      </c>
      <c r="DG62" s="28"/>
      <c r="DH62" s="29"/>
      <c r="DI62" s="10"/>
      <c r="DJ62" s="10"/>
      <c r="DK62" s="11"/>
      <c r="DL62" s="11"/>
      <c r="DM62" s="30"/>
      <c r="DN62" s="28"/>
      <c r="DO62" s="29"/>
      <c r="DP62" s="10"/>
      <c r="DQ62" s="10"/>
      <c r="DR62" s="11"/>
      <c r="DS62" s="11"/>
      <c r="DT62" s="30"/>
      <c r="DU62" s="28"/>
      <c r="DV62" s="29"/>
      <c r="DW62" s="10"/>
      <c r="DX62" s="10"/>
      <c r="DY62" s="11"/>
      <c r="DZ62" s="11"/>
      <c r="EA62" s="30"/>
      <c r="EB62" s="28"/>
      <c r="EC62" s="29"/>
      <c r="ED62" s="10"/>
      <c r="EE62" s="10"/>
      <c r="EF62" s="11"/>
      <c r="EG62" s="11"/>
      <c r="EH62" s="30"/>
      <c r="EI62" s="34"/>
      <c r="EJ62" s="29"/>
      <c r="EK62" s="10"/>
      <c r="EL62" s="10"/>
      <c r="EM62" s="30"/>
      <c r="EN62" s="34"/>
      <c r="EO62" s="29"/>
      <c r="EP62" s="47"/>
      <c r="EQ62" s="47"/>
      <c r="ER62" s="30"/>
      <c r="ES62" s="34"/>
      <c r="ET62" s="29"/>
      <c r="EU62" s="47"/>
      <c r="EV62" s="47"/>
      <c r="EW62" s="30"/>
    </row>
    <row r="63" spans="1:153" x14ac:dyDescent="0.2">
      <c r="A63" s="2" t="str">
        <f>DaB!A63</f>
        <v>Calendar 29</v>
      </c>
      <c r="B63" s="2" t="str">
        <f t="shared" si="3"/>
        <v>.</v>
      </c>
      <c r="C63" s="27">
        <f t="shared" si="1"/>
        <v>45474</v>
      </c>
      <c r="D63" s="34">
        <f>IFERROR(MIN(DaB!F63:K63)-C63,0)</f>
        <v>-45474</v>
      </c>
      <c r="E63" s="29">
        <f>IF(F63=0,0,IF(DaB!F63&gt;0,DaB!G63-DaB!F63,0))</f>
        <v>0</v>
      </c>
      <c r="F63" s="33">
        <f>IF(DaB!G63&gt;MAX(DaB!EV63,DaB!FJ63),DaB!H63-DaB!G63+1,
IF(DaB!H63&gt;0,DaB!H63-DaB!G63,0))</f>
        <v>0</v>
      </c>
      <c r="G63" s="32">
        <f>IF(F63=0,0,IF(DaB!J63&gt;0,DaB!J63-DaB!I63+1,0))</f>
        <v>0</v>
      </c>
      <c r="H63" s="30">
        <f>IF(F63=0,0,IF(DaB!K63&gt;0,DaB!K63-MAX(DaB!H63:J63),0))</f>
        <v>0</v>
      </c>
      <c r="I63" s="34">
        <f>IF(K63=0,0,MIN(DaB!$M63:$N63)-SUM($C63:H63))</f>
        <v>0</v>
      </c>
      <c r="J63" s="29">
        <f>IF(K63=0,0,IF(DaB!M63&gt;0,DaB!N63-DaB!M63,0))</f>
        <v>0</v>
      </c>
      <c r="K63" s="33">
        <f>IF(DaB!O63&gt;0,DaB!O63-DaB!N63+1,0)</f>
        <v>0</v>
      </c>
      <c r="L63" s="32">
        <f>IF(K63=0,0,IF(DaB!Q63&gt;0,DaB!Q63-DaB!P63+1,0))</f>
        <v>0</v>
      </c>
      <c r="M63" s="30">
        <f>IF(K63=0,0,IF(DaB!R63&gt;0,DaB!R63-MAX(DaB!O63:Q63),0))</f>
        <v>0</v>
      </c>
      <c r="N63" s="31">
        <f>IF(P63=0,0,MIN(DaB!$T63:$U63)-SUM($C63:M63))</f>
        <v>0</v>
      </c>
      <c r="O63" s="29">
        <f>IF(P63=0,0,IF(DaB!T63&gt;0,DaB!U63-DaB!T63,0))</f>
        <v>0</v>
      </c>
      <c r="P63" s="33">
        <f>IF(DaB!V63&gt;0,DaB!V63-DaB!U63+1,0)</f>
        <v>0</v>
      </c>
      <c r="Q63" s="32">
        <f>IF(P63=0,0,IF(DaB!X63&gt;0,DaB!X63-DaB!W63+1,0))</f>
        <v>0</v>
      </c>
      <c r="R63" s="30">
        <f>IF(P63=0,0,IF(DaB!Y63&gt;0,DaB!Y63-MAX(DaB!V63:X63),0))</f>
        <v>0</v>
      </c>
      <c r="S63" s="34">
        <f>IF(U63=0,0,MIN(DaB!$AA63:$AB63)-SUM($C63:R63))</f>
        <v>0</v>
      </c>
      <c r="T63" s="29">
        <f>IF(U63=0,0,IF(DaB!AA63&gt;0,DaB!AB63-DaB!AA63,0))</f>
        <v>0</v>
      </c>
      <c r="U63" s="33">
        <f>IF(DaB!AC63&gt;0,DaB!AC63-DaB!AB63+1,0)</f>
        <v>0</v>
      </c>
      <c r="V63" s="32">
        <f>IF(U63=0,0,IF(DaB!AE63&gt;0,DaB!AE63-DaB!AD63+1,0))</f>
        <v>0</v>
      </c>
      <c r="W63" s="30">
        <f>IF(U63=0,0,IF(DaB!AF63&gt;0,DaB!AF63-MAX(DaB!AC63:AE63),0))</f>
        <v>0</v>
      </c>
      <c r="X63" s="34">
        <f>IF(Z63=0,0,MIN(DaB!$AH63:$AI63)-SUM($C63:W63))</f>
        <v>0</v>
      </c>
      <c r="Y63" s="29">
        <f>IF(Z63=0,0,IF(DaB!AH63&gt;0,DaB!AI63-DaB!AH63,0))</f>
        <v>0</v>
      </c>
      <c r="Z63" s="33">
        <f>IF(DaB!AJ63&gt;0,DaB!AJ63-DaB!AI63+1,0)</f>
        <v>0</v>
      </c>
      <c r="AA63" s="32">
        <f>IF(Z63=0,0,IF(DaB!AL63&gt;0,DaB!AL63-DaB!AK63+1,0))</f>
        <v>0</v>
      </c>
      <c r="AB63" s="30">
        <f>IF(Z63=0,0,IF(DaB!AM63&gt;0,DaB!AM63-MAX(DaB!AJ63:AL63),0))</f>
        <v>0</v>
      </c>
      <c r="AC63" s="34">
        <f>IF(AE63=0,0,MIN(DaB!$AO63:$AP63)-SUM($C63:AB63))</f>
        <v>0</v>
      </c>
      <c r="AD63" s="29">
        <f>IF(AE63=0,0,IF(DaB!AO63&gt;0,DaB!AP63-DaB!AO63,0))</f>
        <v>0</v>
      </c>
      <c r="AE63" s="33">
        <f>IF(DaB!AQ63&gt;0,DaB!AQ63-DaB!AP63+1,0)</f>
        <v>0</v>
      </c>
      <c r="AF63" s="32">
        <f>IF(AE63=0,0,IF(DaB!AS63&gt;0,DaB!AS63-DaB!AR63+1,0))</f>
        <v>0</v>
      </c>
      <c r="AG63" s="30">
        <f>IF(AE63=0,0,IF(DaB!AT63&gt;0,DaB!AT63-MAX(DaB!AQ63:AS63),0))</f>
        <v>0</v>
      </c>
      <c r="AH63" s="34">
        <f>IF(AJ63=0,0,MIN(DaB!$AV63:$AW63)-SUM($C63:AG63))</f>
        <v>0</v>
      </c>
      <c r="AI63" s="29">
        <f>IF(AJ63=0,0,IF(DaB!AV63&gt;0,DaB!AW63-DaB!AV63,0))</f>
        <v>0</v>
      </c>
      <c r="AJ63" s="33">
        <f>IF(DaB!AX63&gt;0,DaB!AX63-DaB!AW63+1,0)</f>
        <v>0</v>
      </c>
      <c r="AK63" s="32">
        <f>IF(AJ63=0,0,IF(DaB!AZ63&gt;0,DaB!AZ63-DaB!AY63+1,0))</f>
        <v>0</v>
      </c>
      <c r="AL63" s="30">
        <f>IF(AJ63=0,0,IF(DaB!BA63&gt;0,DaB!BA63-MAX(DaB!AX63:AZ63),0))</f>
        <v>0</v>
      </c>
      <c r="AM63" s="34">
        <f>IF(AO63=0,0,MIN(DaB!$BC63:$BD63)-SUM($C63:AL63))</f>
        <v>0</v>
      </c>
      <c r="AN63" s="29">
        <f>IF(AO63=0,0,IF(DaB!BC63&gt;0,DaB!BD63-DaB!BC63,0))</f>
        <v>0</v>
      </c>
      <c r="AO63" s="33">
        <f>IF(DaB!BE63&gt;0,DaB!BE63-DaB!BD63+1,0)</f>
        <v>0</v>
      </c>
      <c r="AP63" s="32">
        <f>IF(AO63=0,0,IF(DaB!BG63&gt;0,DaB!BG63-DaB!BF63+1,0))</f>
        <v>0</v>
      </c>
      <c r="AQ63" s="30">
        <f>IF(AO63=0,0,IF(DaB!BH63&gt;0,DaB!BH63-MAX(DaB!BE63:BG63),0))</f>
        <v>0</v>
      </c>
      <c r="AR63" s="34">
        <f>IF(AT63=0,0,MIN(DaB!$BJ63:$BK63)-SUM($C63:AQ63))</f>
        <v>0</v>
      </c>
      <c r="AS63" s="29">
        <f>IF(AT63=0,0,IF(DaB!BJ63&gt;0,DaB!BK63-DaB!BJ63,0))</f>
        <v>0</v>
      </c>
      <c r="AT63" s="33">
        <f>IF(DaB!BL63&gt;0,DaB!BL63-DaB!BK63+1,0)</f>
        <v>0</v>
      </c>
      <c r="AU63" s="32">
        <f>IF(AT63=0,0,IF(DaB!BN63&gt;0,DaB!BN63-DaB!BM63+1,0))</f>
        <v>0</v>
      </c>
      <c r="AV63" s="30">
        <f>IF(AT63=0,0,IF(DaB!BO63&gt;0,DaB!BO63-MAX(DaB!BL63:BN63),0))</f>
        <v>0</v>
      </c>
      <c r="AW63" s="34">
        <f>IF(AY63=0,0,MIN(DaB!$BQ63:$BR63)-SUM($C63:AV63))</f>
        <v>0</v>
      </c>
      <c r="AX63" s="29">
        <f>IF(AY63=0,0,IF(DaB!BQ63&gt;0,DaB!BR63-DaB!BQ63,0))</f>
        <v>0</v>
      </c>
      <c r="AY63" s="33">
        <f>IF(DaB!BS63&gt;0,DaB!BS63-DaB!BR63+1,0)</f>
        <v>0</v>
      </c>
      <c r="AZ63" s="32">
        <f>IF(AY63=0,0,IF(DaB!BU63&gt;0,DaB!BU63-DaB!BT63+1,0))</f>
        <v>0</v>
      </c>
      <c r="BA63" s="30">
        <f>IF(AY63=0,0,IF(DaB!BV63&gt;0,DaB!BV63-MAX(DaB!BS63:BU63),0))</f>
        <v>0</v>
      </c>
      <c r="BB63" s="34">
        <f>IF(BD63=0,0,MIN(DaB!$BX63:$BY63)-SUM($C63:BA63))</f>
        <v>0</v>
      </c>
      <c r="BC63" s="29">
        <f>IF(BD63=0,0,IF(DaB!BX63&gt;0,DaB!BY63-DaB!BX63,0))</f>
        <v>0</v>
      </c>
      <c r="BD63" s="33">
        <f>IF(DaB!BZ63&gt;0,DaB!BZ63-DaB!BY63+1,0)</f>
        <v>0</v>
      </c>
      <c r="BE63" s="32">
        <f>IF(BD63=0,0,IF(DaB!CB63&gt;0,DaB!CB63-DaB!CA63+1,0))</f>
        <v>0</v>
      </c>
      <c r="BF63" s="30">
        <f>IF(BD63=0,0,IF(DaB!CC63&gt;0,DaB!CC63-MAX(DaB!BZ63:CB63),0))</f>
        <v>0</v>
      </c>
      <c r="BG63" s="34">
        <f>IF(BI63=0,0,MIN(DaB!$CE63:$CF63)-SUM($C63:BF63))</f>
        <v>0</v>
      </c>
      <c r="BH63" s="29">
        <f>IF(BI63=0,0,IF(DaB!CE63&gt;0,DaB!CF63-DaB!CE63,0))</f>
        <v>0</v>
      </c>
      <c r="BI63" s="33">
        <f>IF(DaB!CG63&gt;0,DaB!CG63-DaB!CF63+1,0)</f>
        <v>0</v>
      </c>
      <c r="BJ63" s="32">
        <f>IF(BI63=0,0,IF(DaB!CI63&gt;0,DaB!CI63-DaB!CH63+1,0))</f>
        <v>0</v>
      </c>
      <c r="BK63" s="30">
        <f>IF(BI63=0,0,IF(DaB!CJ63&gt;0,DaB!CJ63-MAX(DaB!CG63:CI63),0))</f>
        <v>0</v>
      </c>
      <c r="BL63" s="34">
        <f>IF(BN63=0,0,MIN(DaB!$CL63:$CM63)-SUM($C63:BK63))</f>
        <v>0</v>
      </c>
      <c r="BM63" s="29">
        <f>IF(BN63=0,0,IF(DaB!CL63&gt;0,DaB!CM63-DaB!CL63,0))</f>
        <v>0</v>
      </c>
      <c r="BN63" s="33">
        <f>IF(DaB!CN63&gt;0,DaB!CN63-DaB!CM63+1,0)</f>
        <v>0</v>
      </c>
      <c r="BO63" s="32">
        <f>IF(BN63=0,0,IF(DaB!CP63&gt;0,DaB!CP63-DaB!CO63+1,0))</f>
        <v>0</v>
      </c>
      <c r="BP63" s="30">
        <f>IF(BN63=0,0,IF(DaB!CQ63&gt;0,DaB!CQ63-MAX(DaB!CN63:CP63),0))</f>
        <v>0</v>
      </c>
      <c r="BQ63" s="34">
        <f>IF(BS63=0,0,MIN(DaB!$CS63:$CT63)-SUM($C63:BP63))</f>
        <v>0</v>
      </c>
      <c r="BR63" s="29">
        <f>IF(BS63=0,0,IF(DaB!CS63&gt;0,DaB!CT63-DaB!CS63,0))</f>
        <v>0</v>
      </c>
      <c r="BS63" s="33">
        <f>IF(DaB!CU63&gt;0,DaB!CU63-DaB!CT63+1,0)</f>
        <v>0</v>
      </c>
      <c r="BT63" s="32">
        <f>IF(BS63=0,0,IF(DaB!CW63&gt;0,DaB!CW63-DaB!CV63+1,0))</f>
        <v>0</v>
      </c>
      <c r="BU63" s="30">
        <f>IF(BS63=0,0,IF(DaB!CX63&gt;0,DaB!CX63-MAX(DaB!CU63:CW63),0))</f>
        <v>0</v>
      </c>
      <c r="BV63" s="34">
        <f>IF(BX63=0,0,MIN(DaB!$CZ63:$DA63)-SUM($C63:BU63))</f>
        <v>0</v>
      </c>
      <c r="BW63" s="29">
        <f>IF(BX63=0,0,IF(DaB!CZ63&gt;0,DaB!DA63-DaB!CZ63,0))</f>
        <v>0</v>
      </c>
      <c r="BX63" s="33">
        <f>IF(DaB!DB63&gt;0,DaB!DB63-DaB!DA63+1,0)</f>
        <v>0</v>
      </c>
      <c r="BY63" s="32">
        <f>IF(BX63=0,0,IF(DaB!DD63&gt;0,DaB!DD63-DaB!DC63+1,0))</f>
        <v>0</v>
      </c>
      <c r="BZ63" s="30">
        <f>IF(BX63=0,0,IF(DaB!DE63&gt;0,DaB!DE63-MAX(DaB!DB63:DD63),0))</f>
        <v>0</v>
      </c>
      <c r="CA63" s="34">
        <f>IF(CC63=0,0,MIN(DaB!$DG63:$DH63)-SUM($C63:BZ63))</f>
        <v>0</v>
      </c>
      <c r="CB63" s="29">
        <f>IF(CC63=0,0,IF(DaB!DG63&gt;0,DaB!DH63-DaB!DG63,0))</f>
        <v>0</v>
      </c>
      <c r="CC63" s="33">
        <f>IF(DaB!DI63&gt;0,DaB!DI63-DaB!DH63+1,0)</f>
        <v>0</v>
      </c>
      <c r="CD63" s="32">
        <f>IF(CC63=0,0,IF(DaB!DK63&gt;0,DaB!DK63-DaB!DJ63+1,0))</f>
        <v>0</v>
      </c>
      <c r="CE63" s="30">
        <f>IF(CC63=0,0,IF(DaB!DL63&gt;0,DaB!DL63-MAX(DaB!DI63:DK63),0))</f>
        <v>0</v>
      </c>
      <c r="CF63" s="34">
        <f>IF(CH63=0,0,MIN(DaB!$DN63:$DO63)-SUM($C63:CE63))</f>
        <v>0</v>
      </c>
      <c r="CG63" s="29">
        <f>IF(CH63=0,0,IF(DaB!DN63&gt;0,DaB!DO63-DaB!DN63,0))</f>
        <v>0</v>
      </c>
      <c r="CH63" s="33">
        <f>IF(DaB!DP63&gt;0,DaB!DP63-DaB!DO63+1,0)</f>
        <v>0</v>
      </c>
      <c r="CI63" s="32">
        <f>IF(CH63=0,0,IF(DaB!DR63&gt;0,DaB!DR63-DaB!DQ63+1,0))</f>
        <v>0</v>
      </c>
      <c r="CJ63" s="30">
        <f>IF(CH63=0,0,IF(DaB!DS63&gt;0,DaB!DS63-MAX(DaB!DP63:DR63),0))</f>
        <v>0</v>
      </c>
      <c r="CK63" s="34">
        <f>IF(CM63=0,0,MIN(DaB!$DU63:$DV63)-SUM($C63:CJ63))</f>
        <v>0</v>
      </c>
      <c r="CL63" s="29">
        <f>IF(CM63=0,0,IF(DaB!DU63&gt;0,DaB!DV63-DaB!DU63,0))</f>
        <v>0</v>
      </c>
      <c r="CM63" s="33">
        <f>IF(DaB!DW63&gt;0,DaB!DW63-DaB!DV63+1,0)</f>
        <v>0</v>
      </c>
      <c r="CN63" s="32">
        <f>IF(CM63=0,0,IF(DaB!DY63&gt;0,DaB!DY63-DaB!DX63+1,0))</f>
        <v>0</v>
      </c>
      <c r="CO63" s="30">
        <f>IF(CM63=0,0,IF(DaB!DZ63&gt;0,DaB!DZ63-MAX(DaB!DW63:DY63),0))</f>
        <v>0</v>
      </c>
      <c r="CP63" s="34">
        <f>IF(CR63=0,0,MIN(DaB!$EB63:$EC63)-SUM($C63:CO63))</f>
        <v>0</v>
      </c>
      <c r="CQ63" s="29">
        <f>IF(CR63=0,0,IF(DaB!EB63&gt;0,DaB!EC63-DaB!EB63,0))</f>
        <v>0</v>
      </c>
      <c r="CR63" s="33">
        <f>IF(DaB!ED63&gt;0,DaB!ED63-DaB!EC63+1,0)</f>
        <v>0</v>
      </c>
      <c r="CS63" s="32">
        <f>IF(CR63=0,0,IF(DaB!EF63&gt;0,DaB!EF63-DaB!EE63+1,0))</f>
        <v>0</v>
      </c>
      <c r="CT63" s="30">
        <f>IF(CR63=0,0,IF(DaB!EG63&gt;0,DaB!EG63-MAX(DaB!ED63:EF63),0))</f>
        <v>0</v>
      </c>
      <c r="CU63" s="34">
        <f>IF(CW63=0,0,MIN(DaB!$EI63:$EJ63)-SUM($C63:CT63))</f>
        <v>0</v>
      </c>
      <c r="CV63" s="29">
        <f>IF(CW63=0,0,IF(DaB!EI63&gt;0,DaB!EJ63-DaB!EI63,0))</f>
        <v>0</v>
      </c>
      <c r="CW63" s="33">
        <f>IF(DaB!EK63&gt;0,DaB!EK63-DaB!EJ63+1,0)</f>
        <v>0</v>
      </c>
      <c r="CX63" s="32">
        <f>IF(CW63=0,0,IF(DaB!EM63&gt;0,DaB!EM63-DaB!EL63+1,0))</f>
        <v>0</v>
      </c>
      <c r="CY63" s="30">
        <f>IF(CW63=0,0,IF(DaB!EN63&gt;0,DaB!EN63-MAX(DaB!EK63:EM63),0))</f>
        <v>0</v>
      </c>
      <c r="DF63" s="2">
        <f t="shared" si="4"/>
        <v>45474</v>
      </c>
      <c r="DG63" s="28"/>
      <c r="DH63" s="29"/>
      <c r="DI63" s="10"/>
      <c r="DJ63" s="10"/>
      <c r="DK63" s="11"/>
      <c r="DL63" s="11"/>
      <c r="DM63" s="30"/>
      <c r="DN63" s="28"/>
      <c r="DO63" s="29"/>
      <c r="DP63" s="10"/>
      <c r="DQ63" s="10"/>
      <c r="DR63" s="11"/>
      <c r="DS63" s="11"/>
      <c r="DT63" s="30"/>
      <c r="DU63" s="28"/>
      <c r="DV63" s="29"/>
      <c r="DW63" s="10"/>
      <c r="DX63" s="10"/>
      <c r="DY63" s="11"/>
      <c r="DZ63" s="11"/>
      <c r="EA63" s="30"/>
      <c r="EB63" s="28"/>
      <c r="EC63" s="29"/>
      <c r="ED63" s="10"/>
      <c r="EE63" s="10"/>
      <c r="EF63" s="11"/>
      <c r="EG63" s="11"/>
      <c r="EH63" s="30"/>
      <c r="EI63" s="34"/>
      <c r="EJ63" s="29"/>
      <c r="EK63" s="10"/>
      <c r="EL63" s="10"/>
      <c r="EM63" s="30"/>
      <c r="EN63" s="34"/>
      <c r="EO63" s="29"/>
      <c r="EP63" s="47"/>
      <c r="EQ63" s="47"/>
      <c r="ER63" s="30"/>
      <c r="ES63" s="34"/>
      <c r="ET63" s="29"/>
      <c r="EU63" s="47"/>
      <c r="EV63" s="47"/>
      <c r="EW63" s="30"/>
    </row>
    <row r="64" spans="1:153" x14ac:dyDescent="0.2">
      <c r="A64" s="2" t="str">
        <f>DaB!A64</f>
        <v>Calendar 30</v>
      </c>
      <c r="B64" s="2" t="str">
        <f t="shared" si="3"/>
        <v>.</v>
      </c>
      <c r="C64" s="27">
        <f t="shared" si="1"/>
        <v>45474</v>
      </c>
      <c r="D64" s="34">
        <f>IFERROR(MIN(DaB!F64:K64)-C64,0)</f>
        <v>-45474</v>
      </c>
      <c r="E64" s="29">
        <f>IF(F64=0,0,IF(DaB!F64&gt;0,DaB!G64-DaB!F64,0))</f>
        <v>0</v>
      </c>
      <c r="F64" s="33">
        <f>IF(DaB!G64&gt;MAX(DaB!EV64,DaB!FJ64),DaB!H64-DaB!G64+1,
IF(DaB!H64&gt;0,DaB!H64-DaB!G64,0))</f>
        <v>0</v>
      </c>
      <c r="G64" s="32">
        <f>IF(F64=0,0,IF(DaB!J64&gt;0,DaB!J64-DaB!I64+1,0))</f>
        <v>0</v>
      </c>
      <c r="H64" s="30">
        <f>IF(F64=0,0,IF(DaB!K64&gt;0,DaB!K64-MAX(DaB!H64:J64),0))</f>
        <v>0</v>
      </c>
      <c r="I64" s="34">
        <f>IF(K64=0,0,MIN(DaB!$M64:$N64)-SUM($C64:H64))</f>
        <v>0</v>
      </c>
      <c r="J64" s="29">
        <f>IF(K64=0,0,IF(DaB!M64&gt;0,DaB!N64-DaB!M64,0))</f>
        <v>0</v>
      </c>
      <c r="K64" s="33">
        <f>IF(DaB!O64&gt;0,DaB!O64-DaB!N64+1,0)</f>
        <v>0</v>
      </c>
      <c r="L64" s="32">
        <f>IF(K64=0,0,IF(DaB!Q64&gt;0,DaB!Q64-DaB!P64+1,0))</f>
        <v>0</v>
      </c>
      <c r="M64" s="30">
        <f>IF(K64=0,0,IF(DaB!R64&gt;0,DaB!R64-MAX(DaB!O64:Q64),0))</f>
        <v>0</v>
      </c>
      <c r="N64" s="31">
        <f>IF(P64=0,0,MIN(DaB!$T64:$U64)-SUM($C64:M64))</f>
        <v>0</v>
      </c>
      <c r="O64" s="29">
        <f>IF(P64=0,0,IF(DaB!T64&gt;0,DaB!U64-DaB!T64,0))</f>
        <v>0</v>
      </c>
      <c r="P64" s="33">
        <f>IF(DaB!V64&gt;0,DaB!V64-DaB!U64+1,0)</f>
        <v>0</v>
      </c>
      <c r="Q64" s="32">
        <f>IF(P64=0,0,IF(DaB!X64&gt;0,DaB!X64-DaB!W64+1,0))</f>
        <v>0</v>
      </c>
      <c r="R64" s="30">
        <f>IF(P64=0,0,IF(DaB!Y64&gt;0,DaB!Y64-MAX(DaB!V64:X64),0))</f>
        <v>0</v>
      </c>
      <c r="S64" s="34">
        <f>IF(U64=0,0,MIN(DaB!$AA64:$AB64)-SUM($C64:R64))</f>
        <v>0</v>
      </c>
      <c r="T64" s="29">
        <f>IF(U64=0,0,IF(DaB!AA64&gt;0,DaB!AB64-DaB!AA64,0))</f>
        <v>0</v>
      </c>
      <c r="U64" s="33">
        <f>IF(DaB!AC64&gt;0,DaB!AC64-DaB!AB64+1,0)</f>
        <v>0</v>
      </c>
      <c r="V64" s="32">
        <f>IF(U64=0,0,IF(DaB!AE64&gt;0,DaB!AE64-DaB!AD64+1,0))</f>
        <v>0</v>
      </c>
      <c r="W64" s="30">
        <f>IF(U64=0,0,IF(DaB!AF64&gt;0,DaB!AF64-MAX(DaB!AC64:AE64),0))</f>
        <v>0</v>
      </c>
      <c r="X64" s="34">
        <f>IF(Z64=0,0,MIN(DaB!$AH64:$AI64)-SUM($C64:W64))</f>
        <v>0</v>
      </c>
      <c r="Y64" s="29">
        <f>IF(Z64=0,0,IF(DaB!AH64&gt;0,DaB!AI64-DaB!AH64,0))</f>
        <v>0</v>
      </c>
      <c r="Z64" s="33">
        <f>IF(DaB!AJ64&gt;0,DaB!AJ64-DaB!AI64+1,0)</f>
        <v>0</v>
      </c>
      <c r="AA64" s="32">
        <f>IF(Z64=0,0,IF(DaB!AL64&gt;0,DaB!AL64-DaB!AK64+1,0))</f>
        <v>0</v>
      </c>
      <c r="AB64" s="30">
        <f>IF(Z64=0,0,IF(DaB!AM64&gt;0,DaB!AM64-MAX(DaB!AJ64:AL64),0))</f>
        <v>0</v>
      </c>
      <c r="AC64" s="34">
        <f>IF(AE64=0,0,MIN(DaB!$AO64:$AP64)-SUM($C64:AB64))</f>
        <v>0</v>
      </c>
      <c r="AD64" s="29">
        <f>IF(AE64=0,0,IF(DaB!AO64&gt;0,DaB!AP64-DaB!AO64,0))</f>
        <v>0</v>
      </c>
      <c r="AE64" s="33">
        <f>IF(DaB!AQ64&gt;0,DaB!AQ64-DaB!AP64+1,0)</f>
        <v>0</v>
      </c>
      <c r="AF64" s="32">
        <f>IF(AE64=0,0,IF(DaB!AS64&gt;0,DaB!AS64-DaB!AR64+1,0))</f>
        <v>0</v>
      </c>
      <c r="AG64" s="30">
        <f>IF(AE64=0,0,IF(DaB!AT64&gt;0,DaB!AT64-MAX(DaB!AQ64:AS64),0))</f>
        <v>0</v>
      </c>
      <c r="AH64" s="34">
        <f>IF(AJ64=0,0,MIN(DaB!$AV64:$AW64)-SUM($C64:AG64))</f>
        <v>0</v>
      </c>
      <c r="AI64" s="29">
        <f>IF(AJ64=0,0,IF(DaB!AV64&gt;0,DaB!AW64-DaB!AV64,0))</f>
        <v>0</v>
      </c>
      <c r="AJ64" s="33">
        <f>IF(DaB!AX64&gt;0,DaB!AX64-DaB!AW64+1,0)</f>
        <v>0</v>
      </c>
      <c r="AK64" s="32">
        <f>IF(AJ64=0,0,IF(DaB!AZ64&gt;0,DaB!AZ64-DaB!AY64+1,0))</f>
        <v>0</v>
      </c>
      <c r="AL64" s="30">
        <f>IF(AJ64=0,0,IF(DaB!BA64&gt;0,DaB!BA64-MAX(DaB!AX64:AZ64),0))</f>
        <v>0</v>
      </c>
      <c r="AM64" s="34">
        <f>IF(AO64=0,0,MIN(DaB!$BC64:$BD64)-SUM($C64:AL64))</f>
        <v>0</v>
      </c>
      <c r="AN64" s="29">
        <f>IF(AO64=0,0,IF(DaB!BC64&gt;0,DaB!BD64-DaB!BC64,0))</f>
        <v>0</v>
      </c>
      <c r="AO64" s="33">
        <f>IF(DaB!BE64&gt;0,DaB!BE64-DaB!BD64+1,0)</f>
        <v>0</v>
      </c>
      <c r="AP64" s="32">
        <f>IF(AO64=0,0,IF(DaB!BG64&gt;0,DaB!BG64-DaB!BF64+1,0))</f>
        <v>0</v>
      </c>
      <c r="AQ64" s="30">
        <f>IF(AO64=0,0,IF(DaB!BH64&gt;0,DaB!BH64-MAX(DaB!BE64:BG64),0))</f>
        <v>0</v>
      </c>
      <c r="AR64" s="34">
        <f>IF(AT64=0,0,MIN(DaB!$BJ64:$BK64)-SUM($C64:AQ64))</f>
        <v>0</v>
      </c>
      <c r="AS64" s="29">
        <f>IF(AT64=0,0,IF(DaB!BJ64&gt;0,DaB!BK64-DaB!BJ64,0))</f>
        <v>0</v>
      </c>
      <c r="AT64" s="33">
        <f>IF(DaB!BL64&gt;0,DaB!BL64-DaB!BK64+1,0)</f>
        <v>0</v>
      </c>
      <c r="AU64" s="32">
        <f>IF(AT64=0,0,IF(DaB!BN64&gt;0,DaB!BN64-DaB!BM64+1,0))</f>
        <v>0</v>
      </c>
      <c r="AV64" s="30">
        <f>IF(AT64=0,0,IF(DaB!BO64&gt;0,DaB!BO64-MAX(DaB!BL64:BN64),0))</f>
        <v>0</v>
      </c>
      <c r="AW64" s="34">
        <f>IF(AY64=0,0,MIN(DaB!$BQ64:$BR64)-SUM($C64:AV64))</f>
        <v>0</v>
      </c>
      <c r="AX64" s="29">
        <f>IF(AY64=0,0,IF(DaB!BQ64&gt;0,DaB!BR64-DaB!BQ64,0))</f>
        <v>0</v>
      </c>
      <c r="AY64" s="33">
        <f>IF(DaB!BS64&gt;0,DaB!BS64-DaB!BR64+1,0)</f>
        <v>0</v>
      </c>
      <c r="AZ64" s="32">
        <f>IF(AY64=0,0,IF(DaB!BU64&gt;0,DaB!BU64-DaB!BT64+1,0))</f>
        <v>0</v>
      </c>
      <c r="BA64" s="30">
        <f>IF(AY64=0,0,IF(DaB!BV64&gt;0,DaB!BV64-MAX(DaB!BS64:BU64),0))</f>
        <v>0</v>
      </c>
      <c r="BB64" s="34">
        <f>IF(BD64=0,0,MIN(DaB!$BX64:$BY64)-SUM($C64:BA64))</f>
        <v>0</v>
      </c>
      <c r="BC64" s="29">
        <f>IF(BD64=0,0,IF(DaB!BX64&gt;0,DaB!BY64-DaB!BX64,0))</f>
        <v>0</v>
      </c>
      <c r="BD64" s="33">
        <f>IF(DaB!BZ64&gt;0,DaB!BZ64-DaB!BY64+1,0)</f>
        <v>0</v>
      </c>
      <c r="BE64" s="32">
        <f>IF(BD64=0,0,IF(DaB!CB64&gt;0,DaB!CB64-DaB!CA64+1,0))</f>
        <v>0</v>
      </c>
      <c r="BF64" s="30">
        <f>IF(BD64=0,0,IF(DaB!CC64&gt;0,DaB!CC64-MAX(DaB!BZ64:CB64),0))</f>
        <v>0</v>
      </c>
      <c r="BG64" s="34">
        <f>IF(BI64=0,0,MIN(DaB!$CE64:$CF64)-SUM($C64:BF64))</f>
        <v>0</v>
      </c>
      <c r="BH64" s="29">
        <f>IF(BI64=0,0,IF(DaB!CE64&gt;0,DaB!CF64-DaB!CE64,0))</f>
        <v>0</v>
      </c>
      <c r="BI64" s="33">
        <f>IF(DaB!CG64&gt;0,DaB!CG64-DaB!CF64+1,0)</f>
        <v>0</v>
      </c>
      <c r="BJ64" s="32">
        <f>IF(BI64=0,0,IF(DaB!CI64&gt;0,DaB!CI64-DaB!CH64+1,0))</f>
        <v>0</v>
      </c>
      <c r="BK64" s="30">
        <f>IF(BI64=0,0,IF(DaB!CJ64&gt;0,DaB!CJ64-MAX(DaB!CG64:CI64),0))</f>
        <v>0</v>
      </c>
      <c r="BL64" s="34">
        <f>IF(BN64=0,0,MIN(DaB!$CL64:$CM64)-SUM($C64:BK64))</f>
        <v>0</v>
      </c>
      <c r="BM64" s="29">
        <f>IF(BN64=0,0,IF(DaB!CL64&gt;0,DaB!CM64-DaB!CL64,0))</f>
        <v>0</v>
      </c>
      <c r="BN64" s="33">
        <f>IF(DaB!CN64&gt;0,DaB!CN64-DaB!CM64+1,0)</f>
        <v>0</v>
      </c>
      <c r="BO64" s="32">
        <f>IF(BN64=0,0,IF(DaB!CP64&gt;0,DaB!CP64-DaB!CO64+1,0))</f>
        <v>0</v>
      </c>
      <c r="BP64" s="30">
        <f>IF(BN64=0,0,IF(DaB!CQ64&gt;0,DaB!CQ64-MAX(DaB!CN64:CP64),0))</f>
        <v>0</v>
      </c>
      <c r="BQ64" s="34">
        <f>IF(BS64=0,0,MIN(DaB!$CS64:$CT64)-SUM($C64:BP64))</f>
        <v>0</v>
      </c>
      <c r="BR64" s="29">
        <f>IF(BS64=0,0,IF(DaB!CS64&gt;0,DaB!CT64-DaB!CS64,0))</f>
        <v>0</v>
      </c>
      <c r="BS64" s="33">
        <f>IF(DaB!CU64&gt;0,DaB!CU64-DaB!CT64+1,0)</f>
        <v>0</v>
      </c>
      <c r="BT64" s="32">
        <f>IF(BS64=0,0,IF(DaB!CW64&gt;0,DaB!CW64-DaB!CV64+1,0))</f>
        <v>0</v>
      </c>
      <c r="BU64" s="30">
        <f>IF(BS64=0,0,IF(DaB!CX64&gt;0,DaB!CX64-MAX(DaB!CU64:CW64),0))</f>
        <v>0</v>
      </c>
      <c r="BV64" s="34">
        <f>IF(BX64=0,0,MIN(DaB!$CZ64:$DA64)-SUM($C64:BU64))</f>
        <v>0</v>
      </c>
      <c r="BW64" s="29">
        <f>IF(BX64=0,0,IF(DaB!CZ64&gt;0,DaB!DA64-DaB!CZ64,0))</f>
        <v>0</v>
      </c>
      <c r="BX64" s="33">
        <f>IF(DaB!DB64&gt;0,DaB!DB64-DaB!DA64+1,0)</f>
        <v>0</v>
      </c>
      <c r="BY64" s="32">
        <f>IF(BX64=0,0,IF(DaB!DD64&gt;0,DaB!DD64-DaB!DC64+1,0))</f>
        <v>0</v>
      </c>
      <c r="BZ64" s="30">
        <f>IF(BX64=0,0,IF(DaB!DE64&gt;0,DaB!DE64-MAX(DaB!DB64:DD64),0))</f>
        <v>0</v>
      </c>
      <c r="CA64" s="34">
        <f>IF(CC64=0,0,MIN(DaB!$DG64:$DH64)-SUM($C64:BZ64))</f>
        <v>0</v>
      </c>
      <c r="CB64" s="29">
        <f>IF(CC64=0,0,IF(DaB!DG64&gt;0,DaB!DH64-DaB!DG64,0))</f>
        <v>0</v>
      </c>
      <c r="CC64" s="33">
        <f>IF(DaB!DI64&gt;0,DaB!DI64-DaB!DH64+1,0)</f>
        <v>0</v>
      </c>
      <c r="CD64" s="32">
        <f>IF(CC64=0,0,IF(DaB!DK64&gt;0,DaB!DK64-DaB!DJ64+1,0))</f>
        <v>0</v>
      </c>
      <c r="CE64" s="30">
        <f>IF(CC64=0,0,IF(DaB!DL64&gt;0,DaB!DL64-MAX(DaB!DI64:DK64),0))</f>
        <v>0</v>
      </c>
      <c r="CF64" s="34">
        <f>IF(CH64=0,0,MIN(DaB!$DN64:$DO64)-SUM($C64:CE64))</f>
        <v>0</v>
      </c>
      <c r="CG64" s="29">
        <f>IF(CH64=0,0,IF(DaB!DN64&gt;0,DaB!DO64-DaB!DN64,0))</f>
        <v>0</v>
      </c>
      <c r="CH64" s="33">
        <f>IF(DaB!DP64&gt;0,DaB!DP64-DaB!DO64+1,0)</f>
        <v>0</v>
      </c>
      <c r="CI64" s="32">
        <f>IF(CH64=0,0,IF(DaB!DR64&gt;0,DaB!DR64-DaB!DQ64+1,0))</f>
        <v>0</v>
      </c>
      <c r="CJ64" s="30">
        <f>IF(CH64=0,0,IF(DaB!DS64&gt;0,DaB!DS64-MAX(DaB!DP64:DR64),0))</f>
        <v>0</v>
      </c>
      <c r="CK64" s="34">
        <f>IF(CM64=0,0,MIN(DaB!$DU64:$DV64)-SUM($C64:CJ64))</f>
        <v>0</v>
      </c>
      <c r="CL64" s="29">
        <f>IF(CM64=0,0,IF(DaB!DU64&gt;0,DaB!DV64-DaB!DU64,0))</f>
        <v>0</v>
      </c>
      <c r="CM64" s="33">
        <f>IF(DaB!DW64&gt;0,DaB!DW64-DaB!DV64+1,0)</f>
        <v>0</v>
      </c>
      <c r="CN64" s="32">
        <f>IF(CM64=0,0,IF(DaB!DY64&gt;0,DaB!DY64-DaB!DX64+1,0))</f>
        <v>0</v>
      </c>
      <c r="CO64" s="30">
        <f>IF(CM64=0,0,IF(DaB!DZ64&gt;0,DaB!DZ64-MAX(DaB!DW64:DY64),0))</f>
        <v>0</v>
      </c>
      <c r="CP64" s="34">
        <f>IF(CR64=0,0,MIN(DaB!$EB64:$EC64)-SUM($C64:CO64))</f>
        <v>0</v>
      </c>
      <c r="CQ64" s="29">
        <f>IF(CR64=0,0,IF(DaB!EB64&gt;0,DaB!EC64-DaB!EB64,0))</f>
        <v>0</v>
      </c>
      <c r="CR64" s="33">
        <f>IF(DaB!ED64&gt;0,DaB!ED64-DaB!EC64+1,0)</f>
        <v>0</v>
      </c>
      <c r="CS64" s="32">
        <f>IF(CR64=0,0,IF(DaB!EF64&gt;0,DaB!EF64-DaB!EE64+1,0))</f>
        <v>0</v>
      </c>
      <c r="CT64" s="30">
        <f>IF(CR64=0,0,IF(DaB!EG64&gt;0,DaB!EG64-MAX(DaB!ED64:EF64),0))</f>
        <v>0</v>
      </c>
      <c r="CU64" s="34">
        <f>IF(CW64=0,0,MIN(DaB!$EI64:$EJ64)-SUM($C64:CT64))</f>
        <v>0</v>
      </c>
      <c r="CV64" s="29">
        <f>IF(CW64=0,0,IF(DaB!EI64&gt;0,DaB!EJ64-DaB!EI64,0))</f>
        <v>0</v>
      </c>
      <c r="CW64" s="33">
        <f>IF(DaB!EK64&gt;0,DaB!EK64-DaB!EJ64+1,0)</f>
        <v>0</v>
      </c>
      <c r="CX64" s="32">
        <f>IF(CW64=0,0,IF(DaB!EM64&gt;0,DaB!EM64-DaB!EL64+1,0))</f>
        <v>0</v>
      </c>
      <c r="CY64" s="30">
        <f>IF(CW64=0,0,IF(DaB!EN64&gt;0,DaB!EN64-MAX(DaB!EK64:EM64),0))</f>
        <v>0</v>
      </c>
      <c r="DF64" s="2">
        <f t="shared" si="4"/>
        <v>45474</v>
      </c>
      <c r="DG64" s="28"/>
      <c r="DH64" s="29"/>
      <c r="DI64" s="10"/>
      <c r="DJ64" s="10"/>
      <c r="DK64" s="11"/>
      <c r="DL64" s="11"/>
      <c r="DM64" s="30"/>
      <c r="DN64" s="28"/>
      <c r="DO64" s="29"/>
      <c r="DP64" s="10"/>
      <c r="DQ64" s="10"/>
      <c r="DR64" s="11"/>
      <c r="DS64" s="11"/>
      <c r="DT64" s="30"/>
      <c r="DU64" s="28"/>
      <c r="DV64" s="29"/>
      <c r="DW64" s="10"/>
      <c r="DX64" s="10"/>
      <c r="DY64" s="11"/>
      <c r="DZ64" s="11"/>
      <c r="EA64" s="30"/>
      <c r="EB64" s="28"/>
      <c r="EC64" s="29"/>
      <c r="ED64" s="10"/>
      <c r="EE64" s="10"/>
      <c r="EF64" s="11"/>
      <c r="EG64" s="11"/>
      <c r="EH64" s="30"/>
      <c r="EI64" s="34"/>
      <c r="EJ64" s="29"/>
      <c r="EK64" s="10"/>
      <c r="EL64" s="10"/>
      <c r="EM64" s="30"/>
      <c r="EN64" s="34"/>
      <c r="EO64" s="29"/>
      <c r="EP64" s="47"/>
      <c r="EQ64" s="47"/>
      <c r="ER64" s="30"/>
      <c r="ES64" s="34"/>
      <c r="ET64" s="29"/>
      <c r="EU64" s="47"/>
      <c r="EV64" s="47"/>
      <c r="EW64" s="30"/>
    </row>
    <row r="65" spans="1:153" x14ac:dyDescent="0.2">
      <c r="A65" s="2" t="str">
        <f>DaB!A65</f>
        <v>Calendar 30</v>
      </c>
      <c r="B65" s="2" t="str">
        <f t="shared" si="3"/>
        <v>.</v>
      </c>
      <c r="C65" s="27">
        <f t="shared" si="1"/>
        <v>45474</v>
      </c>
      <c r="D65" s="34">
        <f>IFERROR(MIN(DaB!F65:K65)-C65,0)</f>
        <v>-45474</v>
      </c>
      <c r="E65" s="29">
        <f>IF(F65=0,0,IF(DaB!F65&gt;0,DaB!G65-DaB!F65,0))</f>
        <v>0</v>
      </c>
      <c r="F65" s="33">
        <f>IF(DaB!G65&gt;MAX(DaB!EV65,DaB!FJ65),DaB!H65-DaB!G65+1,
IF(DaB!H65&gt;0,DaB!H65-DaB!G65,0))</f>
        <v>0</v>
      </c>
      <c r="G65" s="32">
        <f>IF(F65=0,0,IF(DaB!J65&gt;0,DaB!J65-DaB!I65+1,0))</f>
        <v>0</v>
      </c>
      <c r="H65" s="30">
        <f>IF(F65=0,0,IF(DaB!K65&gt;0,DaB!K65-MAX(DaB!H65:J65),0))</f>
        <v>0</v>
      </c>
      <c r="I65" s="34">
        <f>IF(K65=0,0,MIN(DaB!$M65:$N65)-SUM($C65:H65))</f>
        <v>0</v>
      </c>
      <c r="J65" s="29">
        <f>IF(K65=0,0,IF(DaB!M65&gt;0,DaB!N65-DaB!M65,0))</f>
        <v>0</v>
      </c>
      <c r="K65" s="33">
        <f>IF(DaB!O65&gt;0,DaB!O65-DaB!N65+1,0)</f>
        <v>0</v>
      </c>
      <c r="L65" s="32">
        <f>IF(K65=0,0,IF(DaB!Q65&gt;0,DaB!Q65-DaB!P65+1,0))</f>
        <v>0</v>
      </c>
      <c r="M65" s="30">
        <f>IF(K65=0,0,IF(DaB!R65&gt;0,DaB!R65-MAX(DaB!O65:Q65),0))</f>
        <v>0</v>
      </c>
      <c r="N65" s="31">
        <f>IF(P65=0,0,MIN(DaB!$T65:$U65)-SUM($C65:M65))</f>
        <v>0</v>
      </c>
      <c r="O65" s="29">
        <f>IF(P65=0,0,IF(DaB!T65&gt;0,DaB!U65-DaB!T65,0))</f>
        <v>0</v>
      </c>
      <c r="P65" s="33">
        <f>IF(DaB!V65&gt;0,DaB!V65-DaB!U65+1,0)</f>
        <v>0</v>
      </c>
      <c r="Q65" s="32">
        <f>IF(P65=0,0,IF(DaB!X65&gt;0,DaB!X65-DaB!W65+1,0))</f>
        <v>0</v>
      </c>
      <c r="R65" s="30">
        <f>IF(P65=0,0,IF(DaB!Y65&gt;0,DaB!Y65-MAX(DaB!V65:X65),0))</f>
        <v>0</v>
      </c>
      <c r="S65" s="34">
        <f>IF(U65=0,0,MIN(DaB!$AA65:$AB65)-SUM($C65:R65))</f>
        <v>0</v>
      </c>
      <c r="T65" s="29">
        <f>IF(U65=0,0,IF(DaB!AA65&gt;0,DaB!AB65-DaB!AA65,0))</f>
        <v>0</v>
      </c>
      <c r="U65" s="33">
        <f>IF(DaB!AC65&gt;0,DaB!AC65-DaB!AB65+1,0)</f>
        <v>0</v>
      </c>
      <c r="V65" s="32">
        <f>IF(U65=0,0,IF(DaB!AE65&gt;0,DaB!AE65-DaB!AD65+1,0))</f>
        <v>0</v>
      </c>
      <c r="W65" s="30">
        <f>IF(U65=0,0,IF(DaB!AF65&gt;0,DaB!AF65-MAX(DaB!AC65:AE65),0))</f>
        <v>0</v>
      </c>
      <c r="X65" s="34">
        <f>IF(Z65=0,0,MIN(DaB!$AH65:$AI65)-SUM($C65:W65))</f>
        <v>0</v>
      </c>
      <c r="Y65" s="29">
        <f>IF(Z65=0,0,IF(DaB!AH65&gt;0,DaB!AI65-DaB!AH65,0))</f>
        <v>0</v>
      </c>
      <c r="Z65" s="33">
        <f>IF(DaB!AJ65&gt;0,DaB!AJ65-DaB!AI65+1,0)</f>
        <v>0</v>
      </c>
      <c r="AA65" s="32">
        <f>IF(Z65=0,0,IF(DaB!AL65&gt;0,DaB!AL65-DaB!AK65+1,0))</f>
        <v>0</v>
      </c>
      <c r="AB65" s="30">
        <f>IF(Z65=0,0,IF(DaB!AM65&gt;0,DaB!AM65-MAX(DaB!AJ65:AL65),0))</f>
        <v>0</v>
      </c>
      <c r="AC65" s="34">
        <f>IF(AE65=0,0,MIN(DaB!$AO65:$AP65)-SUM($C65:AB65))</f>
        <v>0</v>
      </c>
      <c r="AD65" s="29">
        <f>IF(AE65=0,0,IF(DaB!AO65&gt;0,DaB!AP65-DaB!AO65,0))</f>
        <v>0</v>
      </c>
      <c r="AE65" s="33">
        <f>IF(DaB!AQ65&gt;0,DaB!AQ65-DaB!AP65+1,0)</f>
        <v>0</v>
      </c>
      <c r="AF65" s="32">
        <f>IF(AE65=0,0,IF(DaB!AS65&gt;0,DaB!AS65-DaB!AR65+1,0))</f>
        <v>0</v>
      </c>
      <c r="AG65" s="30">
        <f>IF(AE65=0,0,IF(DaB!AT65&gt;0,DaB!AT65-MAX(DaB!AQ65:AS65),0))</f>
        <v>0</v>
      </c>
      <c r="AH65" s="34">
        <f>IF(AJ65=0,0,MIN(DaB!$AV65:$AW65)-SUM($C65:AG65))</f>
        <v>0</v>
      </c>
      <c r="AI65" s="29">
        <f>IF(AJ65=0,0,IF(DaB!AV65&gt;0,DaB!AW65-DaB!AV65,0))</f>
        <v>0</v>
      </c>
      <c r="AJ65" s="33">
        <f>IF(DaB!AX65&gt;0,DaB!AX65-DaB!AW65+1,0)</f>
        <v>0</v>
      </c>
      <c r="AK65" s="32">
        <f>IF(AJ65=0,0,IF(DaB!AZ65&gt;0,DaB!AZ65-DaB!AY65+1,0))</f>
        <v>0</v>
      </c>
      <c r="AL65" s="30">
        <f>IF(AJ65=0,0,IF(DaB!BA65&gt;0,DaB!BA65-MAX(DaB!AX65:AZ65),0))</f>
        <v>0</v>
      </c>
      <c r="AM65" s="34">
        <f>IF(AO65=0,0,MIN(DaB!$BC65:$BD65)-SUM($C65:AL65))</f>
        <v>0</v>
      </c>
      <c r="AN65" s="29">
        <f>IF(AO65=0,0,IF(DaB!BC65&gt;0,DaB!BD65-DaB!BC65,0))</f>
        <v>0</v>
      </c>
      <c r="AO65" s="33">
        <f>IF(DaB!BE65&gt;0,DaB!BE65-DaB!BD65+1,0)</f>
        <v>0</v>
      </c>
      <c r="AP65" s="32">
        <f>IF(AO65=0,0,IF(DaB!BG65&gt;0,DaB!BG65-DaB!BF65+1,0))</f>
        <v>0</v>
      </c>
      <c r="AQ65" s="30">
        <f>IF(AO65=0,0,IF(DaB!BH65&gt;0,DaB!BH65-MAX(DaB!BE65:BG65),0))</f>
        <v>0</v>
      </c>
      <c r="AR65" s="34">
        <f>IF(AT65=0,0,MIN(DaB!$BJ65:$BK65)-SUM($C65:AQ65))</f>
        <v>0</v>
      </c>
      <c r="AS65" s="29">
        <f>IF(AT65=0,0,IF(DaB!BJ65&gt;0,DaB!BK65-DaB!BJ65,0))</f>
        <v>0</v>
      </c>
      <c r="AT65" s="33">
        <f>IF(DaB!BL65&gt;0,DaB!BL65-DaB!BK65+1,0)</f>
        <v>0</v>
      </c>
      <c r="AU65" s="32">
        <f>IF(AT65=0,0,IF(DaB!BN65&gt;0,DaB!BN65-DaB!BM65+1,0))</f>
        <v>0</v>
      </c>
      <c r="AV65" s="30">
        <f>IF(AT65=0,0,IF(DaB!BO65&gt;0,DaB!BO65-MAX(DaB!BL65:BN65),0))</f>
        <v>0</v>
      </c>
      <c r="AW65" s="34">
        <f>IF(AY65=0,0,MIN(DaB!$BQ65:$BR65)-SUM($C65:AV65))</f>
        <v>0</v>
      </c>
      <c r="AX65" s="29">
        <f>IF(AY65=0,0,IF(DaB!BQ65&gt;0,DaB!BR65-DaB!BQ65,0))</f>
        <v>0</v>
      </c>
      <c r="AY65" s="33">
        <f>IF(DaB!BS65&gt;0,DaB!BS65-DaB!BR65+1,0)</f>
        <v>0</v>
      </c>
      <c r="AZ65" s="32">
        <f>IF(AY65=0,0,IF(DaB!BU65&gt;0,DaB!BU65-DaB!BT65+1,0))</f>
        <v>0</v>
      </c>
      <c r="BA65" s="30">
        <f>IF(AY65=0,0,IF(DaB!BV65&gt;0,DaB!BV65-MAX(DaB!BS65:BU65),0))</f>
        <v>0</v>
      </c>
      <c r="BB65" s="34">
        <f>IF(BD65=0,0,MIN(DaB!$BX65:$BY65)-SUM($C65:BA65))</f>
        <v>0</v>
      </c>
      <c r="BC65" s="29">
        <f>IF(BD65=0,0,IF(DaB!BX65&gt;0,DaB!BY65-DaB!BX65,0))</f>
        <v>0</v>
      </c>
      <c r="BD65" s="33">
        <f>IF(DaB!BZ65&gt;0,DaB!BZ65-DaB!BY65+1,0)</f>
        <v>0</v>
      </c>
      <c r="BE65" s="32">
        <f>IF(BD65=0,0,IF(DaB!CB65&gt;0,DaB!CB65-DaB!CA65+1,0))</f>
        <v>0</v>
      </c>
      <c r="BF65" s="30">
        <f>IF(BD65=0,0,IF(DaB!CC65&gt;0,DaB!CC65-MAX(DaB!BZ65:CB65),0))</f>
        <v>0</v>
      </c>
      <c r="BG65" s="34">
        <f>IF(BI65=0,0,MIN(DaB!$CE65:$CF65)-SUM($C65:BF65))</f>
        <v>0</v>
      </c>
      <c r="BH65" s="29">
        <f>IF(BI65=0,0,IF(DaB!CE65&gt;0,DaB!CF65-DaB!CE65,0))</f>
        <v>0</v>
      </c>
      <c r="BI65" s="33">
        <f>IF(DaB!CG65&gt;0,DaB!CG65-DaB!CF65+1,0)</f>
        <v>0</v>
      </c>
      <c r="BJ65" s="32">
        <f>IF(BI65=0,0,IF(DaB!CI65&gt;0,DaB!CI65-DaB!CH65+1,0))</f>
        <v>0</v>
      </c>
      <c r="BK65" s="30">
        <f>IF(BI65=0,0,IF(DaB!CJ65&gt;0,DaB!CJ65-MAX(DaB!CG65:CI65),0))</f>
        <v>0</v>
      </c>
      <c r="BL65" s="34">
        <f>IF(BN65=0,0,MIN(DaB!$CL65:$CM65)-SUM($C65:BK65))</f>
        <v>0</v>
      </c>
      <c r="BM65" s="29">
        <f>IF(BN65=0,0,IF(DaB!CL65&gt;0,DaB!CM65-DaB!CL65,0))</f>
        <v>0</v>
      </c>
      <c r="BN65" s="33">
        <f>IF(DaB!CN65&gt;0,DaB!CN65-DaB!CM65+1,0)</f>
        <v>0</v>
      </c>
      <c r="BO65" s="32">
        <f>IF(BN65=0,0,IF(DaB!CP65&gt;0,DaB!CP65-DaB!CO65+1,0))</f>
        <v>0</v>
      </c>
      <c r="BP65" s="30">
        <f>IF(BN65=0,0,IF(DaB!CQ65&gt;0,DaB!CQ65-MAX(DaB!CN65:CP65),0))</f>
        <v>0</v>
      </c>
      <c r="BQ65" s="34">
        <f>IF(BS65=0,0,MIN(DaB!$CS65:$CT65)-SUM($C65:BP65))</f>
        <v>0</v>
      </c>
      <c r="BR65" s="29">
        <f>IF(BS65=0,0,IF(DaB!CS65&gt;0,DaB!CT65-DaB!CS65,0))</f>
        <v>0</v>
      </c>
      <c r="BS65" s="33">
        <f>IF(DaB!CU65&gt;0,DaB!CU65-DaB!CT65+1,0)</f>
        <v>0</v>
      </c>
      <c r="BT65" s="32">
        <f>IF(BS65=0,0,IF(DaB!CW65&gt;0,DaB!CW65-DaB!CV65+1,0))</f>
        <v>0</v>
      </c>
      <c r="BU65" s="30">
        <f>IF(BS65=0,0,IF(DaB!CX65&gt;0,DaB!CX65-MAX(DaB!CU65:CW65),0))</f>
        <v>0</v>
      </c>
      <c r="BV65" s="34">
        <f>IF(BX65=0,0,MIN(DaB!$CZ65:$DA65)-SUM($C65:BU65))</f>
        <v>0</v>
      </c>
      <c r="BW65" s="29">
        <f>IF(BX65=0,0,IF(DaB!CZ65&gt;0,DaB!DA65-DaB!CZ65,0))</f>
        <v>0</v>
      </c>
      <c r="BX65" s="33">
        <f>IF(DaB!DB65&gt;0,DaB!DB65-DaB!DA65+1,0)</f>
        <v>0</v>
      </c>
      <c r="BY65" s="32">
        <f>IF(BX65=0,0,IF(DaB!DD65&gt;0,DaB!DD65-DaB!DC65+1,0))</f>
        <v>0</v>
      </c>
      <c r="BZ65" s="30">
        <f>IF(BX65=0,0,IF(DaB!DE65&gt;0,DaB!DE65-MAX(DaB!DB65:DD65),0))</f>
        <v>0</v>
      </c>
      <c r="CA65" s="34">
        <f>IF(CC65=0,0,MIN(DaB!$DG65:$DH65)-SUM($C65:BZ65))</f>
        <v>0</v>
      </c>
      <c r="CB65" s="29">
        <f>IF(CC65=0,0,IF(DaB!DG65&gt;0,DaB!DH65-DaB!DG65,0))</f>
        <v>0</v>
      </c>
      <c r="CC65" s="33">
        <f>IF(DaB!DI65&gt;0,DaB!DI65-DaB!DH65+1,0)</f>
        <v>0</v>
      </c>
      <c r="CD65" s="32">
        <f>IF(CC65=0,0,IF(DaB!DK65&gt;0,DaB!DK65-DaB!DJ65+1,0))</f>
        <v>0</v>
      </c>
      <c r="CE65" s="30">
        <f>IF(CC65=0,0,IF(DaB!DL65&gt;0,DaB!DL65-MAX(DaB!DI65:DK65),0))</f>
        <v>0</v>
      </c>
      <c r="CF65" s="34">
        <f>IF(CH65=0,0,MIN(DaB!$DN65:$DO65)-SUM($C65:CE65))</f>
        <v>0</v>
      </c>
      <c r="CG65" s="29">
        <f>IF(CH65=0,0,IF(DaB!DN65&gt;0,DaB!DO65-DaB!DN65,0))</f>
        <v>0</v>
      </c>
      <c r="CH65" s="33">
        <f>IF(DaB!DP65&gt;0,DaB!DP65-DaB!DO65+1,0)</f>
        <v>0</v>
      </c>
      <c r="CI65" s="32">
        <f>IF(CH65=0,0,IF(DaB!DR65&gt;0,DaB!DR65-DaB!DQ65+1,0))</f>
        <v>0</v>
      </c>
      <c r="CJ65" s="30">
        <f>IF(CH65=0,0,IF(DaB!DS65&gt;0,DaB!DS65-MAX(DaB!DP65:DR65),0))</f>
        <v>0</v>
      </c>
      <c r="CK65" s="34">
        <f>IF(CM65=0,0,MIN(DaB!$DU65:$DV65)-SUM($C65:CJ65))</f>
        <v>0</v>
      </c>
      <c r="CL65" s="29">
        <f>IF(CM65=0,0,IF(DaB!DU65&gt;0,DaB!DV65-DaB!DU65,0))</f>
        <v>0</v>
      </c>
      <c r="CM65" s="33">
        <f>IF(DaB!DW65&gt;0,DaB!DW65-DaB!DV65+1,0)</f>
        <v>0</v>
      </c>
      <c r="CN65" s="32">
        <f>IF(CM65=0,0,IF(DaB!DY65&gt;0,DaB!DY65-DaB!DX65+1,0))</f>
        <v>0</v>
      </c>
      <c r="CO65" s="30">
        <f>IF(CM65=0,0,IF(DaB!DZ65&gt;0,DaB!DZ65-MAX(DaB!DW65:DY65),0))</f>
        <v>0</v>
      </c>
      <c r="CP65" s="34">
        <f>IF(CR65=0,0,MIN(DaB!$EB65:$EC65)-SUM($C65:CO65))</f>
        <v>0</v>
      </c>
      <c r="CQ65" s="29">
        <f>IF(CR65=0,0,IF(DaB!EB65&gt;0,DaB!EC65-DaB!EB65,0))</f>
        <v>0</v>
      </c>
      <c r="CR65" s="33">
        <f>IF(DaB!ED65&gt;0,DaB!ED65-DaB!EC65+1,0)</f>
        <v>0</v>
      </c>
      <c r="CS65" s="32">
        <f>IF(CR65=0,0,IF(DaB!EF65&gt;0,DaB!EF65-DaB!EE65+1,0))</f>
        <v>0</v>
      </c>
      <c r="CT65" s="30">
        <f>IF(CR65=0,0,IF(DaB!EG65&gt;0,DaB!EG65-MAX(DaB!ED65:EF65),0))</f>
        <v>0</v>
      </c>
      <c r="CU65" s="34">
        <f>IF(CW65=0,0,MIN(DaB!$EI65:$EJ65)-SUM($C65:CT65))</f>
        <v>0</v>
      </c>
      <c r="CV65" s="29">
        <f>IF(CW65=0,0,IF(DaB!EI65&gt;0,DaB!EJ65-DaB!EI65,0))</f>
        <v>0</v>
      </c>
      <c r="CW65" s="33">
        <f>IF(DaB!EK65&gt;0,DaB!EK65-DaB!EJ65+1,0)</f>
        <v>0</v>
      </c>
      <c r="CX65" s="32">
        <f>IF(CW65=0,0,IF(DaB!EM65&gt;0,DaB!EM65-DaB!EL65+1,0))</f>
        <v>0</v>
      </c>
      <c r="CY65" s="30">
        <f>IF(CW65=0,0,IF(DaB!EN65&gt;0,DaB!EN65-MAX(DaB!EK65:EM65),0))</f>
        <v>0</v>
      </c>
      <c r="DF65" s="2">
        <f t="shared" si="4"/>
        <v>45474</v>
      </c>
      <c r="DG65" s="28"/>
      <c r="DH65" s="29"/>
      <c r="DI65" s="10"/>
      <c r="DJ65" s="10"/>
      <c r="DK65" s="11"/>
      <c r="DL65" s="11"/>
      <c r="DM65" s="30"/>
      <c r="DN65" s="28"/>
      <c r="DO65" s="29"/>
      <c r="DP65" s="10"/>
      <c r="DQ65" s="10"/>
      <c r="DR65" s="11"/>
      <c r="DS65" s="11"/>
      <c r="DT65" s="30"/>
      <c r="DU65" s="28"/>
      <c r="DV65" s="29"/>
      <c r="DW65" s="10"/>
      <c r="DX65" s="10"/>
      <c r="DY65" s="11"/>
      <c r="DZ65" s="11"/>
      <c r="EA65" s="30"/>
      <c r="EB65" s="28"/>
      <c r="EC65" s="29"/>
      <c r="ED65" s="10"/>
      <c r="EE65" s="10"/>
      <c r="EF65" s="11"/>
      <c r="EG65" s="11"/>
      <c r="EH65" s="30"/>
      <c r="EI65" s="34"/>
      <c r="EJ65" s="29"/>
      <c r="EK65" s="10"/>
      <c r="EL65" s="10"/>
      <c r="EM65" s="30"/>
      <c r="EN65" s="34"/>
      <c r="EO65" s="29"/>
      <c r="EP65" s="47"/>
      <c r="EQ65" s="47"/>
      <c r="ER65" s="30"/>
      <c r="ES65" s="34"/>
      <c r="ET65" s="29"/>
      <c r="EU65" s="47"/>
      <c r="EV65" s="47"/>
      <c r="EW65" s="30"/>
    </row>
    <row r="66" spans="1:153" x14ac:dyDescent="0.2">
      <c r="A66" s="2" t="str">
        <f>DaB!A66</f>
        <v>Calendar 31</v>
      </c>
      <c r="B66" s="2" t="str">
        <f t="shared" si="3"/>
        <v>.</v>
      </c>
      <c r="C66" s="27">
        <f t="shared" si="1"/>
        <v>45474</v>
      </c>
      <c r="D66" s="34">
        <f>IFERROR(MIN(DaB!F66:K66)-C66,0)</f>
        <v>-45474</v>
      </c>
      <c r="E66" s="29">
        <f>IF(F66=0,0,IF(DaB!F66&gt;0,DaB!G66-DaB!F66,0))</f>
        <v>0</v>
      </c>
      <c r="F66" s="33">
        <f>IF(DaB!G66&gt;MAX(DaB!EV66,DaB!FJ66),DaB!H66-DaB!G66+1,
IF(DaB!H66&gt;0,DaB!H66-DaB!G66,0))</f>
        <v>0</v>
      </c>
      <c r="G66" s="32">
        <f>IF(F66=0,0,IF(DaB!J66&gt;0,DaB!J66-DaB!I66+1,0))</f>
        <v>0</v>
      </c>
      <c r="H66" s="30">
        <f>IF(F66=0,0,IF(DaB!K66&gt;0,DaB!K66-MAX(DaB!H66:J66),0))</f>
        <v>0</v>
      </c>
      <c r="I66" s="34">
        <f>IF(K66=0,0,MIN(DaB!$M66:$N66)-SUM($C66:H66))</f>
        <v>0</v>
      </c>
      <c r="J66" s="29">
        <f>IF(K66=0,0,IF(DaB!M66&gt;0,DaB!N66-DaB!M66,0))</f>
        <v>0</v>
      </c>
      <c r="K66" s="33">
        <f>IF(DaB!O66&gt;0,DaB!O66-DaB!N66+1,0)</f>
        <v>0</v>
      </c>
      <c r="L66" s="32">
        <f>IF(K66=0,0,IF(DaB!Q66&gt;0,DaB!Q66-DaB!P66+1,0))</f>
        <v>0</v>
      </c>
      <c r="M66" s="30">
        <f>IF(K66=0,0,IF(DaB!R66&gt;0,DaB!R66-MAX(DaB!O66:Q66),0))</f>
        <v>0</v>
      </c>
      <c r="N66" s="31">
        <f>IF(P66=0,0,MIN(DaB!$T66:$U66)-SUM($C66:M66))</f>
        <v>0</v>
      </c>
      <c r="O66" s="29">
        <f>IF(P66=0,0,IF(DaB!T66&gt;0,DaB!U66-DaB!T66,0))</f>
        <v>0</v>
      </c>
      <c r="P66" s="33">
        <f>IF(DaB!V66&gt;0,DaB!V66-DaB!U66+1,0)</f>
        <v>0</v>
      </c>
      <c r="Q66" s="32">
        <f>IF(P66=0,0,IF(DaB!X66&gt;0,DaB!X66-DaB!W66+1,0))</f>
        <v>0</v>
      </c>
      <c r="R66" s="30">
        <f>IF(P66=0,0,IF(DaB!Y66&gt;0,DaB!Y66-MAX(DaB!V66:X66),0))</f>
        <v>0</v>
      </c>
      <c r="S66" s="34">
        <f>IF(U66=0,0,MIN(DaB!$AA66:$AB66)-SUM($C66:R66))</f>
        <v>0</v>
      </c>
      <c r="T66" s="29">
        <f>IF(U66=0,0,IF(DaB!AA66&gt;0,DaB!AB66-DaB!AA66,0))</f>
        <v>0</v>
      </c>
      <c r="U66" s="33">
        <f>IF(DaB!AC66&gt;0,DaB!AC66-DaB!AB66+1,0)</f>
        <v>0</v>
      </c>
      <c r="V66" s="32">
        <f>IF(U66=0,0,IF(DaB!AE66&gt;0,DaB!AE66-DaB!AD66+1,0))</f>
        <v>0</v>
      </c>
      <c r="W66" s="30">
        <f>IF(U66=0,0,IF(DaB!AF66&gt;0,DaB!AF66-MAX(DaB!AC66:AE66),0))</f>
        <v>0</v>
      </c>
      <c r="X66" s="34">
        <f>IF(Z66=0,0,MIN(DaB!$AH66:$AI66)-SUM($C66:W66))</f>
        <v>0</v>
      </c>
      <c r="Y66" s="29">
        <f>IF(Z66=0,0,IF(DaB!AH66&gt;0,DaB!AI66-DaB!AH66,0))</f>
        <v>0</v>
      </c>
      <c r="Z66" s="33">
        <f>IF(DaB!AJ66&gt;0,DaB!AJ66-DaB!AI66+1,0)</f>
        <v>0</v>
      </c>
      <c r="AA66" s="32">
        <f>IF(Z66=0,0,IF(DaB!AL66&gt;0,DaB!AL66-DaB!AK66+1,0))</f>
        <v>0</v>
      </c>
      <c r="AB66" s="30">
        <f>IF(Z66=0,0,IF(DaB!AM66&gt;0,DaB!AM66-MAX(DaB!AJ66:AL66),0))</f>
        <v>0</v>
      </c>
      <c r="AC66" s="34">
        <f>IF(AE66=0,0,MIN(DaB!$AO66:$AP66)-SUM($C66:AB66))</f>
        <v>0</v>
      </c>
      <c r="AD66" s="29">
        <f>IF(AE66=0,0,IF(DaB!AO66&gt;0,DaB!AP66-DaB!AO66,0))</f>
        <v>0</v>
      </c>
      <c r="AE66" s="33">
        <f>IF(DaB!AQ66&gt;0,DaB!AQ66-DaB!AP66+1,0)</f>
        <v>0</v>
      </c>
      <c r="AF66" s="32">
        <f>IF(AE66=0,0,IF(DaB!AS66&gt;0,DaB!AS66-DaB!AR66+1,0))</f>
        <v>0</v>
      </c>
      <c r="AG66" s="30">
        <f>IF(AE66=0,0,IF(DaB!AT66&gt;0,DaB!AT66-MAX(DaB!AQ66:AS66),0))</f>
        <v>0</v>
      </c>
      <c r="AH66" s="34">
        <f>IF(AJ66=0,0,MIN(DaB!$AV66:$AW66)-SUM($C66:AG66))</f>
        <v>0</v>
      </c>
      <c r="AI66" s="29">
        <f>IF(AJ66=0,0,IF(DaB!AV66&gt;0,DaB!AW66-DaB!AV66,0))</f>
        <v>0</v>
      </c>
      <c r="AJ66" s="33">
        <f>IF(DaB!AX66&gt;0,DaB!AX66-DaB!AW66+1,0)</f>
        <v>0</v>
      </c>
      <c r="AK66" s="32">
        <f>IF(AJ66=0,0,IF(DaB!AZ66&gt;0,DaB!AZ66-DaB!AY66+1,0))</f>
        <v>0</v>
      </c>
      <c r="AL66" s="30">
        <f>IF(AJ66=0,0,IF(DaB!BA66&gt;0,DaB!BA66-MAX(DaB!AX66:AZ66),0))</f>
        <v>0</v>
      </c>
      <c r="AM66" s="34">
        <f>IF(AO66=0,0,MIN(DaB!$BC66:$BD66)-SUM($C66:AL66))</f>
        <v>0</v>
      </c>
      <c r="AN66" s="29">
        <f>IF(AO66=0,0,IF(DaB!BC66&gt;0,DaB!BD66-DaB!BC66,0))</f>
        <v>0</v>
      </c>
      <c r="AO66" s="33">
        <f>IF(DaB!BE66&gt;0,DaB!BE66-DaB!BD66+1,0)</f>
        <v>0</v>
      </c>
      <c r="AP66" s="32">
        <f>IF(AO66=0,0,IF(DaB!BG66&gt;0,DaB!BG66-DaB!BF66+1,0))</f>
        <v>0</v>
      </c>
      <c r="AQ66" s="30">
        <f>IF(AO66=0,0,IF(DaB!BH66&gt;0,DaB!BH66-MAX(DaB!BE66:BG66),0))</f>
        <v>0</v>
      </c>
      <c r="AR66" s="34">
        <f>IF(AT66=0,0,MIN(DaB!$BJ66:$BK66)-SUM($C66:AQ66))</f>
        <v>0</v>
      </c>
      <c r="AS66" s="29">
        <f>IF(AT66=0,0,IF(DaB!BJ66&gt;0,DaB!BK66-DaB!BJ66,0))</f>
        <v>0</v>
      </c>
      <c r="AT66" s="33">
        <f>IF(DaB!BL66&gt;0,DaB!BL66-DaB!BK66+1,0)</f>
        <v>0</v>
      </c>
      <c r="AU66" s="32">
        <f>IF(AT66=0,0,IF(DaB!BN66&gt;0,DaB!BN66-DaB!BM66+1,0))</f>
        <v>0</v>
      </c>
      <c r="AV66" s="30">
        <f>IF(AT66=0,0,IF(DaB!BO66&gt;0,DaB!BO66-MAX(DaB!BL66:BN66),0))</f>
        <v>0</v>
      </c>
      <c r="AW66" s="34">
        <f>IF(AY66=0,0,MIN(DaB!$BQ66:$BR66)-SUM($C66:AV66))</f>
        <v>0</v>
      </c>
      <c r="AX66" s="29">
        <f>IF(AY66=0,0,IF(DaB!BQ66&gt;0,DaB!BR66-DaB!BQ66,0))</f>
        <v>0</v>
      </c>
      <c r="AY66" s="33">
        <f>IF(DaB!BS66&gt;0,DaB!BS66-DaB!BR66+1,0)</f>
        <v>0</v>
      </c>
      <c r="AZ66" s="32">
        <f>IF(AY66=0,0,IF(DaB!BU66&gt;0,DaB!BU66-DaB!BT66+1,0))</f>
        <v>0</v>
      </c>
      <c r="BA66" s="30">
        <f>IF(AY66=0,0,IF(DaB!BV66&gt;0,DaB!BV66-MAX(DaB!BS66:BU66),0))</f>
        <v>0</v>
      </c>
      <c r="BB66" s="34">
        <f>IF(BD66=0,0,MIN(DaB!$BX66:$BY66)-SUM($C66:BA66))</f>
        <v>0</v>
      </c>
      <c r="BC66" s="29">
        <f>IF(BD66=0,0,IF(DaB!BX66&gt;0,DaB!BY66-DaB!BX66,0))</f>
        <v>0</v>
      </c>
      <c r="BD66" s="33">
        <f>IF(DaB!BZ66&gt;0,DaB!BZ66-DaB!BY66+1,0)</f>
        <v>0</v>
      </c>
      <c r="BE66" s="32">
        <f>IF(BD66=0,0,IF(DaB!CB66&gt;0,DaB!CB66-DaB!CA66+1,0))</f>
        <v>0</v>
      </c>
      <c r="BF66" s="30">
        <f>IF(BD66=0,0,IF(DaB!CC66&gt;0,DaB!CC66-MAX(DaB!BZ66:CB66),0))</f>
        <v>0</v>
      </c>
      <c r="BG66" s="34">
        <f>IF(BI66=0,0,MIN(DaB!$CE66:$CF66)-SUM($C66:BF66))</f>
        <v>0</v>
      </c>
      <c r="BH66" s="29">
        <f>IF(BI66=0,0,IF(DaB!CE66&gt;0,DaB!CF66-DaB!CE66,0))</f>
        <v>0</v>
      </c>
      <c r="BI66" s="33">
        <f>IF(DaB!CG66&gt;0,DaB!CG66-DaB!CF66+1,0)</f>
        <v>0</v>
      </c>
      <c r="BJ66" s="32">
        <f>IF(BI66=0,0,IF(DaB!CI66&gt;0,DaB!CI66-DaB!CH66+1,0))</f>
        <v>0</v>
      </c>
      <c r="BK66" s="30">
        <f>IF(BI66=0,0,IF(DaB!CJ66&gt;0,DaB!CJ66-MAX(DaB!CG66:CI66),0))</f>
        <v>0</v>
      </c>
      <c r="BL66" s="34">
        <f>IF(BN66=0,0,MIN(DaB!$CL66:$CM66)-SUM($C66:BK66))</f>
        <v>0</v>
      </c>
      <c r="BM66" s="29">
        <f>IF(BN66=0,0,IF(DaB!CL66&gt;0,DaB!CM66-DaB!CL66,0))</f>
        <v>0</v>
      </c>
      <c r="BN66" s="33">
        <f>IF(DaB!CN66&gt;0,DaB!CN66-DaB!CM66+1,0)</f>
        <v>0</v>
      </c>
      <c r="BO66" s="32">
        <f>IF(BN66=0,0,IF(DaB!CP66&gt;0,DaB!CP66-DaB!CO66+1,0))</f>
        <v>0</v>
      </c>
      <c r="BP66" s="30">
        <f>IF(BN66=0,0,IF(DaB!CQ66&gt;0,DaB!CQ66-MAX(DaB!CN66:CP66),0))</f>
        <v>0</v>
      </c>
      <c r="BQ66" s="34">
        <f>IF(BS66=0,0,MIN(DaB!$CS66:$CT66)-SUM($C66:BP66))</f>
        <v>0</v>
      </c>
      <c r="BR66" s="29">
        <f>IF(BS66=0,0,IF(DaB!CS66&gt;0,DaB!CT66-DaB!CS66,0))</f>
        <v>0</v>
      </c>
      <c r="BS66" s="33">
        <f>IF(DaB!CU66&gt;0,DaB!CU66-DaB!CT66+1,0)</f>
        <v>0</v>
      </c>
      <c r="BT66" s="32">
        <f>IF(BS66=0,0,IF(DaB!CW66&gt;0,DaB!CW66-DaB!CV66+1,0))</f>
        <v>0</v>
      </c>
      <c r="BU66" s="30">
        <f>IF(BS66=0,0,IF(DaB!CX66&gt;0,DaB!CX66-MAX(DaB!CU66:CW66),0))</f>
        <v>0</v>
      </c>
      <c r="BV66" s="34">
        <f>IF(BX66=0,0,MIN(DaB!$CZ66:$DA66)-SUM($C66:BU66))</f>
        <v>0</v>
      </c>
      <c r="BW66" s="29">
        <f>IF(BX66=0,0,IF(DaB!CZ66&gt;0,DaB!DA66-DaB!CZ66,0))</f>
        <v>0</v>
      </c>
      <c r="BX66" s="33">
        <f>IF(DaB!DB66&gt;0,DaB!DB66-DaB!DA66+1,0)</f>
        <v>0</v>
      </c>
      <c r="BY66" s="32">
        <f>IF(BX66=0,0,IF(DaB!DD66&gt;0,DaB!DD66-DaB!DC66+1,0))</f>
        <v>0</v>
      </c>
      <c r="BZ66" s="30">
        <f>IF(BX66=0,0,IF(DaB!DE66&gt;0,DaB!DE66-MAX(DaB!DB66:DD66),0))</f>
        <v>0</v>
      </c>
      <c r="CA66" s="34">
        <f>IF(CC66=0,0,MIN(DaB!$DG66:$DH66)-SUM($C66:BZ66))</f>
        <v>0</v>
      </c>
      <c r="CB66" s="29">
        <f>IF(CC66=0,0,IF(DaB!DG66&gt;0,DaB!DH66-DaB!DG66,0))</f>
        <v>0</v>
      </c>
      <c r="CC66" s="33">
        <f>IF(DaB!DI66&gt;0,DaB!DI66-DaB!DH66+1,0)</f>
        <v>0</v>
      </c>
      <c r="CD66" s="32">
        <f>IF(CC66=0,0,IF(DaB!DK66&gt;0,DaB!DK66-DaB!DJ66+1,0))</f>
        <v>0</v>
      </c>
      <c r="CE66" s="30">
        <f>IF(CC66=0,0,IF(DaB!DL66&gt;0,DaB!DL66-MAX(DaB!DI66:DK66),0))</f>
        <v>0</v>
      </c>
      <c r="CF66" s="34">
        <f>IF(CH66=0,0,MIN(DaB!$DN66:$DO66)-SUM($C66:CE66))</f>
        <v>0</v>
      </c>
      <c r="CG66" s="29">
        <f>IF(CH66=0,0,IF(DaB!DN66&gt;0,DaB!DO66-DaB!DN66,0))</f>
        <v>0</v>
      </c>
      <c r="CH66" s="33">
        <f>IF(DaB!DP66&gt;0,DaB!DP66-DaB!DO66+1,0)</f>
        <v>0</v>
      </c>
      <c r="CI66" s="32">
        <f>IF(CH66=0,0,IF(DaB!DR66&gt;0,DaB!DR66-DaB!DQ66+1,0))</f>
        <v>0</v>
      </c>
      <c r="CJ66" s="30">
        <f>IF(CH66=0,0,IF(DaB!DS66&gt;0,DaB!DS66-MAX(DaB!DP66:DR66),0))</f>
        <v>0</v>
      </c>
      <c r="CK66" s="34">
        <f>IF(CM66=0,0,MIN(DaB!$DU66:$DV66)-SUM($C66:CJ66))</f>
        <v>0</v>
      </c>
      <c r="CL66" s="29">
        <f>IF(CM66=0,0,IF(DaB!DU66&gt;0,DaB!DV66-DaB!DU66,0))</f>
        <v>0</v>
      </c>
      <c r="CM66" s="33">
        <f>IF(DaB!DW66&gt;0,DaB!DW66-DaB!DV66+1,0)</f>
        <v>0</v>
      </c>
      <c r="CN66" s="32">
        <f>IF(CM66=0,0,IF(DaB!DY66&gt;0,DaB!DY66-DaB!DX66+1,0))</f>
        <v>0</v>
      </c>
      <c r="CO66" s="30">
        <f>IF(CM66=0,0,IF(DaB!DZ66&gt;0,DaB!DZ66-MAX(DaB!DW66:DY66),0))</f>
        <v>0</v>
      </c>
      <c r="CP66" s="34">
        <f>IF(CR66=0,0,MIN(DaB!$EB66:$EC66)-SUM($C66:CO66))</f>
        <v>0</v>
      </c>
      <c r="CQ66" s="29">
        <f>IF(CR66=0,0,IF(DaB!EB66&gt;0,DaB!EC66-DaB!EB66,0))</f>
        <v>0</v>
      </c>
      <c r="CR66" s="33">
        <f>IF(DaB!ED66&gt;0,DaB!ED66-DaB!EC66+1,0)</f>
        <v>0</v>
      </c>
      <c r="CS66" s="32">
        <f>IF(CR66=0,0,IF(DaB!EF66&gt;0,DaB!EF66-DaB!EE66+1,0))</f>
        <v>0</v>
      </c>
      <c r="CT66" s="30">
        <f>IF(CR66=0,0,IF(DaB!EG66&gt;0,DaB!EG66-MAX(DaB!ED66:EF66),0))</f>
        <v>0</v>
      </c>
      <c r="CU66" s="34">
        <f>IF(CW66=0,0,MIN(DaB!$EI66:$EJ66)-SUM($C66:CT66))</f>
        <v>0</v>
      </c>
      <c r="CV66" s="29">
        <f>IF(CW66=0,0,IF(DaB!EI66&gt;0,DaB!EJ66-DaB!EI66,0))</f>
        <v>0</v>
      </c>
      <c r="CW66" s="33">
        <f>IF(DaB!EK66&gt;0,DaB!EK66-DaB!EJ66+1,0)</f>
        <v>0</v>
      </c>
      <c r="CX66" s="32">
        <f>IF(CW66=0,0,IF(DaB!EM66&gt;0,DaB!EM66-DaB!EL66+1,0))</f>
        <v>0</v>
      </c>
      <c r="CY66" s="30">
        <f>IF(CW66=0,0,IF(DaB!EN66&gt;0,DaB!EN66-MAX(DaB!EK66:EM66),0))</f>
        <v>0</v>
      </c>
      <c r="DF66" s="2">
        <f t="shared" ref="DF66:DF83" si="5">C66</f>
        <v>45474</v>
      </c>
      <c r="DG66" s="28"/>
      <c r="DH66" s="29"/>
      <c r="DI66" s="10"/>
      <c r="DJ66" s="10"/>
      <c r="DK66" s="11"/>
      <c r="DL66" s="11"/>
      <c r="DM66" s="30"/>
      <c r="DN66" s="28"/>
      <c r="DO66" s="29"/>
      <c r="DP66" s="10"/>
      <c r="DQ66" s="10"/>
      <c r="DR66" s="11"/>
      <c r="DS66" s="11"/>
      <c r="DT66" s="30"/>
      <c r="DU66" s="28"/>
      <c r="DV66" s="29"/>
      <c r="DW66" s="10"/>
      <c r="DX66" s="10"/>
      <c r="DY66" s="11"/>
      <c r="DZ66" s="11"/>
      <c r="EA66" s="30"/>
      <c r="EB66" s="28"/>
      <c r="EC66" s="29"/>
      <c r="ED66" s="10"/>
      <c r="EE66" s="10"/>
      <c r="EF66" s="11"/>
      <c r="EG66" s="11"/>
      <c r="EH66" s="30"/>
      <c r="EI66" s="34"/>
      <c r="EJ66" s="29"/>
      <c r="EK66" s="10"/>
      <c r="EL66" s="10"/>
      <c r="EM66" s="30"/>
      <c r="EN66" s="34"/>
      <c r="EO66" s="29"/>
      <c r="EP66" s="47"/>
      <c r="EQ66" s="47"/>
      <c r="ER66" s="30"/>
      <c r="ES66" s="34"/>
      <c r="ET66" s="29"/>
      <c r="EU66" s="47"/>
      <c r="EV66" s="47"/>
      <c r="EW66" s="30"/>
    </row>
    <row r="67" spans="1:153" x14ac:dyDescent="0.2">
      <c r="A67" s="2" t="str">
        <f>DaB!A67</f>
        <v>Calendar 31</v>
      </c>
      <c r="B67" s="2" t="str">
        <f t="shared" si="3"/>
        <v>.</v>
      </c>
      <c r="C67" s="27">
        <f t="shared" si="1"/>
        <v>45474</v>
      </c>
      <c r="D67" s="34">
        <f>IFERROR(MIN(DaB!F67:K67)-C67,0)</f>
        <v>-45474</v>
      </c>
      <c r="E67" s="29">
        <f>IF(F67=0,0,IF(DaB!F67&gt;0,DaB!G67-DaB!F67,0))</f>
        <v>0</v>
      </c>
      <c r="F67" s="33">
        <f>IF(DaB!G67&gt;MAX(DaB!EV67,DaB!FJ67),DaB!H67-DaB!G67+1,
IF(DaB!H67&gt;0,DaB!H67-DaB!G67,0))</f>
        <v>0</v>
      </c>
      <c r="G67" s="32">
        <f>IF(F67=0,0,IF(DaB!J67&gt;0,DaB!J67-DaB!I67+1,0))</f>
        <v>0</v>
      </c>
      <c r="H67" s="30">
        <f>IF(F67=0,0,IF(DaB!K67&gt;0,DaB!K67-MAX(DaB!H67:J67),0))</f>
        <v>0</v>
      </c>
      <c r="I67" s="34">
        <f>IF(K67=0,0,MIN(DaB!$M67:$N67)-SUM($C67:H67))</f>
        <v>0</v>
      </c>
      <c r="J67" s="29">
        <f>IF(K67=0,0,IF(DaB!M67&gt;0,DaB!N67-DaB!M67,0))</f>
        <v>0</v>
      </c>
      <c r="K67" s="33">
        <f>IF(DaB!O67&gt;0,DaB!O67-DaB!N67+1,0)</f>
        <v>0</v>
      </c>
      <c r="L67" s="32">
        <f>IF(K67=0,0,IF(DaB!Q67&gt;0,DaB!Q67-DaB!P67+1,0))</f>
        <v>0</v>
      </c>
      <c r="M67" s="30">
        <f>IF(K67=0,0,IF(DaB!R67&gt;0,DaB!R67-MAX(DaB!O67:Q67),0))</f>
        <v>0</v>
      </c>
      <c r="N67" s="31">
        <f>IF(P67=0,0,MIN(DaB!$T67:$U67)-SUM($C67:M67))</f>
        <v>0</v>
      </c>
      <c r="O67" s="29">
        <f>IF(P67=0,0,IF(DaB!T67&gt;0,DaB!U67-DaB!T67,0))</f>
        <v>0</v>
      </c>
      <c r="P67" s="33">
        <f>IF(DaB!V67&gt;0,DaB!V67-DaB!U67+1,0)</f>
        <v>0</v>
      </c>
      <c r="Q67" s="32">
        <f>IF(P67=0,0,IF(DaB!X67&gt;0,DaB!X67-DaB!W67+1,0))</f>
        <v>0</v>
      </c>
      <c r="R67" s="30">
        <f>IF(P67=0,0,IF(DaB!Y67&gt;0,DaB!Y67-MAX(DaB!V67:X67),0))</f>
        <v>0</v>
      </c>
      <c r="S67" s="34">
        <f>IF(U67=0,0,MIN(DaB!$AA67:$AB67)-SUM($C67:R67))</f>
        <v>0</v>
      </c>
      <c r="T67" s="29">
        <f>IF(U67=0,0,IF(DaB!AA67&gt;0,DaB!AB67-DaB!AA67,0))</f>
        <v>0</v>
      </c>
      <c r="U67" s="33">
        <f>IF(DaB!AC67&gt;0,DaB!AC67-DaB!AB67+1,0)</f>
        <v>0</v>
      </c>
      <c r="V67" s="32">
        <f>IF(U67=0,0,IF(DaB!AE67&gt;0,DaB!AE67-DaB!AD67+1,0))</f>
        <v>0</v>
      </c>
      <c r="W67" s="30">
        <f>IF(U67=0,0,IF(DaB!AF67&gt;0,DaB!AF67-MAX(DaB!AC67:AE67),0))</f>
        <v>0</v>
      </c>
      <c r="X67" s="34">
        <f>IF(Z67=0,0,MIN(DaB!$AH67:$AI67)-SUM($C67:W67))</f>
        <v>0</v>
      </c>
      <c r="Y67" s="29">
        <f>IF(Z67=0,0,IF(DaB!AH67&gt;0,DaB!AI67-DaB!AH67,0))</f>
        <v>0</v>
      </c>
      <c r="Z67" s="33">
        <f>IF(DaB!AJ67&gt;0,DaB!AJ67-DaB!AI67+1,0)</f>
        <v>0</v>
      </c>
      <c r="AA67" s="32">
        <f>IF(Z67=0,0,IF(DaB!AL67&gt;0,DaB!AL67-DaB!AK67+1,0))</f>
        <v>0</v>
      </c>
      <c r="AB67" s="30">
        <f>IF(Z67=0,0,IF(DaB!AM67&gt;0,DaB!AM67-MAX(DaB!AJ67:AL67),0))</f>
        <v>0</v>
      </c>
      <c r="AC67" s="34">
        <f>IF(AE67=0,0,MIN(DaB!$AO67:$AP67)-SUM($C67:AB67))</f>
        <v>0</v>
      </c>
      <c r="AD67" s="29">
        <f>IF(AE67=0,0,IF(DaB!AO67&gt;0,DaB!AP67-DaB!AO67,0))</f>
        <v>0</v>
      </c>
      <c r="AE67" s="33">
        <f>IF(DaB!AQ67&gt;0,DaB!AQ67-DaB!AP67+1,0)</f>
        <v>0</v>
      </c>
      <c r="AF67" s="32">
        <f>IF(AE67=0,0,IF(DaB!AS67&gt;0,DaB!AS67-DaB!AR67+1,0))</f>
        <v>0</v>
      </c>
      <c r="AG67" s="30">
        <f>IF(AE67=0,0,IF(DaB!AT67&gt;0,DaB!AT67-MAX(DaB!AQ67:AS67),0))</f>
        <v>0</v>
      </c>
      <c r="AH67" s="34">
        <f>IF(AJ67=0,0,MIN(DaB!$AV67:$AW67)-SUM($C67:AG67))</f>
        <v>0</v>
      </c>
      <c r="AI67" s="29">
        <f>IF(AJ67=0,0,IF(DaB!AV67&gt;0,DaB!AW67-DaB!AV67,0))</f>
        <v>0</v>
      </c>
      <c r="AJ67" s="33">
        <f>IF(DaB!AX67&gt;0,DaB!AX67-DaB!AW67+1,0)</f>
        <v>0</v>
      </c>
      <c r="AK67" s="32">
        <f>IF(AJ67=0,0,IF(DaB!AZ67&gt;0,DaB!AZ67-DaB!AY67+1,0))</f>
        <v>0</v>
      </c>
      <c r="AL67" s="30">
        <f>IF(AJ67=0,0,IF(DaB!BA67&gt;0,DaB!BA67-MAX(DaB!AX67:AZ67),0))</f>
        <v>0</v>
      </c>
      <c r="AM67" s="34">
        <f>IF(AO67=0,0,MIN(DaB!$BC67:$BD67)-SUM($C67:AL67))</f>
        <v>0</v>
      </c>
      <c r="AN67" s="29">
        <f>IF(AO67=0,0,IF(DaB!BC67&gt;0,DaB!BD67-DaB!BC67,0))</f>
        <v>0</v>
      </c>
      <c r="AO67" s="33">
        <f>IF(DaB!BE67&gt;0,DaB!BE67-DaB!BD67+1,0)</f>
        <v>0</v>
      </c>
      <c r="AP67" s="32">
        <f>IF(AO67=0,0,IF(DaB!BG67&gt;0,DaB!BG67-DaB!BF67+1,0))</f>
        <v>0</v>
      </c>
      <c r="AQ67" s="30">
        <f>IF(AO67=0,0,IF(DaB!BH67&gt;0,DaB!BH67-MAX(DaB!BE67:BG67),0))</f>
        <v>0</v>
      </c>
      <c r="AR67" s="34">
        <f>IF(AT67=0,0,MIN(DaB!$BJ67:$BK67)-SUM($C67:AQ67))</f>
        <v>0</v>
      </c>
      <c r="AS67" s="29">
        <f>IF(AT67=0,0,IF(DaB!BJ67&gt;0,DaB!BK67-DaB!BJ67,0))</f>
        <v>0</v>
      </c>
      <c r="AT67" s="33">
        <f>IF(DaB!BL67&gt;0,DaB!BL67-DaB!BK67+1,0)</f>
        <v>0</v>
      </c>
      <c r="AU67" s="32">
        <f>IF(AT67=0,0,IF(DaB!BN67&gt;0,DaB!BN67-DaB!BM67+1,0))</f>
        <v>0</v>
      </c>
      <c r="AV67" s="30">
        <f>IF(AT67=0,0,IF(DaB!BO67&gt;0,DaB!BO67-MAX(DaB!BL67:BN67),0))</f>
        <v>0</v>
      </c>
      <c r="AW67" s="34">
        <f>IF(AY67=0,0,MIN(DaB!$BQ67:$BR67)-SUM($C67:AV67))</f>
        <v>0</v>
      </c>
      <c r="AX67" s="29">
        <f>IF(AY67=0,0,IF(DaB!BQ67&gt;0,DaB!BR67-DaB!BQ67,0))</f>
        <v>0</v>
      </c>
      <c r="AY67" s="33">
        <f>IF(DaB!BS67&gt;0,DaB!BS67-DaB!BR67+1,0)</f>
        <v>0</v>
      </c>
      <c r="AZ67" s="32">
        <f>IF(AY67=0,0,IF(DaB!BU67&gt;0,DaB!BU67-DaB!BT67+1,0))</f>
        <v>0</v>
      </c>
      <c r="BA67" s="30">
        <f>IF(AY67=0,0,IF(DaB!BV67&gt;0,DaB!BV67-MAX(DaB!BS67:BU67),0))</f>
        <v>0</v>
      </c>
      <c r="BB67" s="34">
        <f>IF(BD67=0,0,MIN(DaB!$BX67:$BY67)-SUM($C67:BA67))</f>
        <v>0</v>
      </c>
      <c r="BC67" s="29">
        <f>IF(BD67=0,0,IF(DaB!BX67&gt;0,DaB!BY67-DaB!BX67,0))</f>
        <v>0</v>
      </c>
      <c r="BD67" s="33">
        <f>IF(DaB!BZ67&gt;0,DaB!BZ67-DaB!BY67+1,0)</f>
        <v>0</v>
      </c>
      <c r="BE67" s="32">
        <f>IF(BD67=0,0,IF(DaB!CB67&gt;0,DaB!CB67-DaB!CA67+1,0))</f>
        <v>0</v>
      </c>
      <c r="BF67" s="30">
        <f>IF(BD67=0,0,IF(DaB!CC67&gt;0,DaB!CC67-MAX(DaB!BZ67:CB67),0))</f>
        <v>0</v>
      </c>
      <c r="BG67" s="34">
        <f>IF(BI67=0,0,MIN(DaB!$CE67:$CF67)-SUM($C67:BF67))</f>
        <v>0</v>
      </c>
      <c r="BH67" s="29">
        <f>IF(BI67=0,0,IF(DaB!CE67&gt;0,DaB!CF67-DaB!CE67,0))</f>
        <v>0</v>
      </c>
      <c r="BI67" s="33">
        <f>IF(DaB!CG67&gt;0,DaB!CG67-DaB!CF67+1,0)</f>
        <v>0</v>
      </c>
      <c r="BJ67" s="32">
        <f>IF(BI67=0,0,IF(DaB!CI67&gt;0,DaB!CI67-DaB!CH67+1,0))</f>
        <v>0</v>
      </c>
      <c r="BK67" s="30">
        <f>IF(BI67=0,0,IF(DaB!CJ67&gt;0,DaB!CJ67-MAX(DaB!CG67:CI67),0))</f>
        <v>0</v>
      </c>
      <c r="BL67" s="34">
        <f>IF(BN67=0,0,MIN(DaB!$CL67:$CM67)-SUM($C67:BK67))</f>
        <v>0</v>
      </c>
      <c r="BM67" s="29">
        <f>IF(BN67=0,0,IF(DaB!CL67&gt;0,DaB!CM67-DaB!CL67,0))</f>
        <v>0</v>
      </c>
      <c r="BN67" s="33">
        <f>IF(DaB!CN67&gt;0,DaB!CN67-DaB!CM67+1,0)</f>
        <v>0</v>
      </c>
      <c r="BO67" s="32">
        <f>IF(BN67=0,0,IF(DaB!CP67&gt;0,DaB!CP67-DaB!CO67+1,0))</f>
        <v>0</v>
      </c>
      <c r="BP67" s="30">
        <f>IF(BN67=0,0,IF(DaB!CQ67&gt;0,DaB!CQ67-MAX(DaB!CN67:CP67),0))</f>
        <v>0</v>
      </c>
      <c r="BQ67" s="34">
        <f>IF(BS67=0,0,MIN(DaB!$CS67:$CT67)-SUM($C67:BP67))</f>
        <v>0</v>
      </c>
      <c r="BR67" s="29">
        <f>IF(BS67=0,0,IF(DaB!CS67&gt;0,DaB!CT67-DaB!CS67,0))</f>
        <v>0</v>
      </c>
      <c r="BS67" s="33">
        <f>IF(DaB!CU67&gt;0,DaB!CU67-DaB!CT67+1,0)</f>
        <v>0</v>
      </c>
      <c r="BT67" s="32">
        <f>IF(BS67=0,0,IF(DaB!CW67&gt;0,DaB!CW67-DaB!CV67+1,0))</f>
        <v>0</v>
      </c>
      <c r="BU67" s="30">
        <f>IF(BS67=0,0,IF(DaB!CX67&gt;0,DaB!CX67-MAX(DaB!CU67:CW67),0))</f>
        <v>0</v>
      </c>
      <c r="BV67" s="34">
        <f>IF(BX67=0,0,MIN(DaB!$CZ67:$DA67)-SUM($C67:BU67))</f>
        <v>0</v>
      </c>
      <c r="BW67" s="29">
        <f>IF(BX67=0,0,IF(DaB!CZ67&gt;0,DaB!DA67-DaB!CZ67,0))</f>
        <v>0</v>
      </c>
      <c r="BX67" s="33">
        <f>IF(DaB!DB67&gt;0,DaB!DB67-DaB!DA67+1,0)</f>
        <v>0</v>
      </c>
      <c r="BY67" s="32">
        <f>IF(BX67=0,0,IF(DaB!DD67&gt;0,DaB!DD67-DaB!DC67+1,0))</f>
        <v>0</v>
      </c>
      <c r="BZ67" s="30">
        <f>IF(BX67=0,0,IF(DaB!DE67&gt;0,DaB!DE67-MAX(DaB!DB67:DD67),0))</f>
        <v>0</v>
      </c>
      <c r="CA67" s="34">
        <f>IF(CC67=0,0,MIN(DaB!$DG67:$DH67)-SUM($C67:BZ67))</f>
        <v>0</v>
      </c>
      <c r="CB67" s="29">
        <f>IF(CC67=0,0,IF(DaB!DG67&gt;0,DaB!DH67-DaB!DG67,0))</f>
        <v>0</v>
      </c>
      <c r="CC67" s="33">
        <f>IF(DaB!DI67&gt;0,DaB!DI67-DaB!DH67+1,0)</f>
        <v>0</v>
      </c>
      <c r="CD67" s="32">
        <f>IF(CC67=0,0,IF(DaB!DK67&gt;0,DaB!DK67-DaB!DJ67+1,0))</f>
        <v>0</v>
      </c>
      <c r="CE67" s="30">
        <f>IF(CC67=0,0,IF(DaB!DL67&gt;0,DaB!DL67-MAX(DaB!DI67:DK67),0))</f>
        <v>0</v>
      </c>
      <c r="CF67" s="34">
        <f>IF(CH67=0,0,MIN(DaB!$DN67:$DO67)-SUM($C67:CE67))</f>
        <v>0</v>
      </c>
      <c r="CG67" s="29">
        <f>IF(CH67=0,0,IF(DaB!DN67&gt;0,DaB!DO67-DaB!DN67,0))</f>
        <v>0</v>
      </c>
      <c r="CH67" s="33">
        <f>IF(DaB!DP67&gt;0,DaB!DP67-DaB!DO67+1,0)</f>
        <v>0</v>
      </c>
      <c r="CI67" s="32">
        <f>IF(CH67=0,0,IF(DaB!DR67&gt;0,DaB!DR67-DaB!DQ67+1,0))</f>
        <v>0</v>
      </c>
      <c r="CJ67" s="30">
        <f>IF(CH67=0,0,IF(DaB!DS67&gt;0,DaB!DS67-MAX(DaB!DP67:DR67),0))</f>
        <v>0</v>
      </c>
      <c r="CK67" s="34">
        <f>IF(CM67=0,0,MIN(DaB!$DU67:$DV67)-SUM($C67:CJ67))</f>
        <v>0</v>
      </c>
      <c r="CL67" s="29">
        <f>IF(CM67=0,0,IF(DaB!DU67&gt;0,DaB!DV67-DaB!DU67,0))</f>
        <v>0</v>
      </c>
      <c r="CM67" s="33">
        <f>IF(DaB!DW67&gt;0,DaB!DW67-DaB!DV67+1,0)</f>
        <v>0</v>
      </c>
      <c r="CN67" s="32">
        <f>IF(CM67=0,0,IF(DaB!DY67&gt;0,DaB!DY67-DaB!DX67+1,0))</f>
        <v>0</v>
      </c>
      <c r="CO67" s="30">
        <f>IF(CM67=0,0,IF(DaB!DZ67&gt;0,DaB!DZ67-MAX(DaB!DW67:DY67),0))</f>
        <v>0</v>
      </c>
      <c r="CP67" s="34">
        <f>IF(CR67=0,0,MIN(DaB!$EB67:$EC67)-SUM($C67:CO67))</f>
        <v>0</v>
      </c>
      <c r="CQ67" s="29">
        <f>IF(CR67=0,0,IF(DaB!EB67&gt;0,DaB!EC67-DaB!EB67,0))</f>
        <v>0</v>
      </c>
      <c r="CR67" s="33">
        <f>IF(DaB!ED67&gt;0,DaB!ED67-DaB!EC67+1,0)</f>
        <v>0</v>
      </c>
      <c r="CS67" s="32">
        <f>IF(CR67=0,0,IF(DaB!EF67&gt;0,DaB!EF67-DaB!EE67+1,0))</f>
        <v>0</v>
      </c>
      <c r="CT67" s="30">
        <f>IF(CR67=0,0,IF(DaB!EG67&gt;0,DaB!EG67-MAX(DaB!ED67:EF67),0))</f>
        <v>0</v>
      </c>
      <c r="CU67" s="34">
        <f>IF(CW67=0,0,MIN(DaB!$EI67:$EJ67)-SUM($C67:CT67))</f>
        <v>0</v>
      </c>
      <c r="CV67" s="29">
        <f>IF(CW67=0,0,IF(DaB!EI67&gt;0,DaB!EJ67-DaB!EI67,0))</f>
        <v>0</v>
      </c>
      <c r="CW67" s="33">
        <f>IF(DaB!EK67&gt;0,DaB!EK67-DaB!EJ67+1,0)</f>
        <v>0</v>
      </c>
      <c r="CX67" s="32">
        <f>IF(CW67=0,0,IF(DaB!EM67&gt;0,DaB!EM67-DaB!EL67+1,0))</f>
        <v>0</v>
      </c>
      <c r="CY67" s="30">
        <f>IF(CW67=0,0,IF(DaB!EN67&gt;0,DaB!EN67-MAX(DaB!EK67:EM67),0))</f>
        <v>0</v>
      </c>
      <c r="DF67" s="2">
        <f t="shared" si="5"/>
        <v>45474</v>
      </c>
      <c r="DG67" s="28"/>
      <c r="DH67" s="29"/>
      <c r="DI67" s="10"/>
      <c r="DJ67" s="10"/>
      <c r="DK67" s="11"/>
      <c r="DL67" s="11"/>
      <c r="DM67" s="30"/>
      <c r="DN67" s="28"/>
      <c r="DO67" s="29"/>
      <c r="DP67" s="10"/>
      <c r="DQ67" s="10"/>
      <c r="DR67" s="11"/>
      <c r="DS67" s="11"/>
      <c r="DT67" s="30"/>
      <c r="DU67" s="28"/>
      <c r="DV67" s="29"/>
      <c r="DW67" s="10"/>
      <c r="DX67" s="10"/>
      <c r="DY67" s="11"/>
      <c r="DZ67" s="11"/>
      <c r="EA67" s="30"/>
      <c r="EB67" s="28"/>
      <c r="EC67" s="29"/>
      <c r="ED67" s="10"/>
      <c r="EE67" s="10"/>
      <c r="EF67" s="11"/>
      <c r="EG67" s="11"/>
      <c r="EH67" s="30"/>
      <c r="EI67" s="34"/>
      <c r="EJ67" s="29"/>
      <c r="EK67" s="10"/>
      <c r="EL67" s="10"/>
      <c r="EM67" s="30"/>
      <c r="EN67" s="34"/>
      <c r="EO67" s="29"/>
      <c r="EP67" s="47"/>
      <c r="EQ67" s="47"/>
      <c r="ER67" s="30"/>
      <c r="ES67" s="34"/>
      <c r="ET67" s="29"/>
      <c r="EU67" s="47"/>
      <c r="EV67" s="47"/>
      <c r="EW67" s="30"/>
    </row>
    <row r="68" spans="1:153" x14ac:dyDescent="0.2">
      <c r="A68" s="2" t="str">
        <f>DaB!A68</f>
        <v>Calendar 32</v>
      </c>
      <c r="B68" s="2" t="str">
        <f t="shared" si="3"/>
        <v>.</v>
      </c>
      <c r="C68" s="27">
        <f t="shared" si="1"/>
        <v>45474</v>
      </c>
      <c r="D68" s="34">
        <f>IFERROR(MIN(DaB!F68:K68)-C68,0)</f>
        <v>-45474</v>
      </c>
      <c r="E68" s="29">
        <f>IF(F68=0,0,IF(DaB!F68&gt;0,DaB!G68-DaB!F68,0))</f>
        <v>0</v>
      </c>
      <c r="F68" s="33">
        <f>IF(DaB!G68&gt;MAX(DaB!EV68,DaB!FJ68),DaB!H68-DaB!G68+1,
IF(DaB!H68&gt;0,DaB!H68-DaB!G68,0))</f>
        <v>0</v>
      </c>
      <c r="G68" s="32">
        <f>IF(F68=0,0,IF(DaB!J68&gt;0,DaB!J68-DaB!I68+1,0))</f>
        <v>0</v>
      </c>
      <c r="H68" s="30">
        <f>IF(F68=0,0,IF(DaB!K68&gt;0,DaB!K68-MAX(DaB!H68:J68),0))</f>
        <v>0</v>
      </c>
      <c r="I68" s="34">
        <f>IF(K68=0,0,MIN(DaB!$M68:$N68)-SUM($C68:H68))</f>
        <v>0</v>
      </c>
      <c r="J68" s="29">
        <f>IF(K68=0,0,IF(DaB!M68&gt;0,DaB!N68-DaB!M68,0))</f>
        <v>0</v>
      </c>
      <c r="K68" s="33">
        <f>IF(DaB!O68&gt;0,DaB!O68-DaB!N68+1,0)</f>
        <v>0</v>
      </c>
      <c r="L68" s="32">
        <f>IF(K68=0,0,IF(DaB!Q68&gt;0,DaB!Q68-DaB!P68+1,0))</f>
        <v>0</v>
      </c>
      <c r="M68" s="30">
        <f>IF(K68=0,0,IF(DaB!R68&gt;0,DaB!R68-MAX(DaB!O68:Q68),0))</f>
        <v>0</v>
      </c>
      <c r="N68" s="31">
        <f>IF(P68=0,0,MIN(DaB!$T68:$U68)-SUM($C68:M68))</f>
        <v>0</v>
      </c>
      <c r="O68" s="29">
        <f>IF(P68=0,0,IF(DaB!T68&gt;0,DaB!U68-DaB!T68,0))</f>
        <v>0</v>
      </c>
      <c r="P68" s="33">
        <f>IF(DaB!V68&gt;0,DaB!V68-DaB!U68+1,0)</f>
        <v>0</v>
      </c>
      <c r="Q68" s="32">
        <f>IF(P68=0,0,IF(DaB!X68&gt;0,DaB!X68-DaB!W68+1,0))</f>
        <v>0</v>
      </c>
      <c r="R68" s="30">
        <f>IF(P68=0,0,IF(DaB!Y68&gt;0,DaB!Y68-MAX(DaB!V68:X68),0))</f>
        <v>0</v>
      </c>
      <c r="S68" s="34">
        <f>IF(U68=0,0,MIN(DaB!$AA68:$AB68)-SUM($C68:R68))</f>
        <v>0</v>
      </c>
      <c r="T68" s="29">
        <f>IF(U68=0,0,IF(DaB!AA68&gt;0,DaB!AB68-DaB!AA68,0))</f>
        <v>0</v>
      </c>
      <c r="U68" s="33">
        <f>IF(DaB!AC68&gt;0,DaB!AC68-DaB!AB68+1,0)</f>
        <v>0</v>
      </c>
      <c r="V68" s="32">
        <f>IF(U68=0,0,IF(DaB!AE68&gt;0,DaB!AE68-DaB!AD68+1,0))</f>
        <v>0</v>
      </c>
      <c r="W68" s="30">
        <f>IF(U68=0,0,IF(DaB!AF68&gt;0,DaB!AF68-MAX(DaB!AC68:AE68),0))</f>
        <v>0</v>
      </c>
      <c r="X68" s="34">
        <f>IF(Z68=0,0,MIN(DaB!$AH68:$AI68)-SUM($C68:W68))</f>
        <v>0</v>
      </c>
      <c r="Y68" s="29">
        <f>IF(Z68=0,0,IF(DaB!AH68&gt;0,DaB!AI68-DaB!AH68,0))</f>
        <v>0</v>
      </c>
      <c r="Z68" s="33">
        <f>IF(DaB!AJ68&gt;0,DaB!AJ68-DaB!AI68+1,0)</f>
        <v>0</v>
      </c>
      <c r="AA68" s="32">
        <f>IF(Z68=0,0,IF(DaB!AL68&gt;0,DaB!AL68-DaB!AK68+1,0))</f>
        <v>0</v>
      </c>
      <c r="AB68" s="30">
        <f>IF(Z68=0,0,IF(DaB!AM68&gt;0,DaB!AM68-MAX(DaB!AJ68:AL68),0))</f>
        <v>0</v>
      </c>
      <c r="AC68" s="34">
        <f>IF(AE68=0,0,MIN(DaB!$AO68:$AP68)-SUM($C68:AB68))</f>
        <v>0</v>
      </c>
      <c r="AD68" s="29">
        <f>IF(AE68=0,0,IF(DaB!AO68&gt;0,DaB!AP68-DaB!AO68,0))</f>
        <v>0</v>
      </c>
      <c r="AE68" s="33">
        <f>IF(DaB!AQ68&gt;0,DaB!AQ68-DaB!AP68+1,0)</f>
        <v>0</v>
      </c>
      <c r="AF68" s="32">
        <f>IF(AE68=0,0,IF(DaB!AS68&gt;0,DaB!AS68-DaB!AR68+1,0))</f>
        <v>0</v>
      </c>
      <c r="AG68" s="30">
        <f>IF(AE68=0,0,IF(DaB!AT68&gt;0,DaB!AT68-MAX(DaB!AQ68:AS68),0))</f>
        <v>0</v>
      </c>
      <c r="AH68" s="34">
        <f>IF(AJ68=0,0,MIN(DaB!$AV68:$AW68)-SUM($C68:AG68))</f>
        <v>0</v>
      </c>
      <c r="AI68" s="29">
        <f>IF(AJ68=0,0,IF(DaB!AV68&gt;0,DaB!AW68-DaB!AV68,0))</f>
        <v>0</v>
      </c>
      <c r="AJ68" s="33">
        <f>IF(DaB!AX68&gt;0,DaB!AX68-DaB!AW68+1,0)</f>
        <v>0</v>
      </c>
      <c r="AK68" s="32">
        <f>IF(AJ68=0,0,IF(DaB!AZ68&gt;0,DaB!AZ68-DaB!AY68+1,0))</f>
        <v>0</v>
      </c>
      <c r="AL68" s="30">
        <f>IF(AJ68=0,0,IF(DaB!BA68&gt;0,DaB!BA68-MAX(DaB!AX68:AZ68),0))</f>
        <v>0</v>
      </c>
      <c r="AM68" s="34">
        <f>IF(AO68=0,0,MIN(DaB!$BC68:$BD68)-SUM($C68:AL68))</f>
        <v>0</v>
      </c>
      <c r="AN68" s="29">
        <f>IF(AO68=0,0,IF(DaB!BC68&gt;0,DaB!BD68-DaB!BC68,0))</f>
        <v>0</v>
      </c>
      <c r="AO68" s="33">
        <f>IF(DaB!BE68&gt;0,DaB!BE68-DaB!BD68+1,0)</f>
        <v>0</v>
      </c>
      <c r="AP68" s="32">
        <f>IF(AO68=0,0,IF(DaB!BG68&gt;0,DaB!BG68-DaB!BF68+1,0))</f>
        <v>0</v>
      </c>
      <c r="AQ68" s="30">
        <f>IF(AO68=0,0,IF(DaB!BH68&gt;0,DaB!BH68-MAX(DaB!BE68:BG68),0))</f>
        <v>0</v>
      </c>
      <c r="AR68" s="34">
        <f>IF(AT68=0,0,MIN(DaB!$BJ68:$BK68)-SUM($C68:AQ68))</f>
        <v>0</v>
      </c>
      <c r="AS68" s="29">
        <f>IF(AT68=0,0,IF(DaB!BJ68&gt;0,DaB!BK68-DaB!BJ68,0))</f>
        <v>0</v>
      </c>
      <c r="AT68" s="33">
        <f>IF(DaB!BL68&gt;0,DaB!BL68-DaB!BK68+1,0)</f>
        <v>0</v>
      </c>
      <c r="AU68" s="32">
        <f>IF(AT68=0,0,IF(DaB!BN68&gt;0,DaB!BN68-DaB!BM68+1,0))</f>
        <v>0</v>
      </c>
      <c r="AV68" s="30">
        <f>IF(AT68=0,0,IF(DaB!BO68&gt;0,DaB!BO68-MAX(DaB!BL68:BN68),0))</f>
        <v>0</v>
      </c>
      <c r="AW68" s="34">
        <f>IF(AY68=0,0,MIN(DaB!$BQ68:$BR68)-SUM($C68:AV68))</f>
        <v>0</v>
      </c>
      <c r="AX68" s="29">
        <f>IF(AY68=0,0,IF(DaB!BQ68&gt;0,DaB!BR68-DaB!BQ68,0))</f>
        <v>0</v>
      </c>
      <c r="AY68" s="33">
        <f>IF(DaB!BS68&gt;0,DaB!BS68-DaB!BR68+1,0)</f>
        <v>0</v>
      </c>
      <c r="AZ68" s="32">
        <f>IF(AY68=0,0,IF(DaB!BU68&gt;0,DaB!BU68-DaB!BT68+1,0))</f>
        <v>0</v>
      </c>
      <c r="BA68" s="30">
        <f>IF(AY68=0,0,IF(DaB!BV68&gt;0,DaB!BV68-MAX(DaB!BS68:BU68),0))</f>
        <v>0</v>
      </c>
      <c r="BB68" s="34">
        <f>IF(BD68=0,0,MIN(DaB!$BX68:$BY68)-SUM($C68:BA68))</f>
        <v>0</v>
      </c>
      <c r="BC68" s="29">
        <f>IF(BD68=0,0,IF(DaB!BX68&gt;0,DaB!BY68-DaB!BX68,0))</f>
        <v>0</v>
      </c>
      <c r="BD68" s="33">
        <f>IF(DaB!BZ68&gt;0,DaB!BZ68-DaB!BY68+1,0)</f>
        <v>0</v>
      </c>
      <c r="BE68" s="32">
        <f>IF(BD68=0,0,IF(DaB!CB68&gt;0,DaB!CB68-DaB!CA68+1,0))</f>
        <v>0</v>
      </c>
      <c r="BF68" s="30">
        <f>IF(BD68=0,0,IF(DaB!CC68&gt;0,DaB!CC68-MAX(DaB!BZ68:CB68),0))</f>
        <v>0</v>
      </c>
      <c r="BG68" s="34">
        <f>IF(BI68=0,0,MIN(DaB!$CE68:$CF68)-SUM($C68:BF68))</f>
        <v>0</v>
      </c>
      <c r="BH68" s="29">
        <f>IF(BI68=0,0,IF(DaB!CE68&gt;0,DaB!CF68-DaB!CE68,0))</f>
        <v>0</v>
      </c>
      <c r="BI68" s="33">
        <f>IF(DaB!CG68&gt;0,DaB!CG68-DaB!CF68+1,0)</f>
        <v>0</v>
      </c>
      <c r="BJ68" s="32">
        <f>IF(BI68=0,0,IF(DaB!CI68&gt;0,DaB!CI68-DaB!CH68+1,0))</f>
        <v>0</v>
      </c>
      <c r="BK68" s="30">
        <f>IF(BI68=0,0,IF(DaB!CJ68&gt;0,DaB!CJ68-MAX(DaB!CG68:CI68),0))</f>
        <v>0</v>
      </c>
      <c r="BL68" s="34">
        <f>IF(BN68=0,0,MIN(DaB!$CL68:$CM68)-SUM($C68:BK68))</f>
        <v>0</v>
      </c>
      <c r="BM68" s="29">
        <f>IF(BN68=0,0,IF(DaB!CL68&gt;0,DaB!CM68-DaB!CL68,0))</f>
        <v>0</v>
      </c>
      <c r="BN68" s="33">
        <f>IF(DaB!CN68&gt;0,DaB!CN68-DaB!CM68+1,0)</f>
        <v>0</v>
      </c>
      <c r="BO68" s="32">
        <f>IF(BN68=0,0,IF(DaB!CP68&gt;0,DaB!CP68-DaB!CO68+1,0))</f>
        <v>0</v>
      </c>
      <c r="BP68" s="30">
        <f>IF(BN68=0,0,IF(DaB!CQ68&gt;0,DaB!CQ68-MAX(DaB!CN68:CP68),0))</f>
        <v>0</v>
      </c>
      <c r="BQ68" s="34">
        <f>IF(BS68=0,0,MIN(DaB!$CS68:$CT68)-SUM($C68:BP68))</f>
        <v>0</v>
      </c>
      <c r="BR68" s="29">
        <f>IF(BS68=0,0,IF(DaB!CS68&gt;0,DaB!CT68-DaB!CS68,0))</f>
        <v>0</v>
      </c>
      <c r="BS68" s="33">
        <f>IF(DaB!CU68&gt;0,DaB!CU68-DaB!CT68+1,0)</f>
        <v>0</v>
      </c>
      <c r="BT68" s="32">
        <f>IF(BS68=0,0,IF(DaB!CW68&gt;0,DaB!CW68-DaB!CV68+1,0))</f>
        <v>0</v>
      </c>
      <c r="BU68" s="30">
        <f>IF(BS68=0,0,IF(DaB!CX68&gt;0,DaB!CX68-MAX(DaB!CU68:CW68),0))</f>
        <v>0</v>
      </c>
      <c r="BV68" s="34">
        <f>IF(BX68=0,0,MIN(DaB!$CZ68:$DA68)-SUM($C68:BU68))</f>
        <v>0</v>
      </c>
      <c r="BW68" s="29">
        <f>IF(BX68=0,0,IF(DaB!CZ68&gt;0,DaB!DA68-DaB!CZ68,0))</f>
        <v>0</v>
      </c>
      <c r="BX68" s="33">
        <f>IF(DaB!DB68&gt;0,DaB!DB68-DaB!DA68+1,0)</f>
        <v>0</v>
      </c>
      <c r="BY68" s="32">
        <f>IF(BX68=0,0,IF(DaB!DD68&gt;0,DaB!DD68-DaB!DC68+1,0))</f>
        <v>0</v>
      </c>
      <c r="BZ68" s="30">
        <f>IF(BX68=0,0,IF(DaB!DE68&gt;0,DaB!DE68-MAX(DaB!DB68:DD68),0))</f>
        <v>0</v>
      </c>
      <c r="CA68" s="34">
        <f>IF(CC68=0,0,MIN(DaB!$DG68:$DH68)-SUM($C68:BZ68))</f>
        <v>0</v>
      </c>
      <c r="CB68" s="29">
        <f>IF(CC68=0,0,IF(DaB!DG68&gt;0,DaB!DH68-DaB!DG68,0))</f>
        <v>0</v>
      </c>
      <c r="CC68" s="33">
        <f>IF(DaB!DI68&gt;0,DaB!DI68-DaB!DH68+1,0)</f>
        <v>0</v>
      </c>
      <c r="CD68" s="32">
        <f>IF(CC68=0,0,IF(DaB!DK68&gt;0,DaB!DK68-DaB!DJ68+1,0))</f>
        <v>0</v>
      </c>
      <c r="CE68" s="30">
        <f>IF(CC68=0,0,IF(DaB!DL68&gt;0,DaB!DL68-MAX(DaB!DI68:DK68),0))</f>
        <v>0</v>
      </c>
      <c r="CF68" s="34">
        <f>IF(CH68=0,0,MIN(DaB!$DN68:$DO68)-SUM($C68:CE68))</f>
        <v>0</v>
      </c>
      <c r="CG68" s="29">
        <f>IF(CH68=0,0,IF(DaB!DN68&gt;0,DaB!DO68-DaB!DN68,0))</f>
        <v>0</v>
      </c>
      <c r="CH68" s="33">
        <f>IF(DaB!DP68&gt;0,DaB!DP68-DaB!DO68+1,0)</f>
        <v>0</v>
      </c>
      <c r="CI68" s="32">
        <f>IF(CH68=0,0,IF(DaB!DR68&gt;0,DaB!DR68-DaB!DQ68+1,0))</f>
        <v>0</v>
      </c>
      <c r="CJ68" s="30">
        <f>IF(CH68=0,0,IF(DaB!DS68&gt;0,DaB!DS68-MAX(DaB!DP68:DR68),0))</f>
        <v>0</v>
      </c>
      <c r="CK68" s="34">
        <f>IF(CM68=0,0,MIN(DaB!$DU68:$DV68)-SUM($C68:CJ68))</f>
        <v>0</v>
      </c>
      <c r="CL68" s="29">
        <f>IF(CM68=0,0,IF(DaB!DU68&gt;0,DaB!DV68-DaB!DU68,0))</f>
        <v>0</v>
      </c>
      <c r="CM68" s="33">
        <f>IF(DaB!DW68&gt;0,DaB!DW68-DaB!DV68+1,0)</f>
        <v>0</v>
      </c>
      <c r="CN68" s="32">
        <f>IF(CM68=0,0,IF(DaB!DY68&gt;0,DaB!DY68-DaB!DX68+1,0))</f>
        <v>0</v>
      </c>
      <c r="CO68" s="30">
        <f>IF(CM68=0,0,IF(DaB!DZ68&gt;0,DaB!DZ68-MAX(DaB!DW68:DY68),0))</f>
        <v>0</v>
      </c>
      <c r="CP68" s="34">
        <f>IF(CR68=0,0,MIN(DaB!$EB68:$EC68)-SUM($C68:CO68))</f>
        <v>0</v>
      </c>
      <c r="CQ68" s="29">
        <f>IF(CR68=0,0,IF(DaB!EB68&gt;0,DaB!EC68-DaB!EB68,0))</f>
        <v>0</v>
      </c>
      <c r="CR68" s="33">
        <f>IF(DaB!ED68&gt;0,DaB!ED68-DaB!EC68+1,0)</f>
        <v>0</v>
      </c>
      <c r="CS68" s="32">
        <f>IF(CR68=0,0,IF(DaB!EF68&gt;0,DaB!EF68-DaB!EE68+1,0))</f>
        <v>0</v>
      </c>
      <c r="CT68" s="30">
        <f>IF(CR68=0,0,IF(DaB!EG68&gt;0,DaB!EG68-MAX(DaB!ED68:EF68),0))</f>
        <v>0</v>
      </c>
      <c r="CU68" s="34">
        <f>IF(CW68=0,0,MIN(DaB!$EI68:$EJ68)-SUM($C68:CT68))</f>
        <v>0</v>
      </c>
      <c r="CV68" s="29">
        <f>IF(CW68=0,0,IF(DaB!EI68&gt;0,DaB!EJ68-DaB!EI68,0))</f>
        <v>0</v>
      </c>
      <c r="CW68" s="33">
        <f>IF(DaB!EK68&gt;0,DaB!EK68-DaB!EJ68+1,0)</f>
        <v>0</v>
      </c>
      <c r="CX68" s="32">
        <f>IF(CW68=0,0,IF(DaB!EM68&gt;0,DaB!EM68-DaB!EL68+1,0))</f>
        <v>0</v>
      </c>
      <c r="CY68" s="30">
        <f>IF(CW68=0,0,IF(DaB!EN68&gt;0,DaB!EN68-MAX(DaB!EK68:EM68),0))</f>
        <v>0</v>
      </c>
      <c r="DF68" s="2">
        <f t="shared" si="5"/>
        <v>45474</v>
      </c>
      <c r="DG68" s="28"/>
      <c r="DH68" s="29"/>
      <c r="DI68" s="10"/>
      <c r="DJ68" s="10"/>
      <c r="DK68" s="11"/>
      <c r="DL68" s="11"/>
      <c r="DM68" s="30"/>
      <c r="DN68" s="28"/>
      <c r="DO68" s="29"/>
      <c r="DP68" s="10"/>
      <c r="DQ68" s="10"/>
      <c r="DR68" s="11"/>
      <c r="DS68" s="11"/>
      <c r="DT68" s="30"/>
      <c r="DU68" s="28"/>
      <c r="DV68" s="29"/>
      <c r="DW68" s="10"/>
      <c r="DX68" s="10"/>
      <c r="DY68" s="11"/>
      <c r="DZ68" s="11"/>
      <c r="EA68" s="30"/>
      <c r="EB68" s="28"/>
      <c r="EC68" s="29"/>
      <c r="ED68" s="10"/>
      <c r="EE68" s="10"/>
      <c r="EF68" s="11"/>
      <c r="EG68" s="11"/>
      <c r="EH68" s="30"/>
      <c r="EI68" s="34"/>
      <c r="EJ68" s="29"/>
      <c r="EK68" s="10"/>
      <c r="EL68" s="10"/>
      <c r="EM68" s="30"/>
      <c r="EN68" s="34"/>
      <c r="EO68" s="29"/>
      <c r="EP68" s="47"/>
      <c r="EQ68" s="47"/>
      <c r="ER68" s="30"/>
      <c r="ES68" s="34"/>
      <c r="ET68" s="29"/>
      <c r="EU68" s="47"/>
      <c r="EV68" s="47"/>
      <c r="EW68" s="30"/>
    </row>
    <row r="69" spans="1:153" x14ac:dyDescent="0.2">
      <c r="A69" s="2" t="str">
        <f>DaB!A69</f>
        <v>Calendar 32</v>
      </c>
      <c r="B69" s="2" t="str">
        <f t="shared" si="3"/>
        <v>.</v>
      </c>
      <c r="C69" s="27">
        <f t="shared" si="1"/>
        <v>45474</v>
      </c>
      <c r="D69" s="34">
        <f>IFERROR(MIN(DaB!F69:K69)-C69,0)</f>
        <v>-45474</v>
      </c>
      <c r="E69" s="29">
        <f>IF(F69=0,0,IF(DaB!F69&gt;0,DaB!G69-DaB!F69,0))</f>
        <v>0</v>
      </c>
      <c r="F69" s="33">
        <f>IF(DaB!G69&gt;MAX(DaB!EV69,DaB!FJ69),DaB!H69-DaB!G69+1,
IF(DaB!H69&gt;0,DaB!H69-DaB!G69,0))</f>
        <v>0</v>
      </c>
      <c r="G69" s="32">
        <f>IF(F69=0,0,IF(DaB!J69&gt;0,DaB!J69-DaB!I69+1,0))</f>
        <v>0</v>
      </c>
      <c r="H69" s="30">
        <f>IF(F69=0,0,IF(DaB!K69&gt;0,DaB!K69-MAX(DaB!H69:J69),0))</f>
        <v>0</v>
      </c>
      <c r="I69" s="34">
        <f>IF(K69=0,0,MIN(DaB!$M69:$N69)-SUM($C69:H69))</f>
        <v>0</v>
      </c>
      <c r="J69" s="29">
        <f>IF(K69=0,0,IF(DaB!M69&gt;0,DaB!N69-DaB!M69,0))</f>
        <v>0</v>
      </c>
      <c r="K69" s="33">
        <f>IF(DaB!O69&gt;0,DaB!O69-DaB!N69+1,0)</f>
        <v>0</v>
      </c>
      <c r="L69" s="32">
        <f>IF(K69=0,0,IF(DaB!Q69&gt;0,DaB!Q69-DaB!P69+1,0))</f>
        <v>0</v>
      </c>
      <c r="M69" s="30">
        <f>IF(K69=0,0,IF(DaB!R69&gt;0,DaB!R69-MAX(DaB!O69:Q69),0))</f>
        <v>0</v>
      </c>
      <c r="N69" s="31">
        <f>IF(P69=0,0,MIN(DaB!$T69:$U69)-SUM($C69:M69))</f>
        <v>0</v>
      </c>
      <c r="O69" s="29">
        <f>IF(P69=0,0,IF(DaB!T69&gt;0,DaB!U69-DaB!T69,0))</f>
        <v>0</v>
      </c>
      <c r="P69" s="33">
        <f>IF(DaB!V69&gt;0,DaB!V69-DaB!U69+1,0)</f>
        <v>0</v>
      </c>
      <c r="Q69" s="32">
        <f>IF(P69=0,0,IF(DaB!X69&gt;0,DaB!X69-DaB!W69+1,0))</f>
        <v>0</v>
      </c>
      <c r="R69" s="30">
        <f>IF(P69=0,0,IF(DaB!Y69&gt;0,DaB!Y69-MAX(DaB!V69:X69),0))</f>
        <v>0</v>
      </c>
      <c r="S69" s="34">
        <f>IF(U69=0,0,MIN(DaB!$AA69:$AB69)-SUM($C69:R69))</f>
        <v>0</v>
      </c>
      <c r="T69" s="29">
        <f>IF(U69=0,0,IF(DaB!AA69&gt;0,DaB!AB69-DaB!AA69,0))</f>
        <v>0</v>
      </c>
      <c r="U69" s="33">
        <f>IF(DaB!AC69&gt;0,DaB!AC69-DaB!AB69+1,0)</f>
        <v>0</v>
      </c>
      <c r="V69" s="32">
        <f>IF(U69=0,0,IF(DaB!AE69&gt;0,DaB!AE69-DaB!AD69+1,0))</f>
        <v>0</v>
      </c>
      <c r="W69" s="30">
        <f>IF(U69=0,0,IF(DaB!AF69&gt;0,DaB!AF69-MAX(DaB!AC69:AE69),0))</f>
        <v>0</v>
      </c>
      <c r="X69" s="34">
        <f>IF(Z69=0,0,MIN(DaB!$AH69:$AI69)-SUM($C69:W69))</f>
        <v>0</v>
      </c>
      <c r="Y69" s="29">
        <f>IF(Z69=0,0,IF(DaB!AH69&gt;0,DaB!AI69-DaB!AH69,0))</f>
        <v>0</v>
      </c>
      <c r="Z69" s="33">
        <f>IF(DaB!AJ69&gt;0,DaB!AJ69-DaB!AI69+1,0)</f>
        <v>0</v>
      </c>
      <c r="AA69" s="32">
        <f>IF(Z69=0,0,IF(DaB!AL69&gt;0,DaB!AL69-DaB!AK69+1,0))</f>
        <v>0</v>
      </c>
      <c r="AB69" s="30">
        <f>IF(Z69=0,0,IF(DaB!AM69&gt;0,DaB!AM69-MAX(DaB!AJ69:AL69),0))</f>
        <v>0</v>
      </c>
      <c r="AC69" s="34">
        <f>IF(AE69=0,0,MIN(DaB!$AO69:$AP69)-SUM($C69:AB69))</f>
        <v>0</v>
      </c>
      <c r="AD69" s="29">
        <f>IF(AE69=0,0,IF(DaB!AO69&gt;0,DaB!AP69-DaB!AO69,0))</f>
        <v>0</v>
      </c>
      <c r="AE69" s="33">
        <f>IF(DaB!AQ69&gt;0,DaB!AQ69-DaB!AP69+1,0)</f>
        <v>0</v>
      </c>
      <c r="AF69" s="32">
        <f>IF(AE69=0,0,IF(DaB!AS69&gt;0,DaB!AS69-DaB!AR69+1,0))</f>
        <v>0</v>
      </c>
      <c r="AG69" s="30">
        <f>IF(AE69=0,0,IF(DaB!AT69&gt;0,DaB!AT69-MAX(DaB!AQ69:AS69),0))</f>
        <v>0</v>
      </c>
      <c r="AH69" s="34">
        <f>IF(AJ69=0,0,MIN(DaB!$AV69:$AW69)-SUM($C69:AG69))</f>
        <v>0</v>
      </c>
      <c r="AI69" s="29">
        <f>IF(AJ69=0,0,IF(DaB!AV69&gt;0,DaB!AW69-DaB!AV69,0))</f>
        <v>0</v>
      </c>
      <c r="AJ69" s="33">
        <f>IF(DaB!AX69&gt;0,DaB!AX69-DaB!AW69+1,0)</f>
        <v>0</v>
      </c>
      <c r="AK69" s="32">
        <f>IF(AJ69=0,0,IF(DaB!AZ69&gt;0,DaB!AZ69-DaB!AY69+1,0))</f>
        <v>0</v>
      </c>
      <c r="AL69" s="30">
        <f>IF(AJ69=0,0,IF(DaB!BA69&gt;0,DaB!BA69-MAX(DaB!AX69:AZ69),0))</f>
        <v>0</v>
      </c>
      <c r="AM69" s="34">
        <f>IF(AO69=0,0,MIN(DaB!$BC69:$BD69)-SUM($C69:AL69))</f>
        <v>0</v>
      </c>
      <c r="AN69" s="29">
        <f>IF(AO69=0,0,IF(DaB!BC69&gt;0,DaB!BD69-DaB!BC69,0))</f>
        <v>0</v>
      </c>
      <c r="AO69" s="33">
        <f>IF(DaB!BE69&gt;0,DaB!BE69-DaB!BD69+1,0)</f>
        <v>0</v>
      </c>
      <c r="AP69" s="32">
        <f>IF(AO69=0,0,IF(DaB!BG69&gt;0,DaB!BG69-DaB!BF69+1,0))</f>
        <v>0</v>
      </c>
      <c r="AQ69" s="30">
        <f>IF(AO69=0,0,IF(DaB!BH69&gt;0,DaB!BH69-MAX(DaB!BE69:BG69),0))</f>
        <v>0</v>
      </c>
      <c r="AR69" s="34">
        <f>IF(AT69=0,0,MIN(DaB!$BJ69:$BK69)-SUM($C69:AQ69))</f>
        <v>0</v>
      </c>
      <c r="AS69" s="29">
        <f>IF(AT69=0,0,IF(DaB!BJ69&gt;0,DaB!BK69-DaB!BJ69,0))</f>
        <v>0</v>
      </c>
      <c r="AT69" s="33">
        <f>IF(DaB!BL69&gt;0,DaB!BL69-DaB!BK69+1,0)</f>
        <v>0</v>
      </c>
      <c r="AU69" s="32">
        <f>IF(AT69=0,0,IF(DaB!BN69&gt;0,DaB!BN69-DaB!BM69+1,0))</f>
        <v>0</v>
      </c>
      <c r="AV69" s="30">
        <f>IF(AT69=0,0,IF(DaB!BO69&gt;0,DaB!BO69-MAX(DaB!BL69:BN69),0))</f>
        <v>0</v>
      </c>
      <c r="AW69" s="34">
        <f>IF(AY69=0,0,MIN(DaB!$BQ69:$BR69)-SUM($C69:AV69))</f>
        <v>0</v>
      </c>
      <c r="AX69" s="29">
        <f>IF(AY69=0,0,IF(DaB!BQ69&gt;0,DaB!BR69-DaB!BQ69,0))</f>
        <v>0</v>
      </c>
      <c r="AY69" s="33">
        <f>IF(DaB!BS69&gt;0,DaB!BS69-DaB!BR69+1,0)</f>
        <v>0</v>
      </c>
      <c r="AZ69" s="32">
        <f>IF(AY69=0,0,IF(DaB!BU69&gt;0,DaB!BU69-DaB!BT69+1,0))</f>
        <v>0</v>
      </c>
      <c r="BA69" s="30">
        <f>IF(AY69=0,0,IF(DaB!BV69&gt;0,DaB!BV69-MAX(DaB!BS69:BU69),0))</f>
        <v>0</v>
      </c>
      <c r="BB69" s="34">
        <f>IF(BD69=0,0,MIN(DaB!$BX69:$BY69)-SUM($C69:BA69))</f>
        <v>0</v>
      </c>
      <c r="BC69" s="29">
        <f>IF(BD69=0,0,IF(DaB!BX69&gt;0,DaB!BY69-DaB!BX69,0))</f>
        <v>0</v>
      </c>
      <c r="BD69" s="33">
        <f>IF(DaB!BZ69&gt;0,DaB!BZ69-DaB!BY69+1,0)</f>
        <v>0</v>
      </c>
      <c r="BE69" s="32">
        <f>IF(BD69=0,0,IF(DaB!CB69&gt;0,DaB!CB69-DaB!CA69+1,0))</f>
        <v>0</v>
      </c>
      <c r="BF69" s="30">
        <f>IF(BD69=0,0,IF(DaB!CC69&gt;0,DaB!CC69-MAX(DaB!BZ69:CB69),0))</f>
        <v>0</v>
      </c>
      <c r="BG69" s="34">
        <f>IF(BI69=0,0,MIN(DaB!$CE69:$CF69)-SUM($C69:BF69))</f>
        <v>0</v>
      </c>
      <c r="BH69" s="29">
        <f>IF(BI69=0,0,IF(DaB!CE69&gt;0,DaB!CF69-DaB!CE69,0))</f>
        <v>0</v>
      </c>
      <c r="BI69" s="33">
        <f>IF(DaB!CG69&gt;0,DaB!CG69-DaB!CF69+1,0)</f>
        <v>0</v>
      </c>
      <c r="BJ69" s="32">
        <f>IF(BI69=0,0,IF(DaB!CI69&gt;0,DaB!CI69-DaB!CH69+1,0))</f>
        <v>0</v>
      </c>
      <c r="BK69" s="30">
        <f>IF(BI69=0,0,IF(DaB!CJ69&gt;0,DaB!CJ69-MAX(DaB!CG69:CI69),0))</f>
        <v>0</v>
      </c>
      <c r="BL69" s="34">
        <f>IF(BN69=0,0,MIN(DaB!$CL69:$CM69)-SUM($C69:BK69))</f>
        <v>0</v>
      </c>
      <c r="BM69" s="29">
        <f>IF(BN69=0,0,IF(DaB!CL69&gt;0,DaB!CM69-DaB!CL69,0))</f>
        <v>0</v>
      </c>
      <c r="BN69" s="33">
        <f>IF(DaB!CN69&gt;0,DaB!CN69-DaB!CM69+1,0)</f>
        <v>0</v>
      </c>
      <c r="BO69" s="32">
        <f>IF(BN69=0,0,IF(DaB!CP69&gt;0,DaB!CP69-DaB!CO69+1,0))</f>
        <v>0</v>
      </c>
      <c r="BP69" s="30">
        <f>IF(BN69=0,0,IF(DaB!CQ69&gt;0,DaB!CQ69-MAX(DaB!CN69:CP69),0))</f>
        <v>0</v>
      </c>
      <c r="BQ69" s="34">
        <f>IF(BS69=0,0,MIN(DaB!$CS69:$CT69)-SUM($C69:BP69))</f>
        <v>0</v>
      </c>
      <c r="BR69" s="29">
        <f>IF(BS69=0,0,IF(DaB!CS69&gt;0,DaB!CT69-DaB!CS69,0))</f>
        <v>0</v>
      </c>
      <c r="BS69" s="33">
        <f>IF(DaB!CU69&gt;0,DaB!CU69-DaB!CT69+1,0)</f>
        <v>0</v>
      </c>
      <c r="BT69" s="32">
        <f>IF(BS69=0,0,IF(DaB!CW69&gt;0,DaB!CW69-DaB!CV69+1,0))</f>
        <v>0</v>
      </c>
      <c r="BU69" s="30">
        <f>IF(BS69=0,0,IF(DaB!CX69&gt;0,DaB!CX69-MAX(DaB!CU69:CW69),0))</f>
        <v>0</v>
      </c>
      <c r="BV69" s="34">
        <f>IF(BX69=0,0,MIN(DaB!$CZ69:$DA69)-SUM($C69:BU69))</f>
        <v>0</v>
      </c>
      <c r="BW69" s="29">
        <f>IF(BX69=0,0,IF(DaB!CZ69&gt;0,DaB!DA69-DaB!CZ69,0))</f>
        <v>0</v>
      </c>
      <c r="BX69" s="33">
        <f>IF(DaB!DB69&gt;0,DaB!DB69-DaB!DA69+1,0)</f>
        <v>0</v>
      </c>
      <c r="BY69" s="32">
        <f>IF(BX69=0,0,IF(DaB!DD69&gt;0,DaB!DD69-DaB!DC69+1,0))</f>
        <v>0</v>
      </c>
      <c r="BZ69" s="30">
        <f>IF(BX69=0,0,IF(DaB!DE69&gt;0,DaB!DE69-MAX(DaB!DB69:DD69),0))</f>
        <v>0</v>
      </c>
      <c r="CA69" s="34">
        <f>IF(CC69=0,0,MIN(DaB!$DG69:$DH69)-SUM($C69:BZ69))</f>
        <v>0</v>
      </c>
      <c r="CB69" s="29">
        <f>IF(CC69=0,0,IF(DaB!DG69&gt;0,DaB!DH69-DaB!DG69,0))</f>
        <v>0</v>
      </c>
      <c r="CC69" s="33">
        <f>IF(DaB!DI69&gt;0,DaB!DI69-DaB!DH69+1,0)</f>
        <v>0</v>
      </c>
      <c r="CD69" s="32">
        <f>IF(CC69=0,0,IF(DaB!DK69&gt;0,DaB!DK69-DaB!DJ69+1,0))</f>
        <v>0</v>
      </c>
      <c r="CE69" s="30">
        <f>IF(CC69=0,0,IF(DaB!DL69&gt;0,DaB!DL69-MAX(DaB!DI69:DK69),0))</f>
        <v>0</v>
      </c>
      <c r="CF69" s="34">
        <f>IF(CH69=0,0,MIN(DaB!$DN69:$DO69)-SUM($C69:CE69))</f>
        <v>0</v>
      </c>
      <c r="CG69" s="29">
        <f>IF(CH69=0,0,IF(DaB!DN69&gt;0,DaB!DO69-DaB!DN69,0))</f>
        <v>0</v>
      </c>
      <c r="CH69" s="33">
        <f>IF(DaB!DP69&gt;0,DaB!DP69-DaB!DO69+1,0)</f>
        <v>0</v>
      </c>
      <c r="CI69" s="32">
        <f>IF(CH69=0,0,IF(DaB!DR69&gt;0,DaB!DR69-DaB!DQ69+1,0))</f>
        <v>0</v>
      </c>
      <c r="CJ69" s="30">
        <f>IF(CH69=0,0,IF(DaB!DS69&gt;0,DaB!DS69-MAX(DaB!DP69:DR69),0))</f>
        <v>0</v>
      </c>
      <c r="CK69" s="34">
        <f>IF(CM69=0,0,MIN(DaB!$DU69:$DV69)-SUM($C69:CJ69))</f>
        <v>0</v>
      </c>
      <c r="CL69" s="29">
        <f>IF(CM69=0,0,IF(DaB!DU69&gt;0,DaB!DV69-DaB!DU69,0))</f>
        <v>0</v>
      </c>
      <c r="CM69" s="33">
        <f>IF(DaB!DW69&gt;0,DaB!DW69-DaB!DV69+1,0)</f>
        <v>0</v>
      </c>
      <c r="CN69" s="32">
        <f>IF(CM69=0,0,IF(DaB!DY69&gt;0,DaB!DY69-DaB!DX69+1,0))</f>
        <v>0</v>
      </c>
      <c r="CO69" s="30">
        <f>IF(CM69=0,0,IF(DaB!DZ69&gt;0,DaB!DZ69-MAX(DaB!DW69:DY69),0))</f>
        <v>0</v>
      </c>
      <c r="CP69" s="34">
        <f>IF(CR69=0,0,MIN(DaB!$EB69:$EC69)-SUM($C69:CO69))</f>
        <v>0</v>
      </c>
      <c r="CQ69" s="29">
        <f>IF(CR69=0,0,IF(DaB!EB69&gt;0,DaB!EC69-DaB!EB69,0))</f>
        <v>0</v>
      </c>
      <c r="CR69" s="33">
        <f>IF(DaB!ED69&gt;0,DaB!ED69-DaB!EC69+1,0)</f>
        <v>0</v>
      </c>
      <c r="CS69" s="32">
        <f>IF(CR69=0,0,IF(DaB!EF69&gt;0,DaB!EF69-DaB!EE69+1,0))</f>
        <v>0</v>
      </c>
      <c r="CT69" s="30">
        <f>IF(CR69=0,0,IF(DaB!EG69&gt;0,DaB!EG69-MAX(DaB!ED69:EF69),0))</f>
        <v>0</v>
      </c>
      <c r="CU69" s="34">
        <f>IF(CW69=0,0,MIN(DaB!$EI69:$EJ69)-SUM($C69:CT69))</f>
        <v>0</v>
      </c>
      <c r="CV69" s="29">
        <f>IF(CW69=0,0,IF(DaB!EI69&gt;0,DaB!EJ69-DaB!EI69,0))</f>
        <v>0</v>
      </c>
      <c r="CW69" s="33">
        <f>IF(DaB!EK69&gt;0,DaB!EK69-DaB!EJ69+1,0)</f>
        <v>0</v>
      </c>
      <c r="CX69" s="32">
        <f>IF(CW69=0,0,IF(DaB!EM69&gt;0,DaB!EM69-DaB!EL69+1,0))</f>
        <v>0</v>
      </c>
      <c r="CY69" s="30">
        <f>IF(CW69=0,0,IF(DaB!EN69&gt;0,DaB!EN69-MAX(DaB!EK69:EM69),0))</f>
        <v>0</v>
      </c>
      <c r="DF69" s="2">
        <f t="shared" si="5"/>
        <v>45474</v>
      </c>
      <c r="DG69" s="28"/>
      <c r="DH69" s="29"/>
      <c r="DI69" s="10"/>
      <c r="DJ69" s="10"/>
      <c r="DK69" s="11"/>
      <c r="DL69" s="11"/>
      <c r="DM69" s="30"/>
      <c r="DN69" s="28"/>
      <c r="DO69" s="29"/>
      <c r="DP69" s="10"/>
      <c r="DQ69" s="10"/>
      <c r="DR69" s="11"/>
      <c r="DS69" s="11"/>
      <c r="DT69" s="30"/>
      <c r="DU69" s="28"/>
      <c r="DV69" s="29"/>
      <c r="DW69" s="10"/>
      <c r="DX69" s="10"/>
      <c r="DY69" s="11"/>
      <c r="DZ69" s="11"/>
      <c r="EA69" s="30"/>
      <c r="EB69" s="28"/>
      <c r="EC69" s="29"/>
      <c r="ED69" s="10"/>
      <c r="EE69" s="10"/>
      <c r="EF69" s="11"/>
      <c r="EG69" s="11"/>
      <c r="EH69" s="30"/>
      <c r="EI69" s="34"/>
      <c r="EJ69" s="29"/>
      <c r="EK69" s="10"/>
      <c r="EL69" s="10"/>
      <c r="EM69" s="30"/>
      <c r="EN69" s="34"/>
      <c r="EO69" s="29"/>
      <c r="EP69" s="47"/>
      <c r="EQ69" s="47"/>
      <c r="ER69" s="30"/>
      <c r="ES69" s="34"/>
      <c r="ET69" s="29"/>
      <c r="EU69" s="47"/>
      <c r="EV69" s="47"/>
      <c r="EW69" s="30"/>
    </row>
    <row r="70" spans="1:153" x14ac:dyDescent="0.2">
      <c r="A70" s="2" t="str">
        <f>DaB!A70</f>
        <v>Calendar 33</v>
      </c>
      <c r="B70" s="2" t="str">
        <f t="shared" ref="B70:B83" si="6">B69</f>
        <v>.</v>
      </c>
      <c r="C70" s="27">
        <f t="shared" si="1"/>
        <v>45474</v>
      </c>
      <c r="D70" s="34">
        <f>IFERROR(MIN(DaB!F70:K70)-C70,0)</f>
        <v>-45474</v>
      </c>
      <c r="E70" s="29">
        <f>IF(F70=0,0,IF(DaB!F70&gt;0,DaB!G70-DaB!F70,0))</f>
        <v>0</v>
      </c>
      <c r="F70" s="33">
        <f>IF(DaB!G70&gt;MAX(DaB!EV70,DaB!FJ70),DaB!H70-DaB!G70+1,
IF(DaB!H70&gt;0,DaB!H70-DaB!G70,0))</f>
        <v>0</v>
      </c>
      <c r="G70" s="32">
        <f>IF(F70=0,0,IF(DaB!J70&gt;0,DaB!J70-DaB!I70+1,0))</f>
        <v>0</v>
      </c>
      <c r="H70" s="30">
        <f>IF(F70=0,0,IF(DaB!K70&gt;0,DaB!K70-MAX(DaB!H70:J70),0))</f>
        <v>0</v>
      </c>
      <c r="I70" s="34">
        <f>IF(K70=0,0,MIN(DaB!$M70:$N70)-SUM($C70:H70))</f>
        <v>0</v>
      </c>
      <c r="J70" s="29">
        <f>IF(K70=0,0,IF(DaB!M70&gt;0,DaB!N70-DaB!M70,0))</f>
        <v>0</v>
      </c>
      <c r="K70" s="33">
        <f>IF(DaB!O70&gt;0,DaB!O70-DaB!N70+1,0)</f>
        <v>0</v>
      </c>
      <c r="L70" s="32">
        <f>IF(K70=0,0,IF(DaB!Q70&gt;0,DaB!Q70-DaB!P70+1,0))</f>
        <v>0</v>
      </c>
      <c r="M70" s="30">
        <f>IF(K70=0,0,IF(DaB!R70&gt;0,DaB!R70-MAX(DaB!O70:Q70),0))</f>
        <v>0</v>
      </c>
      <c r="N70" s="31">
        <f>IF(P70=0,0,MIN(DaB!$T70:$U70)-SUM($C70:M70))</f>
        <v>0</v>
      </c>
      <c r="O70" s="29">
        <f>IF(P70=0,0,IF(DaB!T70&gt;0,DaB!U70-DaB!T70,0))</f>
        <v>0</v>
      </c>
      <c r="P70" s="33">
        <f>IF(DaB!V70&gt;0,DaB!V70-DaB!U70+1,0)</f>
        <v>0</v>
      </c>
      <c r="Q70" s="32">
        <f>IF(P70=0,0,IF(DaB!X70&gt;0,DaB!X70-DaB!W70+1,0))</f>
        <v>0</v>
      </c>
      <c r="R70" s="30">
        <f>IF(P70=0,0,IF(DaB!Y70&gt;0,DaB!Y70-MAX(DaB!V70:X70),0))</f>
        <v>0</v>
      </c>
      <c r="S70" s="34">
        <f>IF(U70=0,0,MIN(DaB!$AA70:$AB70)-SUM($C70:R70))</f>
        <v>0</v>
      </c>
      <c r="T70" s="29">
        <f>IF(U70=0,0,IF(DaB!AA70&gt;0,DaB!AB70-DaB!AA70,0))</f>
        <v>0</v>
      </c>
      <c r="U70" s="33">
        <f>IF(DaB!AC70&gt;0,DaB!AC70-DaB!AB70+1,0)</f>
        <v>0</v>
      </c>
      <c r="V70" s="32">
        <f>IF(U70=0,0,IF(DaB!AE70&gt;0,DaB!AE70-DaB!AD70+1,0))</f>
        <v>0</v>
      </c>
      <c r="W70" s="30">
        <f>IF(U70=0,0,IF(DaB!AF70&gt;0,DaB!AF70-MAX(DaB!AC70:AE70),0))</f>
        <v>0</v>
      </c>
      <c r="X70" s="34">
        <f>IF(Z70=0,0,MIN(DaB!$AH70:$AI70)-SUM($C70:W70))</f>
        <v>0</v>
      </c>
      <c r="Y70" s="29">
        <f>IF(Z70=0,0,IF(DaB!AH70&gt;0,DaB!AI70-DaB!AH70,0))</f>
        <v>0</v>
      </c>
      <c r="Z70" s="33">
        <f>IF(DaB!AJ70&gt;0,DaB!AJ70-DaB!AI70+1,0)</f>
        <v>0</v>
      </c>
      <c r="AA70" s="32">
        <f>IF(Z70=0,0,IF(DaB!AL70&gt;0,DaB!AL70-DaB!AK70+1,0))</f>
        <v>0</v>
      </c>
      <c r="AB70" s="30">
        <f>IF(Z70=0,0,IF(DaB!AM70&gt;0,DaB!AM70-MAX(DaB!AJ70:AL70),0))</f>
        <v>0</v>
      </c>
      <c r="AC70" s="34">
        <f>IF(AE70=0,0,MIN(DaB!$AO70:$AP70)-SUM($C70:AB70))</f>
        <v>0</v>
      </c>
      <c r="AD70" s="29">
        <f>IF(AE70=0,0,IF(DaB!AO70&gt;0,DaB!AP70-DaB!AO70,0))</f>
        <v>0</v>
      </c>
      <c r="AE70" s="33">
        <f>IF(DaB!AQ70&gt;0,DaB!AQ70-DaB!AP70+1,0)</f>
        <v>0</v>
      </c>
      <c r="AF70" s="32">
        <f>IF(AE70=0,0,IF(DaB!AS70&gt;0,DaB!AS70-DaB!AR70+1,0))</f>
        <v>0</v>
      </c>
      <c r="AG70" s="30">
        <f>IF(AE70=0,0,IF(DaB!AT70&gt;0,DaB!AT70-MAX(DaB!AQ70:AS70),0))</f>
        <v>0</v>
      </c>
      <c r="AH70" s="34">
        <f>IF(AJ70=0,0,MIN(DaB!$AV70:$AW70)-SUM($C70:AG70))</f>
        <v>0</v>
      </c>
      <c r="AI70" s="29">
        <f>IF(AJ70=0,0,IF(DaB!AV70&gt;0,DaB!AW70-DaB!AV70,0))</f>
        <v>0</v>
      </c>
      <c r="AJ70" s="33">
        <f>IF(DaB!AX70&gt;0,DaB!AX70-DaB!AW70+1,0)</f>
        <v>0</v>
      </c>
      <c r="AK70" s="32">
        <f>IF(AJ70=0,0,IF(DaB!AZ70&gt;0,DaB!AZ70-DaB!AY70+1,0))</f>
        <v>0</v>
      </c>
      <c r="AL70" s="30">
        <f>IF(AJ70=0,0,IF(DaB!BA70&gt;0,DaB!BA70-MAX(DaB!AX70:AZ70),0))</f>
        <v>0</v>
      </c>
      <c r="AM70" s="34">
        <f>IF(AO70=0,0,MIN(DaB!$BC70:$BD70)-SUM($C70:AL70))</f>
        <v>0</v>
      </c>
      <c r="AN70" s="29">
        <f>IF(AO70=0,0,IF(DaB!BC70&gt;0,DaB!BD70-DaB!BC70,0))</f>
        <v>0</v>
      </c>
      <c r="AO70" s="33">
        <f>IF(DaB!BE70&gt;0,DaB!BE70-DaB!BD70+1,0)</f>
        <v>0</v>
      </c>
      <c r="AP70" s="32">
        <f>IF(AO70=0,0,IF(DaB!BG70&gt;0,DaB!BG70-DaB!BF70+1,0))</f>
        <v>0</v>
      </c>
      <c r="AQ70" s="30">
        <f>IF(AO70=0,0,IF(DaB!BH70&gt;0,DaB!BH70-MAX(DaB!BE70:BG70),0))</f>
        <v>0</v>
      </c>
      <c r="AR70" s="34">
        <f>IF(AT70=0,0,MIN(DaB!$BJ70:$BK70)-SUM($C70:AQ70))</f>
        <v>0</v>
      </c>
      <c r="AS70" s="29">
        <f>IF(AT70=0,0,IF(DaB!BJ70&gt;0,DaB!BK70-DaB!BJ70,0))</f>
        <v>0</v>
      </c>
      <c r="AT70" s="33">
        <f>IF(DaB!BL70&gt;0,DaB!BL70-DaB!BK70+1,0)</f>
        <v>0</v>
      </c>
      <c r="AU70" s="32">
        <f>IF(AT70=0,0,IF(DaB!BN70&gt;0,DaB!BN70-DaB!BM70+1,0))</f>
        <v>0</v>
      </c>
      <c r="AV70" s="30">
        <f>IF(AT70=0,0,IF(DaB!BO70&gt;0,DaB!BO70-MAX(DaB!BL70:BN70),0))</f>
        <v>0</v>
      </c>
      <c r="AW70" s="34">
        <f>IF(AY70=0,0,MIN(DaB!$BQ70:$BR70)-SUM($C70:AV70))</f>
        <v>0</v>
      </c>
      <c r="AX70" s="29">
        <f>IF(AY70=0,0,IF(DaB!BQ70&gt;0,DaB!BR70-DaB!BQ70,0))</f>
        <v>0</v>
      </c>
      <c r="AY70" s="33">
        <f>IF(DaB!BS70&gt;0,DaB!BS70-DaB!BR70+1,0)</f>
        <v>0</v>
      </c>
      <c r="AZ70" s="32">
        <f>IF(AY70=0,0,IF(DaB!BU70&gt;0,DaB!BU70-DaB!BT70+1,0))</f>
        <v>0</v>
      </c>
      <c r="BA70" s="30">
        <f>IF(AY70=0,0,IF(DaB!BV70&gt;0,DaB!BV70-MAX(DaB!BS70:BU70),0))</f>
        <v>0</v>
      </c>
      <c r="BB70" s="34">
        <f>IF(BD70=0,0,MIN(DaB!$BX70:$BY70)-SUM($C70:BA70))</f>
        <v>0</v>
      </c>
      <c r="BC70" s="29">
        <f>IF(BD70=0,0,IF(DaB!BX70&gt;0,DaB!BY70-DaB!BX70,0))</f>
        <v>0</v>
      </c>
      <c r="BD70" s="33">
        <f>IF(DaB!BZ70&gt;0,DaB!BZ70-DaB!BY70+1,0)</f>
        <v>0</v>
      </c>
      <c r="BE70" s="32">
        <f>IF(BD70=0,0,IF(DaB!CB70&gt;0,DaB!CB70-DaB!CA70+1,0))</f>
        <v>0</v>
      </c>
      <c r="BF70" s="30">
        <f>IF(BD70=0,0,IF(DaB!CC70&gt;0,DaB!CC70-MAX(DaB!BZ70:CB70),0))</f>
        <v>0</v>
      </c>
      <c r="BG70" s="34">
        <f>IF(BI70=0,0,MIN(DaB!$CE70:$CF70)-SUM($C70:BF70))</f>
        <v>0</v>
      </c>
      <c r="BH70" s="29">
        <f>IF(BI70=0,0,IF(DaB!CE70&gt;0,DaB!CF70-DaB!CE70,0))</f>
        <v>0</v>
      </c>
      <c r="BI70" s="33">
        <f>IF(DaB!CG70&gt;0,DaB!CG70-DaB!CF70+1,0)</f>
        <v>0</v>
      </c>
      <c r="BJ70" s="32">
        <f>IF(BI70=0,0,IF(DaB!CI70&gt;0,DaB!CI70-DaB!CH70+1,0))</f>
        <v>0</v>
      </c>
      <c r="BK70" s="30">
        <f>IF(BI70=0,0,IF(DaB!CJ70&gt;0,DaB!CJ70-MAX(DaB!CG70:CI70),0))</f>
        <v>0</v>
      </c>
      <c r="BL70" s="34">
        <f>IF(BN70=0,0,MIN(DaB!$CL70:$CM70)-SUM($C70:BK70))</f>
        <v>0</v>
      </c>
      <c r="BM70" s="29">
        <f>IF(BN70=0,0,IF(DaB!CL70&gt;0,DaB!CM70-DaB!CL70,0))</f>
        <v>0</v>
      </c>
      <c r="BN70" s="33">
        <f>IF(DaB!CN70&gt;0,DaB!CN70-DaB!CM70+1,0)</f>
        <v>0</v>
      </c>
      <c r="BO70" s="32">
        <f>IF(BN70=0,0,IF(DaB!CP70&gt;0,DaB!CP70-DaB!CO70+1,0))</f>
        <v>0</v>
      </c>
      <c r="BP70" s="30">
        <f>IF(BN70=0,0,IF(DaB!CQ70&gt;0,DaB!CQ70-MAX(DaB!CN70:CP70),0))</f>
        <v>0</v>
      </c>
      <c r="BQ70" s="34">
        <f>IF(BS70=0,0,MIN(DaB!$CS70:$CT70)-SUM($C70:BP70))</f>
        <v>0</v>
      </c>
      <c r="BR70" s="29">
        <f>IF(BS70=0,0,IF(DaB!CS70&gt;0,DaB!CT70-DaB!CS70,0))</f>
        <v>0</v>
      </c>
      <c r="BS70" s="33">
        <f>IF(DaB!CU70&gt;0,DaB!CU70-DaB!CT70+1,0)</f>
        <v>0</v>
      </c>
      <c r="BT70" s="32">
        <f>IF(BS70=0,0,IF(DaB!CW70&gt;0,DaB!CW70-DaB!CV70+1,0))</f>
        <v>0</v>
      </c>
      <c r="BU70" s="30">
        <f>IF(BS70=0,0,IF(DaB!CX70&gt;0,DaB!CX70-MAX(DaB!CU70:CW70),0))</f>
        <v>0</v>
      </c>
      <c r="BV70" s="34">
        <f>IF(BX70=0,0,MIN(DaB!$CZ70:$DA70)-SUM($C70:BU70))</f>
        <v>0</v>
      </c>
      <c r="BW70" s="29">
        <f>IF(BX70=0,0,IF(DaB!CZ70&gt;0,DaB!DA70-DaB!CZ70,0))</f>
        <v>0</v>
      </c>
      <c r="BX70" s="33">
        <f>IF(DaB!DB70&gt;0,DaB!DB70-DaB!DA70+1,0)</f>
        <v>0</v>
      </c>
      <c r="BY70" s="32">
        <f>IF(BX70=0,0,IF(DaB!DD70&gt;0,DaB!DD70-DaB!DC70+1,0))</f>
        <v>0</v>
      </c>
      <c r="BZ70" s="30">
        <f>IF(BX70=0,0,IF(DaB!DE70&gt;0,DaB!DE70-MAX(DaB!DB70:DD70),0))</f>
        <v>0</v>
      </c>
      <c r="CA70" s="34">
        <f>IF(CC70=0,0,MIN(DaB!$DG70:$DH70)-SUM($C70:BZ70))</f>
        <v>0</v>
      </c>
      <c r="CB70" s="29">
        <f>IF(CC70=0,0,IF(DaB!DG70&gt;0,DaB!DH70-DaB!DG70,0))</f>
        <v>0</v>
      </c>
      <c r="CC70" s="33">
        <f>IF(DaB!DI70&gt;0,DaB!DI70-DaB!DH70+1,0)</f>
        <v>0</v>
      </c>
      <c r="CD70" s="32">
        <f>IF(CC70=0,0,IF(DaB!DK70&gt;0,DaB!DK70-DaB!DJ70+1,0))</f>
        <v>0</v>
      </c>
      <c r="CE70" s="30">
        <f>IF(CC70=0,0,IF(DaB!DL70&gt;0,DaB!DL70-MAX(DaB!DI70:DK70),0))</f>
        <v>0</v>
      </c>
      <c r="CF70" s="34">
        <f>IF(CH70=0,0,MIN(DaB!$DN70:$DO70)-SUM($C70:CE70))</f>
        <v>0</v>
      </c>
      <c r="CG70" s="29">
        <f>IF(CH70=0,0,IF(DaB!DN70&gt;0,DaB!DO70-DaB!DN70,0))</f>
        <v>0</v>
      </c>
      <c r="CH70" s="33">
        <f>IF(DaB!DP70&gt;0,DaB!DP70-DaB!DO70+1,0)</f>
        <v>0</v>
      </c>
      <c r="CI70" s="32">
        <f>IF(CH70=0,0,IF(DaB!DR70&gt;0,DaB!DR70-DaB!DQ70+1,0))</f>
        <v>0</v>
      </c>
      <c r="CJ70" s="30">
        <f>IF(CH70=0,0,IF(DaB!DS70&gt;0,DaB!DS70-MAX(DaB!DP70:DR70),0))</f>
        <v>0</v>
      </c>
      <c r="CK70" s="34">
        <f>IF(CM70=0,0,MIN(DaB!$DU70:$DV70)-SUM($C70:CJ70))</f>
        <v>0</v>
      </c>
      <c r="CL70" s="29">
        <f>IF(CM70=0,0,IF(DaB!DU70&gt;0,DaB!DV70-DaB!DU70,0))</f>
        <v>0</v>
      </c>
      <c r="CM70" s="33">
        <f>IF(DaB!DW70&gt;0,DaB!DW70-DaB!DV70+1,0)</f>
        <v>0</v>
      </c>
      <c r="CN70" s="32">
        <f>IF(CM70=0,0,IF(DaB!DY70&gt;0,DaB!DY70-DaB!DX70+1,0))</f>
        <v>0</v>
      </c>
      <c r="CO70" s="30">
        <f>IF(CM70=0,0,IF(DaB!DZ70&gt;0,DaB!DZ70-MAX(DaB!DW70:DY70),0))</f>
        <v>0</v>
      </c>
      <c r="CP70" s="34">
        <f>IF(CR70=0,0,MIN(DaB!$EB70:$EC70)-SUM($C70:CO70))</f>
        <v>0</v>
      </c>
      <c r="CQ70" s="29">
        <f>IF(CR70=0,0,IF(DaB!EB70&gt;0,DaB!EC70-DaB!EB70,0))</f>
        <v>0</v>
      </c>
      <c r="CR70" s="33">
        <f>IF(DaB!ED70&gt;0,DaB!ED70-DaB!EC70+1,0)</f>
        <v>0</v>
      </c>
      <c r="CS70" s="32">
        <f>IF(CR70=0,0,IF(DaB!EF70&gt;0,DaB!EF70-DaB!EE70+1,0))</f>
        <v>0</v>
      </c>
      <c r="CT70" s="30">
        <f>IF(CR70=0,0,IF(DaB!EG70&gt;0,DaB!EG70-MAX(DaB!ED70:EF70),0))</f>
        <v>0</v>
      </c>
      <c r="CU70" s="34">
        <f>IF(CW70=0,0,MIN(DaB!$EI70:$EJ70)-SUM($C70:CT70))</f>
        <v>0</v>
      </c>
      <c r="CV70" s="29">
        <f>IF(CW70=0,0,IF(DaB!EI70&gt;0,DaB!EJ70-DaB!EI70,0))</f>
        <v>0</v>
      </c>
      <c r="CW70" s="33">
        <f>IF(DaB!EK70&gt;0,DaB!EK70-DaB!EJ70+1,0)</f>
        <v>0</v>
      </c>
      <c r="CX70" s="32">
        <f>IF(CW70=0,0,IF(DaB!EM70&gt;0,DaB!EM70-DaB!EL70+1,0))</f>
        <v>0</v>
      </c>
      <c r="CY70" s="30">
        <f>IF(CW70=0,0,IF(DaB!EN70&gt;0,DaB!EN70-MAX(DaB!EK70:EM70),0))</f>
        <v>0</v>
      </c>
      <c r="DF70" s="2">
        <f t="shared" si="5"/>
        <v>45474</v>
      </c>
      <c r="DG70" s="28"/>
      <c r="DH70" s="29"/>
      <c r="DI70" s="10"/>
      <c r="DJ70" s="10"/>
      <c r="DK70" s="11"/>
      <c r="DL70" s="11"/>
      <c r="DM70" s="30"/>
      <c r="DN70" s="28"/>
      <c r="DO70" s="29"/>
      <c r="DP70" s="10"/>
      <c r="DQ70" s="10"/>
      <c r="DR70" s="11"/>
      <c r="DS70" s="11"/>
      <c r="DT70" s="30"/>
      <c r="DU70" s="28"/>
      <c r="DV70" s="29"/>
      <c r="DW70" s="10"/>
      <c r="DX70" s="10"/>
      <c r="DY70" s="11"/>
      <c r="DZ70" s="11"/>
      <c r="EA70" s="30"/>
      <c r="EB70" s="28"/>
      <c r="EC70" s="29"/>
      <c r="ED70" s="10"/>
      <c r="EE70" s="10"/>
      <c r="EF70" s="11"/>
      <c r="EG70" s="11"/>
      <c r="EH70" s="30"/>
      <c r="EI70" s="34"/>
      <c r="EJ70" s="29"/>
      <c r="EK70" s="10"/>
      <c r="EL70" s="10"/>
      <c r="EM70" s="30"/>
      <c r="EN70" s="34"/>
      <c r="EO70" s="29"/>
      <c r="EP70" s="47"/>
      <c r="EQ70" s="47"/>
      <c r="ER70" s="30"/>
      <c r="ES70" s="34"/>
      <c r="ET70" s="29"/>
      <c r="EU70" s="47"/>
      <c r="EV70" s="47"/>
      <c r="EW70" s="30"/>
    </row>
    <row r="71" spans="1:153" x14ac:dyDescent="0.2">
      <c r="A71" s="2" t="str">
        <f>DaB!A71</f>
        <v>Calendar 33</v>
      </c>
      <c r="B71" s="2" t="str">
        <f t="shared" si="6"/>
        <v>.</v>
      </c>
      <c r="C71" s="27">
        <f t="shared" si="1"/>
        <v>45474</v>
      </c>
      <c r="D71" s="34">
        <f>IFERROR(MIN(DaB!F71:K71)-C71,0)</f>
        <v>-45474</v>
      </c>
      <c r="E71" s="29">
        <f>IF(F71=0,0,IF(DaB!F71&gt;0,DaB!G71-DaB!F71,0))</f>
        <v>0</v>
      </c>
      <c r="F71" s="33">
        <f>IF(DaB!G71&gt;MAX(DaB!EV71,DaB!FJ71),DaB!H71-DaB!G71+1,
IF(DaB!H71&gt;0,DaB!H71-DaB!G71,0))</f>
        <v>0</v>
      </c>
      <c r="G71" s="32">
        <f>IF(F71=0,0,IF(DaB!J71&gt;0,DaB!J71-DaB!I71+1,0))</f>
        <v>0</v>
      </c>
      <c r="H71" s="30">
        <f>IF(F71=0,0,IF(DaB!K71&gt;0,DaB!K71-MAX(DaB!H71:J71),0))</f>
        <v>0</v>
      </c>
      <c r="I71" s="34">
        <f>IF(K71=0,0,MIN(DaB!$M71:$N71)-SUM($C71:H71))</f>
        <v>0</v>
      </c>
      <c r="J71" s="29">
        <f>IF(K71=0,0,IF(DaB!M71&gt;0,DaB!N71-DaB!M71,0))</f>
        <v>0</v>
      </c>
      <c r="K71" s="33">
        <f>IF(DaB!O71&gt;0,DaB!O71-DaB!N71+1,0)</f>
        <v>0</v>
      </c>
      <c r="L71" s="32">
        <f>IF(K71=0,0,IF(DaB!Q71&gt;0,DaB!Q71-DaB!P71+1,0))</f>
        <v>0</v>
      </c>
      <c r="M71" s="30">
        <f>IF(K71=0,0,IF(DaB!R71&gt;0,DaB!R71-MAX(DaB!O71:Q71),0))</f>
        <v>0</v>
      </c>
      <c r="N71" s="31">
        <f>IF(P71=0,0,MIN(DaB!$T71:$U71)-SUM($C71:M71))</f>
        <v>0</v>
      </c>
      <c r="O71" s="29">
        <f>IF(P71=0,0,IF(DaB!T71&gt;0,DaB!U71-DaB!T71,0))</f>
        <v>0</v>
      </c>
      <c r="P71" s="33">
        <f>IF(DaB!V71&gt;0,DaB!V71-DaB!U71+1,0)</f>
        <v>0</v>
      </c>
      <c r="Q71" s="32">
        <f>IF(P71=0,0,IF(DaB!X71&gt;0,DaB!X71-DaB!W71+1,0))</f>
        <v>0</v>
      </c>
      <c r="R71" s="30">
        <f>IF(P71=0,0,IF(DaB!Y71&gt;0,DaB!Y71-MAX(DaB!V71:X71),0))</f>
        <v>0</v>
      </c>
      <c r="S71" s="34">
        <f>IF(U71=0,0,MIN(DaB!$AA71:$AB71)-SUM($C71:R71))</f>
        <v>0</v>
      </c>
      <c r="T71" s="29">
        <f>IF(U71=0,0,IF(DaB!AA71&gt;0,DaB!AB71-DaB!AA71,0))</f>
        <v>0</v>
      </c>
      <c r="U71" s="33">
        <f>IF(DaB!AC71&gt;0,DaB!AC71-DaB!AB71+1,0)</f>
        <v>0</v>
      </c>
      <c r="V71" s="32">
        <f>IF(U71=0,0,IF(DaB!AE71&gt;0,DaB!AE71-DaB!AD71+1,0))</f>
        <v>0</v>
      </c>
      <c r="W71" s="30">
        <f>IF(U71=0,0,IF(DaB!AF71&gt;0,DaB!AF71-MAX(DaB!AC71:AE71),0))</f>
        <v>0</v>
      </c>
      <c r="X71" s="34">
        <f>IF(Z71=0,0,MIN(DaB!$AH71:$AI71)-SUM($C71:W71))</f>
        <v>0</v>
      </c>
      <c r="Y71" s="29">
        <f>IF(Z71=0,0,IF(DaB!AH71&gt;0,DaB!AI71-DaB!AH71,0))</f>
        <v>0</v>
      </c>
      <c r="Z71" s="33">
        <f>IF(DaB!AJ71&gt;0,DaB!AJ71-DaB!AI71+1,0)</f>
        <v>0</v>
      </c>
      <c r="AA71" s="32">
        <f>IF(Z71=0,0,IF(DaB!AL71&gt;0,DaB!AL71-DaB!AK71+1,0))</f>
        <v>0</v>
      </c>
      <c r="AB71" s="30">
        <f>IF(Z71=0,0,IF(DaB!AM71&gt;0,DaB!AM71-MAX(DaB!AJ71:AL71),0))</f>
        <v>0</v>
      </c>
      <c r="AC71" s="34">
        <f>IF(AE71=0,0,MIN(DaB!$AO71:$AP71)-SUM($C71:AB71))</f>
        <v>0</v>
      </c>
      <c r="AD71" s="29">
        <f>IF(AE71=0,0,IF(DaB!AO71&gt;0,DaB!AP71-DaB!AO71,0))</f>
        <v>0</v>
      </c>
      <c r="AE71" s="33">
        <f>IF(DaB!AQ71&gt;0,DaB!AQ71-DaB!AP71+1,0)</f>
        <v>0</v>
      </c>
      <c r="AF71" s="32">
        <f>IF(AE71=0,0,IF(DaB!AS71&gt;0,DaB!AS71-DaB!AR71+1,0))</f>
        <v>0</v>
      </c>
      <c r="AG71" s="30">
        <f>IF(AE71=0,0,IF(DaB!AT71&gt;0,DaB!AT71-MAX(DaB!AQ71:AS71),0))</f>
        <v>0</v>
      </c>
      <c r="AH71" s="34">
        <f>IF(AJ71=0,0,MIN(DaB!$AV71:$AW71)-SUM($C71:AG71))</f>
        <v>0</v>
      </c>
      <c r="AI71" s="29">
        <f>IF(AJ71=0,0,IF(DaB!AV71&gt;0,DaB!AW71-DaB!AV71,0))</f>
        <v>0</v>
      </c>
      <c r="AJ71" s="33">
        <f>IF(DaB!AX71&gt;0,DaB!AX71-DaB!AW71+1,0)</f>
        <v>0</v>
      </c>
      <c r="AK71" s="32">
        <f>IF(AJ71=0,0,IF(DaB!AZ71&gt;0,DaB!AZ71-DaB!AY71+1,0))</f>
        <v>0</v>
      </c>
      <c r="AL71" s="30">
        <f>IF(AJ71=0,0,IF(DaB!BA71&gt;0,DaB!BA71-MAX(DaB!AX71:AZ71),0))</f>
        <v>0</v>
      </c>
      <c r="AM71" s="34">
        <f>IF(AO71=0,0,MIN(DaB!$BC71:$BD71)-SUM($C71:AL71))</f>
        <v>0</v>
      </c>
      <c r="AN71" s="29">
        <f>IF(AO71=0,0,IF(DaB!BC71&gt;0,DaB!BD71-DaB!BC71,0))</f>
        <v>0</v>
      </c>
      <c r="AO71" s="33">
        <f>IF(DaB!BE71&gt;0,DaB!BE71-DaB!BD71+1,0)</f>
        <v>0</v>
      </c>
      <c r="AP71" s="32">
        <f>IF(AO71=0,0,IF(DaB!BG71&gt;0,DaB!BG71-DaB!BF71+1,0))</f>
        <v>0</v>
      </c>
      <c r="AQ71" s="30">
        <f>IF(AO71=0,0,IF(DaB!BH71&gt;0,DaB!BH71-MAX(DaB!BE71:BG71),0))</f>
        <v>0</v>
      </c>
      <c r="AR71" s="34">
        <f>IF(AT71=0,0,MIN(DaB!$BJ71:$BK71)-SUM($C71:AQ71))</f>
        <v>0</v>
      </c>
      <c r="AS71" s="29">
        <f>IF(AT71=0,0,IF(DaB!BJ71&gt;0,DaB!BK71-DaB!BJ71,0))</f>
        <v>0</v>
      </c>
      <c r="AT71" s="33">
        <f>IF(DaB!BL71&gt;0,DaB!BL71-DaB!BK71+1,0)</f>
        <v>0</v>
      </c>
      <c r="AU71" s="32">
        <f>IF(AT71=0,0,IF(DaB!BN71&gt;0,DaB!BN71-DaB!BM71+1,0))</f>
        <v>0</v>
      </c>
      <c r="AV71" s="30">
        <f>IF(AT71=0,0,IF(DaB!BO71&gt;0,DaB!BO71-MAX(DaB!BL71:BN71),0))</f>
        <v>0</v>
      </c>
      <c r="AW71" s="34">
        <f>IF(AY71=0,0,MIN(DaB!$BQ71:$BR71)-SUM($C71:AV71))</f>
        <v>0</v>
      </c>
      <c r="AX71" s="29">
        <f>IF(AY71=0,0,IF(DaB!BQ71&gt;0,DaB!BR71-DaB!BQ71,0))</f>
        <v>0</v>
      </c>
      <c r="AY71" s="33">
        <f>IF(DaB!BS71&gt;0,DaB!BS71-DaB!BR71+1,0)</f>
        <v>0</v>
      </c>
      <c r="AZ71" s="32">
        <f>IF(AY71=0,0,IF(DaB!BU71&gt;0,DaB!BU71-DaB!BT71+1,0))</f>
        <v>0</v>
      </c>
      <c r="BA71" s="30">
        <f>IF(AY71=0,0,IF(DaB!BV71&gt;0,DaB!BV71-MAX(DaB!BS71:BU71),0))</f>
        <v>0</v>
      </c>
      <c r="BB71" s="34">
        <f>IF(BD71=0,0,MIN(DaB!$BX71:$BY71)-SUM($C71:BA71))</f>
        <v>0</v>
      </c>
      <c r="BC71" s="29">
        <f>IF(BD71=0,0,IF(DaB!BX71&gt;0,DaB!BY71-DaB!BX71,0))</f>
        <v>0</v>
      </c>
      <c r="BD71" s="33">
        <f>IF(DaB!BZ71&gt;0,DaB!BZ71-DaB!BY71+1,0)</f>
        <v>0</v>
      </c>
      <c r="BE71" s="32">
        <f>IF(BD71=0,0,IF(DaB!CB71&gt;0,DaB!CB71-DaB!CA71+1,0))</f>
        <v>0</v>
      </c>
      <c r="BF71" s="30">
        <f>IF(BD71=0,0,IF(DaB!CC71&gt;0,DaB!CC71-MAX(DaB!BZ71:CB71),0))</f>
        <v>0</v>
      </c>
      <c r="BG71" s="34">
        <f>IF(BI71=0,0,MIN(DaB!$CE71:$CF71)-SUM($C71:BF71))</f>
        <v>0</v>
      </c>
      <c r="BH71" s="29">
        <f>IF(BI71=0,0,IF(DaB!CE71&gt;0,DaB!CF71-DaB!CE71,0))</f>
        <v>0</v>
      </c>
      <c r="BI71" s="33">
        <f>IF(DaB!CG71&gt;0,DaB!CG71-DaB!CF71+1,0)</f>
        <v>0</v>
      </c>
      <c r="BJ71" s="32">
        <f>IF(BI71=0,0,IF(DaB!CI71&gt;0,DaB!CI71-DaB!CH71+1,0))</f>
        <v>0</v>
      </c>
      <c r="BK71" s="30">
        <f>IF(BI71=0,0,IF(DaB!CJ71&gt;0,DaB!CJ71-MAX(DaB!CG71:CI71),0))</f>
        <v>0</v>
      </c>
      <c r="BL71" s="34">
        <f>IF(BN71=0,0,MIN(DaB!$CL71:$CM71)-SUM($C71:BK71))</f>
        <v>0</v>
      </c>
      <c r="BM71" s="29">
        <f>IF(BN71=0,0,IF(DaB!CL71&gt;0,DaB!CM71-DaB!CL71,0))</f>
        <v>0</v>
      </c>
      <c r="BN71" s="33">
        <f>IF(DaB!CN71&gt;0,DaB!CN71-DaB!CM71+1,0)</f>
        <v>0</v>
      </c>
      <c r="BO71" s="32">
        <f>IF(BN71=0,0,IF(DaB!CP71&gt;0,DaB!CP71-DaB!CO71+1,0))</f>
        <v>0</v>
      </c>
      <c r="BP71" s="30">
        <f>IF(BN71=0,0,IF(DaB!CQ71&gt;0,DaB!CQ71-MAX(DaB!CN71:CP71),0))</f>
        <v>0</v>
      </c>
      <c r="BQ71" s="34">
        <f>IF(BS71=0,0,MIN(DaB!$CS71:$CT71)-SUM($C71:BP71))</f>
        <v>0</v>
      </c>
      <c r="BR71" s="29">
        <f>IF(BS71=0,0,IF(DaB!CS71&gt;0,DaB!CT71-DaB!CS71,0))</f>
        <v>0</v>
      </c>
      <c r="BS71" s="33">
        <f>IF(DaB!CU71&gt;0,DaB!CU71-DaB!CT71+1,0)</f>
        <v>0</v>
      </c>
      <c r="BT71" s="32">
        <f>IF(BS71=0,0,IF(DaB!CW71&gt;0,DaB!CW71-DaB!CV71+1,0))</f>
        <v>0</v>
      </c>
      <c r="BU71" s="30">
        <f>IF(BS71=0,0,IF(DaB!CX71&gt;0,DaB!CX71-MAX(DaB!CU71:CW71),0))</f>
        <v>0</v>
      </c>
      <c r="BV71" s="34">
        <f>IF(BX71=0,0,MIN(DaB!$CZ71:$DA71)-SUM($C71:BU71))</f>
        <v>0</v>
      </c>
      <c r="BW71" s="29">
        <f>IF(BX71=0,0,IF(DaB!CZ71&gt;0,DaB!DA71-DaB!CZ71,0))</f>
        <v>0</v>
      </c>
      <c r="BX71" s="33">
        <f>IF(DaB!DB71&gt;0,DaB!DB71-DaB!DA71+1,0)</f>
        <v>0</v>
      </c>
      <c r="BY71" s="32">
        <f>IF(BX71=0,0,IF(DaB!DD71&gt;0,DaB!DD71-DaB!DC71+1,0))</f>
        <v>0</v>
      </c>
      <c r="BZ71" s="30">
        <f>IF(BX71=0,0,IF(DaB!DE71&gt;0,DaB!DE71-MAX(DaB!DB71:DD71),0))</f>
        <v>0</v>
      </c>
      <c r="CA71" s="34">
        <f>IF(CC71=0,0,MIN(DaB!$DG71:$DH71)-SUM($C71:BZ71))</f>
        <v>0</v>
      </c>
      <c r="CB71" s="29">
        <f>IF(CC71=0,0,IF(DaB!DG71&gt;0,DaB!DH71-DaB!DG71,0))</f>
        <v>0</v>
      </c>
      <c r="CC71" s="33">
        <f>IF(DaB!DI71&gt;0,DaB!DI71-DaB!DH71+1,0)</f>
        <v>0</v>
      </c>
      <c r="CD71" s="32">
        <f>IF(CC71=0,0,IF(DaB!DK71&gt;0,DaB!DK71-DaB!DJ71+1,0))</f>
        <v>0</v>
      </c>
      <c r="CE71" s="30">
        <f>IF(CC71=0,0,IF(DaB!DL71&gt;0,DaB!DL71-MAX(DaB!DI71:DK71),0))</f>
        <v>0</v>
      </c>
      <c r="CF71" s="34">
        <f>IF(CH71=0,0,MIN(DaB!$DN71:$DO71)-SUM($C71:CE71))</f>
        <v>0</v>
      </c>
      <c r="CG71" s="29">
        <f>IF(CH71=0,0,IF(DaB!DN71&gt;0,DaB!DO71-DaB!DN71,0))</f>
        <v>0</v>
      </c>
      <c r="CH71" s="33">
        <f>IF(DaB!DP71&gt;0,DaB!DP71-DaB!DO71+1,0)</f>
        <v>0</v>
      </c>
      <c r="CI71" s="32">
        <f>IF(CH71=0,0,IF(DaB!DR71&gt;0,DaB!DR71-DaB!DQ71+1,0))</f>
        <v>0</v>
      </c>
      <c r="CJ71" s="30">
        <f>IF(CH71=0,0,IF(DaB!DS71&gt;0,DaB!DS71-MAX(DaB!DP71:DR71),0))</f>
        <v>0</v>
      </c>
      <c r="CK71" s="34">
        <f>IF(CM71=0,0,MIN(DaB!$DU71:$DV71)-SUM($C71:CJ71))</f>
        <v>0</v>
      </c>
      <c r="CL71" s="29">
        <f>IF(CM71=0,0,IF(DaB!DU71&gt;0,DaB!DV71-DaB!DU71,0))</f>
        <v>0</v>
      </c>
      <c r="CM71" s="33">
        <f>IF(DaB!DW71&gt;0,DaB!DW71-DaB!DV71+1,0)</f>
        <v>0</v>
      </c>
      <c r="CN71" s="32">
        <f>IF(CM71=0,0,IF(DaB!DY71&gt;0,DaB!DY71-DaB!DX71+1,0))</f>
        <v>0</v>
      </c>
      <c r="CO71" s="30">
        <f>IF(CM71=0,0,IF(DaB!DZ71&gt;0,DaB!DZ71-MAX(DaB!DW71:DY71),0))</f>
        <v>0</v>
      </c>
      <c r="CP71" s="34">
        <f>IF(CR71=0,0,MIN(DaB!$EB71:$EC71)-SUM($C71:CO71))</f>
        <v>0</v>
      </c>
      <c r="CQ71" s="29">
        <f>IF(CR71=0,0,IF(DaB!EB71&gt;0,DaB!EC71-DaB!EB71,0))</f>
        <v>0</v>
      </c>
      <c r="CR71" s="33">
        <f>IF(DaB!ED71&gt;0,DaB!ED71-DaB!EC71+1,0)</f>
        <v>0</v>
      </c>
      <c r="CS71" s="32">
        <f>IF(CR71=0,0,IF(DaB!EF71&gt;0,DaB!EF71-DaB!EE71+1,0))</f>
        <v>0</v>
      </c>
      <c r="CT71" s="30">
        <f>IF(CR71=0,0,IF(DaB!EG71&gt;0,DaB!EG71-MAX(DaB!ED71:EF71),0))</f>
        <v>0</v>
      </c>
      <c r="CU71" s="34">
        <f>IF(CW71=0,0,MIN(DaB!$EI71:$EJ71)-SUM($C71:CT71))</f>
        <v>0</v>
      </c>
      <c r="CV71" s="29">
        <f>IF(CW71=0,0,IF(DaB!EI71&gt;0,DaB!EJ71-DaB!EI71,0))</f>
        <v>0</v>
      </c>
      <c r="CW71" s="33">
        <f>IF(DaB!EK71&gt;0,DaB!EK71-DaB!EJ71+1,0)</f>
        <v>0</v>
      </c>
      <c r="CX71" s="32">
        <f>IF(CW71=0,0,IF(DaB!EM71&gt;0,DaB!EM71-DaB!EL71+1,0))</f>
        <v>0</v>
      </c>
      <c r="CY71" s="30">
        <f>IF(CW71=0,0,IF(DaB!EN71&gt;0,DaB!EN71-MAX(DaB!EK71:EM71),0))</f>
        <v>0</v>
      </c>
      <c r="DF71" s="2">
        <f t="shared" si="5"/>
        <v>45474</v>
      </c>
      <c r="DG71" s="28"/>
      <c r="DH71" s="29"/>
      <c r="DI71" s="10"/>
      <c r="DJ71" s="10"/>
      <c r="DK71" s="11"/>
      <c r="DL71" s="11"/>
      <c r="DM71" s="30"/>
      <c r="DN71" s="28"/>
      <c r="DO71" s="29"/>
      <c r="DP71" s="10"/>
      <c r="DQ71" s="10"/>
      <c r="DR71" s="11"/>
      <c r="DS71" s="11"/>
      <c r="DT71" s="30"/>
      <c r="DU71" s="28"/>
      <c r="DV71" s="29"/>
      <c r="DW71" s="10"/>
      <c r="DX71" s="10"/>
      <c r="DY71" s="11"/>
      <c r="DZ71" s="11"/>
      <c r="EA71" s="30"/>
      <c r="EB71" s="28"/>
      <c r="EC71" s="29"/>
      <c r="ED71" s="10"/>
      <c r="EE71" s="10"/>
      <c r="EF71" s="11"/>
      <c r="EG71" s="11"/>
      <c r="EH71" s="30"/>
      <c r="EI71" s="34"/>
      <c r="EJ71" s="29"/>
      <c r="EK71" s="10"/>
      <c r="EL71" s="10"/>
      <c r="EM71" s="30"/>
      <c r="EN71" s="34"/>
      <c r="EO71" s="29"/>
      <c r="EP71" s="47"/>
      <c r="EQ71" s="47"/>
      <c r="ER71" s="30"/>
      <c r="ES71" s="34"/>
      <c r="ET71" s="29"/>
      <c r="EU71" s="47"/>
      <c r="EV71" s="47"/>
      <c r="EW71" s="30"/>
    </row>
    <row r="72" spans="1:153" x14ac:dyDescent="0.2">
      <c r="A72" s="2" t="str">
        <f>DaB!A72</f>
        <v>Calendar 34</v>
      </c>
      <c r="B72" s="2" t="str">
        <f t="shared" si="6"/>
        <v>.</v>
      </c>
      <c r="C72" s="27">
        <f t="shared" si="1"/>
        <v>45474</v>
      </c>
      <c r="D72" s="34">
        <f>IFERROR(MIN(DaB!F72:K72)-C72,0)</f>
        <v>-45474</v>
      </c>
      <c r="E72" s="29">
        <f>IF(F72=0,0,IF(DaB!F72&gt;0,DaB!G72-DaB!F72,0))</f>
        <v>0</v>
      </c>
      <c r="F72" s="33">
        <f>IF(DaB!G72&gt;MAX(DaB!EV72,DaB!FJ72),DaB!H72-DaB!G72+1,
IF(DaB!H72&gt;0,DaB!H72-DaB!G72,0))</f>
        <v>0</v>
      </c>
      <c r="G72" s="32">
        <f>IF(F72=0,0,IF(DaB!J72&gt;0,DaB!J72-DaB!I72+1,0))</f>
        <v>0</v>
      </c>
      <c r="H72" s="30">
        <f>IF(F72=0,0,IF(DaB!K72&gt;0,DaB!K72-MAX(DaB!H72:J72),0))</f>
        <v>0</v>
      </c>
      <c r="I72" s="34">
        <f>IF(K72=0,0,MIN(DaB!$M72:$N72)-SUM($C72:H72))</f>
        <v>0</v>
      </c>
      <c r="J72" s="29">
        <f>IF(K72=0,0,IF(DaB!M72&gt;0,DaB!N72-DaB!M72,0))</f>
        <v>0</v>
      </c>
      <c r="K72" s="33">
        <f>IF(DaB!O72&gt;0,DaB!O72-DaB!N72+1,0)</f>
        <v>0</v>
      </c>
      <c r="L72" s="32">
        <f>IF(K72=0,0,IF(DaB!Q72&gt;0,DaB!Q72-DaB!P72+1,0))</f>
        <v>0</v>
      </c>
      <c r="M72" s="30">
        <f>IF(K72=0,0,IF(DaB!R72&gt;0,DaB!R72-MAX(DaB!O72:Q72),0))</f>
        <v>0</v>
      </c>
      <c r="N72" s="31">
        <f>IF(P72=0,0,MIN(DaB!$T72:$U72)-SUM($C72:M72))</f>
        <v>0</v>
      </c>
      <c r="O72" s="29">
        <f>IF(P72=0,0,IF(DaB!T72&gt;0,DaB!U72-DaB!T72,0))</f>
        <v>0</v>
      </c>
      <c r="P72" s="33">
        <f>IF(DaB!V72&gt;0,DaB!V72-DaB!U72+1,0)</f>
        <v>0</v>
      </c>
      <c r="Q72" s="32">
        <f>IF(P72=0,0,IF(DaB!X72&gt;0,DaB!X72-DaB!W72+1,0))</f>
        <v>0</v>
      </c>
      <c r="R72" s="30">
        <f>IF(P72=0,0,IF(DaB!Y72&gt;0,DaB!Y72-MAX(DaB!V72:X72),0))</f>
        <v>0</v>
      </c>
      <c r="S72" s="34">
        <f>IF(U72=0,0,MIN(DaB!$AA72:$AB72)-SUM($C72:R72))</f>
        <v>0</v>
      </c>
      <c r="T72" s="29">
        <f>IF(U72=0,0,IF(DaB!AA72&gt;0,DaB!AB72-DaB!AA72,0))</f>
        <v>0</v>
      </c>
      <c r="U72" s="33">
        <f>IF(DaB!AC72&gt;0,DaB!AC72-DaB!AB72+1,0)</f>
        <v>0</v>
      </c>
      <c r="V72" s="32">
        <f>IF(U72=0,0,IF(DaB!AE72&gt;0,DaB!AE72-DaB!AD72+1,0))</f>
        <v>0</v>
      </c>
      <c r="W72" s="30">
        <f>IF(U72=0,0,IF(DaB!AF72&gt;0,DaB!AF72-MAX(DaB!AC72:AE72),0))</f>
        <v>0</v>
      </c>
      <c r="X72" s="34">
        <f>IF(Z72=0,0,MIN(DaB!$AH72:$AI72)-SUM($C72:W72))</f>
        <v>0</v>
      </c>
      <c r="Y72" s="29">
        <f>IF(Z72=0,0,IF(DaB!AH72&gt;0,DaB!AI72-DaB!AH72,0))</f>
        <v>0</v>
      </c>
      <c r="Z72" s="33">
        <f>IF(DaB!AJ72&gt;0,DaB!AJ72-DaB!AI72+1,0)</f>
        <v>0</v>
      </c>
      <c r="AA72" s="32">
        <f>IF(Z72=0,0,IF(DaB!AL72&gt;0,DaB!AL72-DaB!AK72+1,0))</f>
        <v>0</v>
      </c>
      <c r="AB72" s="30">
        <f>IF(Z72=0,0,IF(DaB!AM72&gt;0,DaB!AM72-MAX(DaB!AJ72:AL72),0))</f>
        <v>0</v>
      </c>
      <c r="AC72" s="34">
        <f>IF(AE72=0,0,MIN(DaB!$AO72:$AP72)-SUM($C72:AB72))</f>
        <v>0</v>
      </c>
      <c r="AD72" s="29">
        <f>IF(AE72=0,0,IF(DaB!AO72&gt;0,DaB!AP72-DaB!AO72,0))</f>
        <v>0</v>
      </c>
      <c r="AE72" s="33">
        <f>IF(DaB!AQ72&gt;0,DaB!AQ72-DaB!AP72+1,0)</f>
        <v>0</v>
      </c>
      <c r="AF72" s="32">
        <f>IF(AE72=0,0,IF(DaB!AS72&gt;0,DaB!AS72-DaB!AR72+1,0))</f>
        <v>0</v>
      </c>
      <c r="AG72" s="30">
        <f>IF(AE72=0,0,IF(DaB!AT72&gt;0,DaB!AT72-MAX(DaB!AQ72:AS72),0))</f>
        <v>0</v>
      </c>
      <c r="AH72" s="34">
        <f>IF(AJ72=0,0,MIN(DaB!$AV72:$AW72)-SUM($C72:AG72))</f>
        <v>0</v>
      </c>
      <c r="AI72" s="29">
        <f>IF(AJ72=0,0,IF(DaB!AV72&gt;0,DaB!AW72-DaB!AV72,0))</f>
        <v>0</v>
      </c>
      <c r="AJ72" s="33">
        <f>IF(DaB!AX72&gt;0,DaB!AX72-DaB!AW72+1,0)</f>
        <v>0</v>
      </c>
      <c r="AK72" s="32">
        <f>IF(AJ72=0,0,IF(DaB!AZ72&gt;0,DaB!AZ72-DaB!AY72+1,0))</f>
        <v>0</v>
      </c>
      <c r="AL72" s="30">
        <f>IF(AJ72=0,0,IF(DaB!BA72&gt;0,DaB!BA72-MAX(DaB!AX72:AZ72),0))</f>
        <v>0</v>
      </c>
      <c r="AM72" s="34">
        <f>IF(AO72=0,0,MIN(DaB!$BC72:$BD72)-SUM($C72:AL72))</f>
        <v>0</v>
      </c>
      <c r="AN72" s="29">
        <f>IF(AO72=0,0,IF(DaB!BC72&gt;0,DaB!BD72-DaB!BC72,0))</f>
        <v>0</v>
      </c>
      <c r="AO72" s="33">
        <f>IF(DaB!BE72&gt;0,DaB!BE72-DaB!BD72+1,0)</f>
        <v>0</v>
      </c>
      <c r="AP72" s="32">
        <f>IF(AO72=0,0,IF(DaB!BG72&gt;0,DaB!BG72-DaB!BF72+1,0))</f>
        <v>0</v>
      </c>
      <c r="AQ72" s="30">
        <f>IF(AO72=0,0,IF(DaB!BH72&gt;0,DaB!BH72-MAX(DaB!BE72:BG72),0))</f>
        <v>0</v>
      </c>
      <c r="AR72" s="34">
        <f>IF(AT72=0,0,MIN(DaB!$BJ72:$BK72)-SUM($C72:AQ72))</f>
        <v>0</v>
      </c>
      <c r="AS72" s="29">
        <f>IF(AT72=0,0,IF(DaB!BJ72&gt;0,DaB!BK72-DaB!BJ72,0))</f>
        <v>0</v>
      </c>
      <c r="AT72" s="33">
        <f>IF(DaB!BL72&gt;0,DaB!BL72-DaB!BK72+1,0)</f>
        <v>0</v>
      </c>
      <c r="AU72" s="32">
        <f>IF(AT72=0,0,IF(DaB!BN72&gt;0,DaB!BN72-DaB!BM72+1,0))</f>
        <v>0</v>
      </c>
      <c r="AV72" s="30">
        <f>IF(AT72=0,0,IF(DaB!BO72&gt;0,DaB!BO72-MAX(DaB!BL72:BN72),0))</f>
        <v>0</v>
      </c>
      <c r="AW72" s="34">
        <f>IF(AY72=0,0,MIN(DaB!$BQ72:$BR72)-SUM($C72:AV72))</f>
        <v>0</v>
      </c>
      <c r="AX72" s="29">
        <f>IF(AY72=0,0,IF(DaB!BQ72&gt;0,DaB!BR72-DaB!BQ72,0))</f>
        <v>0</v>
      </c>
      <c r="AY72" s="33">
        <f>IF(DaB!BS72&gt;0,DaB!BS72-DaB!BR72+1,0)</f>
        <v>0</v>
      </c>
      <c r="AZ72" s="32">
        <f>IF(AY72=0,0,IF(DaB!BU72&gt;0,DaB!BU72-DaB!BT72+1,0))</f>
        <v>0</v>
      </c>
      <c r="BA72" s="30">
        <f>IF(AY72=0,0,IF(DaB!BV72&gt;0,DaB!BV72-MAX(DaB!BS72:BU72),0))</f>
        <v>0</v>
      </c>
      <c r="BB72" s="34">
        <f>IF(BD72=0,0,MIN(DaB!$BX72:$BY72)-SUM($C72:BA72))</f>
        <v>0</v>
      </c>
      <c r="BC72" s="29">
        <f>IF(BD72=0,0,IF(DaB!BX72&gt;0,DaB!BY72-DaB!BX72,0))</f>
        <v>0</v>
      </c>
      <c r="BD72" s="33">
        <f>IF(DaB!BZ72&gt;0,DaB!BZ72-DaB!BY72+1,0)</f>
        <v>0</v>
      </c>
      <c r="BE72" s="32">
        <f>IF(BD72=0,0,IF(DaB!CB72&gt;0,DaB!CB72-DaB!CA72+1,0))</f>
        <v>0</v>
      </c>
      <c r="BF72" s="30">
        <f>IF(BD72=0,0,IF(DaB!CC72&gt;0,DaB!CC72-MAX(DaB!BZ72:CB72),0))</f>
        <v>0</v>
      </c>
      <c r="BG72" s="34">
        <f>IF(BI72=0,0,MIN(DaB!$CE72:$CF72)-SUM($C72:BF72))</f>
        <v>0</v>
      </c>
      <c r="BH72" s="29">
        <f>IF(BI72=0,0,IF(DaB!CE72&gt;0,DaB!CF72-DaB!CE72,0))</f>
        <v>0</v>
      </c>
      <c r="BI72" s="33">
        <f>IF(DaB!CG72&gt;0,DaB!CG72-DaB!CF72+1,0)</f>
        <v>0</v>
      </c>
      <c r="BJ72" s="32">
        <f>IF(BI72=0,0,IF(DaB!CI72&gt;0,DaB!CI72-DaB!CH72+1,0))</f>
        <v>0</v>
      </c>
      <c r="BK72" s="30">
        <f>IF(BI72=0,0,IF(DaB!CJ72&gt;0,DaB!CJ72-MAX(DaB!CG72:CI72),0))</f>
        <v>0</v>
      </c>
      <c r="BL72" s="34">
        <f>IF(BN72=0,0,MIN(DaB!$CL72:$CM72)-SUM($C72:BK72))</f>
        <v>0</v>
      </c>
      <c r="BM72" s="29">
        <f>IF(BN72=0,0,IF(DaB!CL72&gt;0,DaB!CM72-DaB!CL72,0))</f>
        <v>0</v>
      </c>
      <c r="BN72" s="33">
        <f>IF(DaB!CN72&gt;0,DaB!CN72-DaB!CM72+1,0)</f>
        <v>0</v>
      </c>
      <c r="BO72" s="32">
        <f>IF(BN72=0,0,IF(DaB!CP72&gt;0,DaB!CP72-DaB!CO72+1,0))</f>
        <v>0</v>
      </c>
      <c r="BP72" s="30">
        <f>IF(BN72=0,0,IF(DaB!CQ72&gt;0,DaB!CQ72-MAX(DaB!CN72:CP72),0))</f>
        <v>0</v>
      </c>
      <c r="BQ72" s="34">
        <f>IF(BS72=0,0,MIN(DaB!$CS72:$CT72)-SUM($C72:BP72))</f>
        <v>0</v>
      </c>
      <c r="BR72" s="29">
        <f>IF(BS72=0,0,IF(DaB!CS72&gt;0,DaB!CT72-DaB!CS72,0))</f>
        <v>0</v>
      </c>
      <c r="BS72" s="33">
        <f>IF(DaB!CU72&gt;0,DaB!CU72-DaB!CT72+1,0)</f>
        <v>0</v>
      </c>
      <c r="BT72" s="32">
        <f>IF(BS72=0,0,IF(DaB!CW72&gt;0,DaB!CW72-DaB!CV72+1,0))</f>
        <v>0</v>
      </c>
      <c r="BU72" s="30">
        <f>IF(BS72=0,0,IF(DaB!CX72&gt;0,DaB!CX72-MAX(DaB!CU72:CW72),0))</f>
        <v>0</v>
      </c>
      <c r="BV72" s="34">
        <f>IF(BX72=0,0,MIN(DaB!$CZ72:$DA72)-SUM($C72:BU72))</f>
        <v>0</v>
      </c>
      <c r="BW72" s="29">
        <f>IF(BX72=0,0,IF(DaB!CZ72&gt;0,DaB!DA72-DaB!CZ72,0))</f>
        <v>0</v>
      </c>
      <c r="BX72" s="33">
        <f>IF(DaB!DB72&gt;0,DaB!DB72-DaB!DA72+1,0)</f>
        <v>0</v>
      </c>
      <c r="BY72" s="32">
        <f>IF(BX72=0,0,IF(DaB!DD72&gt;0,DaB!DD72-DaB!DC72+1,0))</f>
        <v>0</v>
      </c>
      <c r="BZ72" s="30">
        <f>IF(BX72=0,0,IF(DaB!DE72&gt;0,DaB!DE72-MAX(DaB!DB72:DD72),0))</f>
        <v>0</v>
      </c>
      <c r="CA72" s="34">
        <f>IF(CC72=0,0,MIN(DaB!$DG72:$DH72)-SUM($C72:BZ72))</f>
        <v>0</v>
      </c>
      <c r="CB72" s="29">
        <f>IF(CC72=0,0,IF(DaB!DG72&gt;0,DaB!DH72-DaB!DG72,0))</f>
        <v>0</v>
      </c>
      <c r="CC72" s="33">
        <f>IF(DaB!DI72&gt;0,DaB!DI72-DaB!DH72+1,0)</f>
        <v>0</v>
      </c>
      <c r="CD72" s="32">
        <f>IF(CC72=0,0,IF(DaB!DK72&gt;0,DaB!DK72-DaB!DJ72+1,0))</f>
        <v>0</v>
      </c>
      <c r="CE72" s="30">
        <f>IF(CC72=0,0,IF(DaB!DL72&gt;0,DaB!DL72-MAX(DaB!DI72:DK72),0))</f>
        <v>0</v>
      </c>
      <c r="CF72" s="34">
        <f>IF(CH72=0,0,MIN(DaB!$DN72:$DO72)-SUM($C72:CE72))</f>
        <v>0</v>
      </c>
      <c r="CG72" s="29">
        <f>IF(CH72=0,0,IF(DaB!DN72&gt;0,DaB!DO72-DaB!DN72,0))</f>
        <v>0</v>
      </c>
      <c r="CH72" s="33">
        <f>IF(DaB!DP72&gt;0,DaB!DP72-DaB!DO72+1,0)</f>
        <v>0</v>
      </c>
      <c r="CI72" s="32">
        <f>IF(CH72=0,0,IF(DaB!DR72&gt;0,DaB!DR72-DaB!DQ72+1,0))</f>
        <v>0</v>
      </c>
      <c r="CJ72" s="30">
        <f>IF(CH72=0,0,IF(DaB!DS72&gt;0,DaB!DS72-MAX(DaB!DP72:DR72),0))</f>
        <v>0</v>
      </c>
      <c r="CK72" s="34">
        <f>IF(CM72=0,0,MIN(DaB!$DU72:$DV72)-SUM($C72:CJ72))</f>
        <v>0</v>
      </c>
      <c r="CL72" s="29">
        <f>IF(CM72=0,0,IF(DaB!DU72&gt;0,DaB!DV72-DaB!DU72,0))</f>
        <v>0</v>
      </c>
      <c r="CM72" s="33">
        <f>IF(DaB!DW72&gt;0,DaB!DW72-DaB!DV72+1,0)</f>
        <v>0</v>
      </c>
      <c r="CN72" s="32">
        <f>IF(CM72=0,0,IF(DaB!DY72&gt;0,DaB!DY72-DaB!DX72+1,0))</f>
        <v>0</v>
      </c>
      <c r="CO72" s="30">
        <f>IF(CM72=0,0,IF(DaB!DZ72&gt;0,DaB!DZ72-MAX(DaB!DW72:DY72),0))</f>
        <v>0</v>
      </c>
      <c r="CP72" s="34">
        <f>IF(CR72=0,0,MIN(DaB!$EB72:$EC72)-SUM($C72:CO72))</f>
        <v>0</v>
      </c>
      <c r="CQ72" s="29">
        <f>IF(CR72=0,0,IF(DaB!EB72&gt;0,DaB!EC72-DaB!EB72,0))</f>
        <v>0</v>
      </c>
      <c r="CR72" s="33">
        <f>IF(DaB!ED72&gt;0,DaB!ED72-DaB!EC72+1,0)</f>
        <v>0</v>
      </c>
      <c r="CS72" s="32">
        <f>IF(CR72=0,0,IF(DaB!EF72&gt;0,DaB!EF72-DaB!EE72+1,0))</f>
        <v>0</v>
      </c>
      <c r="CT72" s="30">
        <f>IF(CR72=0,0,IF(DaB!EG72&gt;0,DaB!EG72-MAX(DaB!ED72:EF72),0))</f>
        <v>0</v>
      </c>
      <c r="CU72" s="34">
        <f>IF(CW72=0,0,MIN(DaB!$EI72:$EJ72)-SUM($C72:CT72))</f>
        <v>0</v>
      </c>
      <c r="CV72" s="29">
        <f>IF(CW72=0,0,IF(DaB!EI72&gt;0,DaB!EJ72-DaB!EI72,0))</f>
        <v>0</v>
      </c>
      <c r="CW72" s="33">
        <f>IF(DaB!EK72&gt;0,DaB!EK72-DaB!EJ72+1,0)</f>
        <v>0</v>
      </c>
      <c r="CX72" s="32">
        <f>IF(CW72=0,0,IF(DaB!EM72&gt;0,DaB!EM72-DaB!EL72+1,0))</f>
        <v>0</v>
      </c>
      <c r="CY72" s="30">
        <f>IF(CW72=0,0,IF(DaB!EN72&gt;0,DaB!EN72-MAX(DaB!EK72:EM72),0))</f>
        <v>0</v>
      </c>
      <c r="DF72" s="2">
        <f t="shared" si="5"/>
        <v>45474</v>
      </c>
      <c r="DG72" s="28"/>
      <c r="DH72" s="29"/>
      <c r="DI72" s="10"/>
      <c r="DJ72" s="10"/>
      <c r="DK72" s="11"/>
      <c r="DL72" s="11"/>
      <c r="DM72" s="30"/>
      <c r="DN72" s="28"/>
      <c r="DO72" s="29"/>
      <c r="DP72" s="10"/>
      <c r="DQ72" s="10"/>
      <c r="DR72" s="11"/>
      <c r="DS72" s="11"/>
      <c r="DT72" s="30"/>
      <c r="DU72" s="28"/>
      <c r="DV72" s="29"/>
      <c r="DW72" s="10"/>
      <c r="DX72" s="10"/>
      <c r="DY72" s="11"/>
      <c r="DZ72" s="11"/>
      <c r="EA72" s="30"/>
      <c r="EB72" s="28"/>
      <c r="EC72" s="29"/>
      <c r="ED72" s="10"/>
      <c r="EE72" s="10"/>
      <c r="EF72" s="11"/>
      <c r="EG72" s="11"/>
      <c r="EH72" s="30"/>
      <c r="EI72" s="34"/>
      <c r="EJ72" s="29"/>
      <c r="EK72" s="10"/>
      <c r="EL72" s="10"/>
      <c r="EM72" s="30"/>
      <c r="EN72" s="34"/>
      <c r="EO72" s="29"/>
      <c r="EP72" s="47"/>
      <c r="EQ72" s="47"/>
      <c r="ER72" s="30"/>
      <c r="ES72" s="34"/>
      <c r="ET72" s="29"/>
      <c r="EU72" s="47"/>
      <c r="EV72" s="47"/>
      <c r="EW72" s="30"/>
    </row>
    <row r="73" spans="1:153" x14ac:dyDescent="0.2">
      <c r="A73" s="2" t="str">
        <f>DaB!A73</f>
        <v>Calendar 34</v>
      </c>
      <c r="B73" s="2" t="str">
        <f t="shared" si="6"/>
        <v>.</v>
      </c>
      <c r="C73" s="27">
        <f t="shared" ref="C73:C83" si="7">$B$1</f>
        <v>45474</v>
      </c>
      <c r="D73" s="34">
        <f>IFERROR(MIN(DaB!F73:K73)-C73,0)</f>
        <v>-45474</v>
      </c>
      <c r="E73" s="29">
        <f>IF(F73=0,0,IF(DaB!F73&gt;0,DaB!G73-DaB!F73,0))</f>
        <v>0</v>
      </c>
      <c r="F73" s="33">
        <f>IF(DaB!G73&gt;MAX(DaB!EV73,DaB!FJ73),DaB!H73-DaB!G73+1,
IF(DaB!H73&gt;0,DaB!H73-DaB!G73,0))</f>
        <v>0</v>
      </c>
      <c r="G73" s="32">
        <f>IF(F73=0,0,IF(DaB!J73&gt;0,DaB!J73-DaB!I73+1,0))</f>
        <v>0</v>
      </c>
      <c r="H73" s="30">
        <f>IF(F73=0,0,IF(DaB!K73&gt;0,DaB!K73-MAX(DaB!H73:J73),0))</f>
        <v>0</v>
      </c>
      <c r="I73" s="34">
        <f>IF(K73=0,0,MIN(DaB!$M73:$N73)-SUM($C73:H73))</f>
        <v>0</v>
      </c>
      <c r="J73" s="29">
        <f>IF(K73=0,0,IF(DaB!M73&gt;0,DaB!N73-DaB!M73,0))</f>
        <v>0</v>
      </c>
      <c r="K73" s="33">
        <f>IF(DaB!O73&gt;0,DaB!O73-DaB!N73+1,0)</f>
        <v>0</v>
      </c>
      <c r="L73" s="32">
        <f>IF(K73=0,0,IF(DaB!Q73&gt;0,DaB!Q73-DaB!P73+1,0))</f>
        <v>0</v>
      </c>
      <c r="M73" s="30">
        <f>IF(K73=0,0,IF(DaB!R73&gt;0,DaB!R73-MAX(DaB!O73:Q73),0))</f>
        <v>0</v>
      </c>
      <c r="N73" s="31">
        <f>IF(P73=0,0,MIN(DaB!$T73:$U73)-SUM($C73:M73))</f>
        <v>0</v>
      </c>
      <c r="O73" s="29">
        <f>IF(P73=0,0,IF(DaB!T73&gt;0,DaB!U73-DaB!T73,0))</f>
        <v>0</v>
      </c>
      <c r="P73" s="33">
        <f>IF(DaB!V73&gt;0,DaB!V73-DaB!U73+1,0)</f>
        <v>0</v>
      </c>
      <c r="Q73" s="32">
        <f>IF(P73=0,0,IF(DaB!X73&gt;0,DaB!X73-DaB!W73+1,0))</f>
        <v>0</v>
      </c>
      <c r="R73" s="30">
        <f>IF(P73=0,0,IF(DaB!Y73&gt;0,DaB!Y73-MAX(DaB!V73:X73),0))</f>
        <v>0</v>
      </c>
      <c r="S73" s="34">
        <f>IF(U73=0,0,MIN(DaB!$AA73:$AB73)-SUM($C73:R73))</f>
        <v>0</v>
      </c>
      <c r="T73" s="29">
        <f>IF(U73=0,0,IF(DaB!AA73&gt;0,DaB!AB73-DaB!AA73,0))</f>
        <v>0</v>
      </c>
      <c r="U73" s="33">
        <f>IF(DaB!AC73&gt;0,DaB!AC73-DaB!AB73+1,0)</f>
        <v>0</v>
      </c>
      <c r="V73" s="32">
        <f>IF(U73=0,0,IF(DaB!AE73&gt;0,DaB!AE73-DaB!AD73+1,0))</f>
        <v>0</v>
      </c>
      <c r="W73" s="30">
        <f>IF(U73=0,0,IF(DaB!AF73&gt;0,DaB!AF73-MAX(DaB!AC73:AE73),0))</f>
        <v>0</v>
      </c>
      <c r="X73" s="34">
        <f>IF(Z73=0,0,MIN(DaB!$AH73:$AI73)-SUM($C73:W73))</f>
        <v>0</v>
      </c>
      <c r="Y73" s="29">
        <f>IF(Z73=0,0,IF(DaB!AH73&gt;0,DaB!AI73-DaB!AH73,0))</f>
        <v>0</v>
      </c>
      <c r="Z73" s="33">
        <f>IF(DaB!AJ73&gt;0,DaB!AJ73-DaB!AI73+1,0)</f>
        <v>0</v>
      </c>
      <c r="AA73" s="32">
        <f>IF(Z73=0,0,IF(DaB!AL73&gt;0,DaB!AL73-DaB!AK73+1,0))</f>
        <v>0</v>
      </c>
      <c r="AB73" s="30">
        <f>IF(Z73=0,0,IF(DaB!AM73&gt;0,DaB!AM73-MAX(DaB!AJ73:AL73),0))</f>
        <v>0</v>
      </c>
      <c r="AC73" s="34">
        <f>IF(AE73=0,0,MIN(DaB!$AO73:$AP73)-SUM($C73:AB73))</f>
        <v>0</v>
      </c>
      <c r="AD73" s="29">
        <f>IF(AE73=0,0,IF(DaB!AO73&gt;0,DaB!AP73-DaB!AO73,0))</f>
        <v>0</v>
      </c>
      <c r="AE73" s="33">
        <f>IF(DaB!AQ73&gt;0,DaB!AQ73-DaB!AP73+1,0)</f>
        <v>0</v>
      </c>
      <c r="AF73" s="32">
        <f>IF(AE73=0,0,IF(DaB!AS73&gt;0,DaB!AS73-DaB!AR73+1,0))</f>
        <v>0</v>
      </c>
      <c r="AG73" s="30">
        <f>IF(AE73=0,0,IF(DaB!AT73&gt;0,DaB!AT73-MAX(DaB!AQ73:AS73),0))</f>
        <v>0</v>
      </c>
      <c r="AH73" s="34">
        <f>IF(AJ73=0,0,MIN(DaB!$AV73:$AW73)-SUM($C73:AG73))</f>
        <v>0</v>
      </c>
      <c r="AI73" s="29">
        <f>IF(AJ73=0,0,IF(DaB!AV73&gt;0,DaB!AW73-DaB!AV73,0))</f>
        <v>0</v>
      </c>
      <c r="AJ73" s="33">
        <f>IF(DaB!AX73&gt;0,DaB!AX73-DaB!AW73+1,0)</f>
        <v>0</v>
      </c>
      <c r="AK73" s="32">
        <f>IF(AJ73=0,0,IF(DaB!AZ73&gt;0,DaB!AZ73-DaB!AY73+1,0))</f>
        <v>0</v>
      </c>
      <c r="AL73" s="30">
        <f>IF(AJ73=0,0,IF(DaB!BA73&gt;0,DaB!BA73-MAX(DaB!AX73:AZ73),0))</f>
        <v>0</v>
      </c>
      <c r="AM73" s="34">
        <f>IF(AO73=0,0,MIN(DaB!$BC73:$BD73)-SUM($C73:AL73))</f>
        <v>0</v>
      </c>
      <c r="AN73" s="29">
        <f>IF(AO73=0,0,IF(DaB!BC73&gt;0,DaB!BD73-DaB!BC73,0))</f>
        <v>0</v>
      </c>
      <c r="AO73" s="33">
        <f>IF(DaB!BE73&gt;0,DaB!BE73-DaB!BD73+1,0)</f>
        <v>0</v>
      </c>
      <c r="AP73" s="32">
        <f>IF(AO73=0,0,IF(DaB!BG73&gt;0,DaB!BG73-DaB!BF73+1,0))</f>
        <v>0</v>
      </c>
      <c r="AQ73" s="30">
        <f>IF(AO73=0,0,IF(DaB!BH73&gt;0,DaB!BH73-MAX(DaB!BE73:BG73),0))</f>
        <v>0</v>
      </c>
      <c r="AR73" s="34">
        <f>IF(AT73=0,0,MIN(DaB!$BJ73:$BK73)-SUM($C73:AQ73))</f>
        <v>0</v>
      </c>
      <c r="AS73" s="29">
        <f>IF(AT73=0,0,IF(DaB!BJ73&gt;0,DaB!BK73-DaB!BJ73,0))</f>
        <v>0</v>
      </c>
      <c r="AT73" s="33">
        <f>IF(DaB!BL73&gt;0,DaB!BL73-DaB!BK73+1,0)</f>
        <v>0</v>
      </c>
      <c r="AU73" s="32">
        <f>IF(AT73=0,0,IF(DaB!BN73&gt;0,DaB!BN73-DaB!BM73+1,0))</f>
        <v>0</v>
      </c>
      <c r="AV73" s="30">
        <f>IF(AT73=0,0,IF(DaB!BO73&gt;0,DaB!BO73-MAX(DaB!BL73:BN73),0))</f>
        <v>0</v>
      </c>
      <c r="AW73" s="34">
        <f>IF(AY73=0,0,MIN(DaB!$BQ73:$BR73)-SUM($C73:AV73))</f>
        <v>0</v>
      </c>
      <c r="AX73" s="29">
        <f>IF(AY73=0,0,IF(DaB!BQ73&gt;0,DaB!BR73-DaB!BQ73,0))</f>
        <v>0</v>
      </c>
      <c r="AY73" s="33">
        <f>IF(DaB!BS73&gt;0,DaB!BS73-DaB!BR73+1,0)</f>
        <v>0</v>
      </c>
      <c r="AZ73" s="32">
        <f>IF(AY73=0,0,IF(DaB!BU73&gt;0,DaB!BU73-DaB!BT73+1,0))</f>
        <v>0</v>
      </c>
      <c r="BA73" s="30">
        <f>IF(AY73=0,0,IF(DaB!BV73&gt;0,DaB!BV73-MAX(DaB!BS73:BU73),0))</f>
        <v>0</v>
      </c>
      <c r="BB73" s="34">
        <f>IF(BD73=0,0,MIN(DaB!$BX73:$BY73)-SUM($C73:BA73))</f>
        <v>0</v>
      </c>
      <c r="BC73" s="29">
        <f>IF(BD73=0,0,IF(DaB!BX73&gt;0,DaB!BY73-DaB!BX73,0))</f>
        <v>0</v>
      </c>
      <c r="BD73" s="33">
        <f>IF(DaB!BZ73&gt;0,DaB!BZ73-DaB!BY73+1,0)</f>
        <v>0</v>
      </c>
      <c r="BE73" s="32">
        <f>IF(BD73=0,0,IF(DaB!CB73&gt;0,DaB!CB73-DaB!CA73+1,0))</f>
        <v>0</v>
      </c>
      <c r="BF73" s="30">
        <f>IF(BD73=0,0,IF(DaB!CC73&gt;0,DaB!CC73-MAX(DaB!BZ73:CB73),0))</f>
        <v>0</v>
      </c>
      <c r="BG73" s="34">
        <f>IF(BI73=0,0,MIN(DaB!$CE73:$CF73)-SUM($C73:BF73))</f>
        <v>0</v>
      </c>
      <c r="BH73" s="29">
        <f>IF(BI73=0,0,IF(DaB!CE73&gt;0,DaB!CF73-DaB!CE73,0))</f>
        <v>0</v>
      </c>
      <c r="BI73" s="33">
        <f>IF(DaB!CG73&gt;0,DaB!CG73-DaB!CF73+1,0)</f>
        <v>0</v>
      </c>
      <c r="BJ73" s="32">
        <f>IF(BI73=0,0,IF(DaB!CI73&gt;0,DaB!CI73-DaB!CH73+1,0))</f>
        <v>0</v>
      </c>
      <c r="BK73" s="30">
        <f>IF(BI73=0,0,IF(DaB!CJ73&gt;0,DaB!CJ73-MAX(DaB!CG73:CI73),0))</f>
        <v>0</v>
      </c>
      <c r="BL73" s="34">
        <f>IF(BN73=0,0,MIN(DaB!$CL73:$CM73)-SUM($C73:BK73))</f>
        <v>0</v>
      </c>
      <c r="BM73" s="29">
        <f>IF(BN73=0,0,IF(DaB!CL73&gt;0,DaB!CM73-DaB!CL73,0))</f>
        <v>0</v>
      </c>
      <c r="BN73" s="33">
        <f>IF(DaB!CN73&gt;0,DaB!CN73-DaB!CM73+1,0)</f>
        <v>0</v>
      </c>
      <c r="BO73" s="32">
        <f>IF(BN73=0,0,IF(DaB!CP73&gt;0,DaB!CP73-DaB!CO73+1,0))</f>
        <v>0</v>
      </c>
      <c r="BP73" s="30">
        <f>IF(BN73=0,0,IF(DaB!CQ73&gt;0,DaB!CQ73-MAX(DaB!CN73:CP73),0))</f>
        <v>0</v>
      </c>
      <c r="BQ73" s="34">
        <f>IF(BS73=0,0,MIN(DaB!$CS73:$CT73)-SUM($C73:BP73))</f>
        <v>0</v>
      </c>
      <c r="BR73" s="29">
        <f>IF(BS73=0,0,IF(DaB!CS73&gt;0,DaB!CT73-DaB!CS73,0))</f>
        <v>0</v>
      </c>
      <c r="BS73" s="33">
        <f>IF(DaB!CU73&gt;0,DaB!CU73-DaB!CT73+1,0)</f>
        <v>0</v>
      </c>
      <c r="BT73" s="32">
        <f>IF(BS73=0,0,IF(DaB!CW73&gt;0,DaB!CW73-DaB!CV73+1,0))</f>
        <v>0</v>
      </c>
      <c r="BU73" s="30">
        <f>IF(BS73=0,0,IF(DaB!CX73&gt;0,DaB!CX73-MAX(DaB!CU73:CW73),0))</f>
        <v>0</v>
      </c>
      <c r="BV73" s="34">
        <f>IF(BX73=0,0,MIN(DaB!$CZ73:$DA73)-SUM($C73:BU73))</f>
        <v>0</v>
      </c>
      <c r="BW73" s="29">
        <f>IF(BX73=0,0,IF(DaB!CZ73&gt;0,DaB!DA73-DaB!CZ73,0))</f>
        <v>0</v>
      </c>
      <c r="BX73" s="33">
        <f>IF(DaB!DB73&gt;0,DaB!DB73-DaB!DA73+1,0)</f>
        <v>0</v>
      </c>
      <c r="BY73" s="32">
        <f>IF(BX73=0,0,IF(DaB!DD73&gt;0,DaB!DD73-DaB!DC73+1,0))</f>
        <v>0</v>
      </c>
      <c r="BZ73" s="30">
        <f>IF(BX73=0,0,IF(DaB!DE73&gt;0,DaB!DE73-MAX(DaB!DB73:DD73),0))</f>
        <v>0</v>
      </c>
      <c r="CA73" s="34">
        <f>IF(CC73=0,0,MIN(DaB!$DG73:$DH73)-SUM($C73:BZ73))</f>
        <v>0</v>
      </c>
      <c r="CB73" s="29">
        <f>IF(CC73=0,0,IF(DaB!DG73&gt;0,DaB!DH73-DaB!DG73,0))</f>
        <v>0</v>
      </c>
      <c r="CC73" s="33">
        <f>IF(DaB!DI73&gt;0,DaB!DI73-DaB!DH73+1,0)</f>
        <v>0</v>
      </c>
      <c r="CD73" s="32">
        <f>IF(CC73=0,0,IF(DaB!DK73&gt;0,DaB!DK73-DaB!DJ73+1,0))</f>
        <v>0</v>
      </c>
      <c r="CE73" s="30">
        <f>IF(CC73=0,0,IF(DaB!DL73&gt;0,DaB!DL73-MAX(DaB!DI73:DK73),0))</f>
        <v>0</v>
      </c>
      <c r="CF73" s="34">
        <f>IF(CH73=0,0,MIN(DaB!$DN73:$DO73)-SUM($C73:CE73))</f>
        <v>0</v>
      </c>
      <c r="CG73" s="29">
        <f>IF(CH73=0,0,IF(DaB!DN73&gt;0,DaB!DO73-DaB!DN73,0))</f>
        <v>0</v>
      </c>
      <c r="CH73" s="33">
        <f>IF(DaB!DP73&gt;0,DaB!DP73-DaB!DO73+1,0)</f>
        <v>0</v>
      </c>
      <c r="CI73" s="32">
        <f>IF(CH73=0,0,IF(DaB!DR73&gt;0,DaB!DR73-DaB!DQ73+1,0))</f>
        <v>0</v>
      </c>
      <c r="CJ73" s="30">
        <f>IF(CH73=0,0,IF(DaB!DS73&gt;0,DaB!DS73-MAX(DaB!DP73:DR73),0))</f>
        <v>0</v>
      </c>
      <c r="CK73" s="34">
        <f>IF(CM73=0,0,MIN(DaB!$DU73:$DV73)-SUM($C73:CJ73))</f>
        <v>0</v>
      </c>
      <c r="CL73" s="29">
        <f>IF(CM73=0,0,IF(DaB!DU73&gt;0,DaB!DV73-DaB!DU73,0))</f>
        <v>0</v>
      </c>
      <c r="CM73" s="33">
        <f>IF(DaB!DW73&gt;0,DaB!DW73-DaB!DV73+1,0)</f>
        <v>0</v>
      </c>
      <c r="CN73" s="32">
        <f>IF(CM73=0,0,IF(DaB!DY73&gt;0,DaB!DY73-DaB!DX73+1,0))</f>
        <v>0</v>
      </c>
      <c r="CO73" s="30">
        <f>IF(CM73=0,0,IF(DaB!DZ73&gt;0,DaB!DZ73-MAX(DaB!DW73:DY73),0))</f>
        <v>0</v>
      </c>
      <c r="CP73" s="34">
        <f>IF(CR73=0,0,MIN(DaB!$EB73:$EC73)-SUM($C73:CO73))</f>
        <v>0</v>
      </c>
      <c r="CQ73" s="29">
        <f>IF(CR73=0,0,IF(DaB!EB73&gt;0,DaB!EC73-DaB!EB73,0))</f>
        <v>0</v>
      </c>
      <c r="CR73" s="33">
        <f>IF(DaB!ED73&gt;0,DaB!ED73-DaB!EC73+1,0)</f>
        <v>0</v>
      </c>
      <c r="CS73" s="32">
        <f>IF(CR73=0,0,IF(DaB!EF73&gt;0,DaB!EF73-DaB!EE73+1,0))</f>
        <v>0</v>
      </c>
      <c r="CT73" s="30">
        <f>IF(CR73=0,0,IF(DaB!EG73&gt;0,DaB!EG73-MAX(DaB!ED73:EF73),0))</f>
        <v>0</v>
      </c>
      <c r="CU73" s="34">
        <f>IF(CW73=0,0,MIN(DaB!$EI73:$EJ73)-SUM($C73:CT73))</f>
        <v>0</v>
      </c>
      <c r="CV73" s="29">
        <f>IF(CW73=0,0,IF(DaB!EI73&gt;0,DaB!EJ73-DaB!EI73,0))</f>
        <v>0</v>
      </c>
      <c r="CW73" s="33">
        <f>IF(DaB!EK73&gt;0,DaB!EK73-DaB!EJ73+1,0)</f>
        <v>0</v>
      </c>
      <c r="CX73" s="32">
        <f>IF(CW73=0,0,IF(DaB!EM73&gt;0,DaB!EM73-DaB!EL73+1,0))</f>
        <v>0</v>
      </c>
      <c r="CY73" s="30">
        <f>IF(CW73=0,0,IF(DaB!EN73&gt;0,DaB!EN73-MAX(DaB!EK73:EM73),0))</f>
        <v>0</v>
      </c>
      <c r="DF73" s="2">
        <f t="shared" si="5"/>
        <v>45474</v>
      </c>
      <c r="DG73" s="28"/>
      <c r="DH73" s="29"/>
      <c r="DI73" s="10"/>
      <c r="DJ73" s="10"/>
      <c r="DK73" s="11"/>
      <c r="DL73" s="11"/>
      <c r="DM73" s="30"/>
      <c r="DN73" s="28"/>
      <c r="DO73" s="29"/>
      <c r="DP73" s="10"/>
      <c r="DQ73" s="10"/>
      <c r="DR73" s="11"/>
      <c r="DS73" s="11"/>
      <c r="DT73" s="30"/>
      <c r="DU73" s="28"/>
      <c r="DV73" s="29"/>
      <c r="DW73" s="10"/>
      <c r="DX73" s="10"/>
      <c r="DY73" s="11"/>
      <c r="DZ73" s="11"/>
      <c r="EA73" s="30"/>
      <c r="EB73" s="28"/>
      <c r="EC73" s="29"/>
      <c r="ED73" s="10"/>
      <c r="EE73" s="10"/>
      <c r="EF73" s="11"/>
      <c r="EG73" s="11"/>
      <c r="EH73" s="30"/>
      <c r="EI73" s="34"/>
      <c r="EJ73" s="29"/>
      <c r="EK73" s="10"/>
      <c r="EL73" s="10"/>
      <c r="EM73" s="30"/>
      <c r="EN73" s="34"/>
      <c r="EO73" s="29"/>
      <c r="EP73" s="47"/>
      <c r="EQ73" s="47"/>
      <c r="ER73" s="30"/>
      <c r="ES73" s="34"/>
      <c r="ET73" s="29"/>
      <c r="EU73" s="47"/>
      <c r="EV73" s="47"/>
      <c r="EW73" s="30"/>
    </row>
    <row r="74" spans="1:153" x14ac:dyDescent="0.2">
      <c r="A74" s="2" t="str">
        <f>DaB!A74</f>
        <v>Calendar 35</v>
      </c>
      <c r="B74" s="2" t="str">
        <f t="shared" si="6"/>
        <v>.</v>
      </c>
      <c r="C74" s="27">
        <f t="shared" si="7"/>
        <v>45474</v>
      </c>
      <c r="D74" s="34">
        <f>IFERROR(MIN(DaB!F74:K74)-C74,0)</f>
        <v>-45474</v>
      </c>
      <c r="E74" s="29">
        <f>IF(F74=0,0,IF(DaB!F74&gt;0,DaB!G74-DaB!F74,0))</f>
        <v>0</v>
      </c>
      <c r="F74" s="33">
        <f>IF(DaB!G74&gt;MAX(DaB!EV74,DaB!FJ74),DaB!H74-DaB!G74+1,
IF(DaB!H74&gt;0,DaB!H74-DaB!G74,0))</f>
        <v>0</v>
      </c>
      <c r="G74" s="32">
        <f>IF(F74=0,0,IF(DaB!J74&gt;0,DaB!J74-DaB!I74+1,0))</f>
        <v>0</v>
      </c>
      <c r="H74" s="30">
        <f>IF(F74=0,0,IF(DaB!K74&gt;0,DaB!K74-MAX(DaB!H74:J74),0))</f>
        <v>0</v>
      </c>
      <c r="I74" s="34">
        <f>IF(K74=0,0,MIN(DaB!$M74:$N74)-SUM($C74:H74))</f>
        <v>0</v>
      </c>
      <c r="J74" s="29">
        <f>IF(K74=0,0,IF(DaB!M74&gt;0,DaB!N74-DaB!M74,0))</f>
        <v>0</v>
      </c>
      <c r="K74" s="33">
        <f>IF(DaB!O74&gt;0,DaB!O74-DaB!N74+1,0)</f>
        <v>0</v>
      </c>
      <c r="L74" s="32">
        <f>IF(K74=0,0,IF(DaB!Q74&gt;0,DaB!Q74-DaB!P74+1,0))</f>
        <v>0</v>
      </c>
      <c r="M74" s="30">
        <f>IF(K74=0,0,IF(DaB!R74&gt;0,DaB!R74-MAX(DaB!O74:Q74),0))</f>
        <v>0</v>
      </c>
      <c r="N74" s="31">
        <f>IF(P74=0,0,MIN(DaB!$T74:$U74)-SUM($C74:M74))</f>
        <v>0</v>
      </c>
      <c r="O74" s="29">
        <f>IF(P74=0,0,IF(DaB!T74&gt;0,DaB!U74-DaB!T74,0))</f>
        <v>0</v>
      </c>
      <c r="P74" s="33">
        <f>IF(DaB!V74&gt;0,DaB!V74-DaB!U74+1,0)</f>
        <v>0</v>
      </c>
      <c r="Q74" s="32">
        <f>IF(P74=0,0,IF(DaB!X74&gt;0,DaB!X74-DaB!W74+1,0))</f>
        <v>0</v>
      </c>
      <c r="R74" s="30">
        <f>IF(P74=0,0,IF(DaB!Y74&gt;0,DaB!Y74-MAX(DaB!V74:X74),0))</f>
        <v>0</v>
      </c>
      <c r="S74" s="34">
        <f>IF(U74=0,0,MIN(DaB!$AA74:$AB74)-SUM($C74:R74))</f>
        <v>0</v>
      </c>
      <c r="T74" s="29">
        <f>IF(U74=0,0,IF(DaB!AA74&gt;0,DaB!AB74-DaB!AA74,0))</f>
        <v>0</v>
      </c>
      <c r="U74" s="33">
        <f>IF(DaB!AC74&gt;0,DaB!AC74-DaB!AB74+1,0)</f>
        <v>0</v>
      </c>
      <c r="V74" s="32">
        <f>IF(U74=0,0,IF(DaB!AE74&gt;0,DaB!AE74-DaB!AD74+1,0))</f>
        <v>0</v>
      </c>
      <c r="W74" s="30">
        <f>IF(U74=0,0,IF(DaB!AF74&gt;0,DaB!AF74-MAX(DaB!AC74:AE74),0))</f>
        <v>0</v>
      </c>
      <c r="X74" s="34">
        <f>IF(Z74=0,0,MIN(DaB!$AH74:$AI74)-SUM($C74:W74))</f>
        <v>0</v>
      </c>
      <c r="Y74" s="29">
        <f>IF(Z74=0,0,IF(DaB!AH74&gt;0,DaB!AI74-DaB!AH74,0))</f>
        <v>0</v>
      </c>
      <c r="Z74" s="33">
        <f>IF(DaB!AJ74&gt;0,DaB!AJ74-DaB!AI74+1,0)</f>
        <v>0</v>
      </c>
      <c r="AA74" s="32">
        <f>IF(Z74=0,0,IF(DaB!AL74&gt;0,DaB!AL74-DaB!AK74+1,0))</f>
        <v>0</v>
      </c>
      <c r="AB74" s="30">
        <f>IF(Z74=0,0,IF(DaB!AM74&gt;0,DaB!AM74-MAX(DaB!AJ74:AL74),0))</f>
        <v>0</v>
      </c>
      <c r="AC74" s="34">
        <f>IF(AE74=0,0,MIN(DaB!$AO74:$AP74)-SUM($C74:AB74))</f>
        <v>0</v>
      </c>
      <c r="AD74" s="29">
        <f>IF(AE74=0,0,IF(DaB!AO74&gt;0,DaB!AP74-DaB!AO74,0))</f>
        <v>0</v>
      </c>
      <c r="AE74" s="33">
        <f>IF(DaB!AQ74&gt;0,DaB!AQ74-DaB!AP74+1,0)</f>
        <v>0</v>
      </c>
      <c r="AF74" s="32">
        <f>IF(AE74=0,0,IF(DaB!AS74&gt;0,DaB!AS74-DaB!AR74+1,0))</f>
        <v>0</v>
      </c>
      <c r="AG74" s="30">
        <f>IF(AE74=0,0,IF(DaB!AT74&gt;0,DaB!AT74-MAX(DaB!AQ74:AS74),0))</f>
        <v>0</v>
      </c>
      <c r="AH74" s="34">
        <f>IF(AJ74=0,0,MIN(DaB!$AV74:$AW74)-SUM($C74:AG74))</f>
        <v>0</v>
      </c>
      <c r="AI74" s="29">
        <f>IF(AJ74=0,0,IF(DaB!AV74&gt;0,DaB!AW74-DaB!AV74,0))</f>
        <v>0</v>
      </c>
      <c r="AJ74" s="33">
        <f>IF(DaB!AX74&gt;0,DaB!AX74-DaB!AW74+1,0)</f>
        <v>0</v>
      </c>
      <c r="AK74" s="32">
        <f>IF(AJ74=0,0,IF(DaB!AZ74&gt;0,DaB!AZ74-DaB!AY74+1,0))</f>
        <v>0</v>
      </c>
      <c r="AL74" s="30">
        <f>IF(AJ74=0,0,IF(DaB!BA74&gt;0,DaB!BA74-MAX(DaB!AX74:AZ74),0))</f>
        <v>0</v>
      </c>
      <c r="AM74" s="34">
        <f>IF(AO74=0,0,MIN(DaB!$BC74:$BD74)-SUM($C74:AL74))</f>
        <v>0</v>
      </c>
      <c r="AN74" s="29">
        <f>IF(AO74=0,0,IF(DaB!BC74&gt;0,DaB!BD74-DaB!BC74,0))</f>
        <v>0</v>
      </c>
      <c r="AO74" s="33">
        <f>IF(DaB!BE74&gt;0,DaB!BE74-DaB!BD74+1,0)</f>
        <v>0</v>
      </c>
      <c r="AP74" s="32">
        <f>IF(AO74=0,0,IF(DaB!BG74&gt;0,DaB!BG74-DaB!BF74+1,0))</f>
        <v>0</v>
      </c>
      <c r="AQ74" s="30">
        <f>IF(AO74=0,0,IF(DaB!BH74&gt;0,DaB!BH74-MAX(DaB!BE74:BG74),0))</f>
        <v>0</v>
      </c>
      <c r="AR74" s="34">
        <f>IF(AT74=0,0,MIN(DaB!$BJ74:$BK74)-SUM($C74:AQ74))</f>
        <v>0</v>
      </c>
      <c r="AS74" s="29">
        <f>IF(AT74=0,0,IF(DaB!BJ74&gt;0,DaB!BK74-DaB!BJ74,0))</f>
        <v>0</v>
      </c>
      <c r="AT74" s="33">
        <f>IF(DaB!BL74&gt;0,DaB!BL74-DaB!BK74+1,0)</f>
        <v>0</v>
      </c>
      <c r="AU74" s="32">
        <f>IF(AT74=0,0,IF(DaB!BN74&gt;0,DaB!BN74-DaB!BM74+1,0))</f>
        <v>0</v>
      </c>
      <c r="AV74" s="30">
        <f>IF(AT74=0,0,IF(DaB!BO74&gt;0,DaB!BO74-MAX(DaB!BL74:BN74),0))</f>
        <v>0</v>
      </c>
      <c r="AW74" s="34">
        <f>IF(AY74=0,0,MIN(DaB!$BQ74:$BR74)-SUM($C74:AV74))</f>
        <v>0</v>
      </c>
      <c r="AX74" s="29">
        <f>IF(AY74=0,0,IF(DaB!BQ74&gt;0,DaB!BR74-DaB!BQ74,0))</f>
        <v>0</v>
      </c>
      <c r="AY74" s="33">
        <f>IF(DaB!BS74&gt;0,DaB!BS74-DaB!BR74+1,0)</f>
        <v>0</v>
      </c>
      <c r="AZ74" s="32">
        <f>IF(AY74=0,0,IF(DaB!BU74&gt;0,DaB!BU74-DaB!BT74+1,0))</f>
        <v>0</v>
      </c>
      <c r="BA74" s="30">
        <f>IF(AY74=0,0,IF(DaB!BV74&gt;0,DaB!BV74-MAX(DaB!BS74:BU74),0))</f>
        <v>0</v>
      </c>
      <c r="BB74" s="34">
        <f>IF(BD74=0,0,MIN(DaB!$BX74:$BY74)-SUM($C74:BA74))</f>
        <v>0</v>
      </c>
      <c r="BC74" s="29">
        <f>IF(BD74=0,0,IF(DaB!BX74&gt;0,DaB!BY74-DaB!BX74,0))</f>
        <v>0</v>
      </c>
      <c r="BD74" s="33">
        <f>IF(DaB!BZ74&gt;0,DaB!BZ74-DaB!BY74+1,0)</f>
        <v>0</v>
      </c>
      <c r="BE74" s="32">
        <f>IF(BD74=0,0,IF(DaB!CB74&gt;0,DaB!CB74-DaB!CA74+1,0))</f>
        <v>0</v>
      </c>
      <c r="BF74" s="30">
        <f>IF(BD74=0,0,IF(DaB!CC74&gt;0,DaB!CC74-MAX(DaB!BZ74:CB74),0))</f>
        <v>0</v>
      </c>
      <c r="BG74" s="34">
        <f>IF(BI74=0,0,MIN(DaB!$CE74:$CF74)-SUM($C74:BF74))</f>
        <v>0</v>
      </c>
      <c r="BH74" s="29">
        <f>IF(BI74=0,0,IF(DaB!CE74&gt;0,DaB!CF74-DaB!CE74,0))</f>
        <v>0</v>
      </c>
      <c r="BI74" s="33">
        <f>IF(DaB!CG74&gt;0,DaB!CG74-DaB!CF74+1,0)</f>
        <v>0</v>
      </c>
      <c r="BJ74" s="32">
        <f>IF(BI74=0,0,IF(DaB!CI74&gt;0,DaB!CI74-DaB!CH74+1,0))</f>
        <v>0</v>
      </c>
      <c r="BK74" s="30">
        <f>IF(BI74=0,0,IF(DaB!CJ74&gt;0,DaB!CJ74-MAX(DaB!CG74:CI74),0))</f>
        <v>0</v>
      </c>
      <c r="BL74" s="34">
        <f>IF(BN74=0,0,MIN(DaB!$CL74:$CM74)-SUM($C74:BK74))</f>
        <v>0</v>
      </c>
      <c r="BM74" s="29">
        <f>IF(BN74=0,0,IF(DaB!CL74&gt;0,DaB!CM74-DaB!CL74,0))</f>
        <v>0</v>
      </c>
      <c r="BN74" s="33">
        <f>IF(DaB!CN74&gt;0,DaB!CN74-DaB!CM74+1,0)</f>
        <v>0</v>
      </c>
      <c r="BO74" s="32">
        <f>IF(BN74=0,0,IF(DaB!CP74&gt;0,DaB!CP74-DaB!CO74+1,0))</f>
        <v>0</v>
      </c>
      <c r="BP74" s="30">
        <f>IF(BN74=0,0,IF(DaB!CQ74&gt;0,DaB!CQ74-MAX(DaB!CN74:CP74),0))</f>
        <v>0</v>
      </c>
      <c r="BQ74" s="34">
        <f>IF(BS74=0,0,MIN(DaB!$CS74:$CT74)-SUM($C74:BP74))</f>
        <v>0</v>
      </c>
      <c r="BR74" s="29">
        <f>IF(BS74=0,0,IF(DaB!CS74&gt;0,DaB!CT74-DaB!CS74,0))</f>
        <v>0</v>
      </c>
      <c r="BS74" s="33">
        <f>IF(DaB!CU74&gt;0,DaB!CU74-DaB!CT74+1,0)</f>
        <v>0</v>
      </c>
      <c r="BT74" s="32">
        <f>IF(BS74=0,0,IF(DaB!CW74&gt;0,DaB!CW74-DaB!CV74+1,0))</f>
        <v>0</v>
      </c>
      <c r="BU74" s="30">
        <f>IF(BS74=0,0,IF(DaB!CX74&gt;0,DaB!CX74-MAX(DaB!CU74:CW74),0))</f>
        <v>0</v>
      </c>
      <c r="BV74" s="34">
        <f>IF(BX74=0,0,MIN(DaB!$CZ74:$DA74)-SUM($C74:BU74))</f>
        <v>0</v>
      </c>
      <c r="BW74" s="29">
        <f>IF(BX74=0,0,IF(DaB!CZ74&gt;0,DaB!DA74-DaB!CZ74,0))</f>
        <v>0</v>
      </c>
      <c r="BX74" s="33">
        <f>IF(DaB!DB74&gt;0,DaB!DB74-DaB!DA74+1,0)</f>
        <v>0</v>
      </c>
      <c r="BY74" s="32">
        <f>IF(BX74=0,0,IF(DaB!DD74&gt;0,DaB!DD74-DaB!DC74+1,0))</f>
        <v>0</v>
      </c>
      <c r="BZ74" s="30">
        <f>IF(BX74=0,0,IF(DaB!DE74&gt;0,DaB!DE74-MAX(DaB!DB74:DD74),0))</f>
        <v>0</v>
      </c>
      <c r="CA74" s="34">
        <f>IF(CC74=0,0,MIN(DaB!$DG74:$DH74)-SUM($C74:BZ74))</f>
        <v>0</v>
      </c>
      <c r="CB74" s="29">
        <f>IF(CC74=0,0,IF(DaB!DG74&gt;0,DaB!DH74-DaB!DG74,0))</f>
        <v>0</v>
      </c>
      <c r="CC74" s="33">
        <f>IF(DaB!DI74&gt;0,DaB!DI74-DaB!DH74+1,0)</f>
        <v>0</v>
      </c>
      <c r="CD74" s="32">
        <f>IF(CC74=0,0,IF(DaB!DK74&gt;0,DaB!DK74-DaB!DJ74+1,0))</f>
        <v>0</v>
      </c>
      <c r="CE74" s="30">
        <f>IF(CC74=0,0,IF(DaB!DL74&gt;0,DaB!DL74-MAX(DaB!DI74:DK74),0))</f>
        <v>0</v>
      </c>
      <c r="CF74" s="34">
        <f>IF(CH74=0,0,MIN(DaB!$DN74:$DO74)-SUM($C74:CE74))</f>
        <v>0</v>
      </c>
      <c r="CG74" s="29">
        <f>IF(CH74=0,0,IF(DaB!DN74&gt;0,DaB!DO74-DaB!DN74,0))</f>
        <v>0</v>
      </c>
      <c r="CH74" s="33">
        <f>IF(DaB!DP74&gt;0,DaB!DP74-DaB!DO74+1,0)</f>
        <v>0</v>
      </c>
      <c r="CI74" s="32">
        <f>IF(CH74=0,0,IF(DaB!DR74&gt;0,DaB!DR74-DaB!DQ74+1,0))</f>
        <v>0</v>
      </c>
      <c r="CJ74" s="30">
        <f>IF(CH74=0,0,IF(DaB!DS74&gt;0,DaB!DS74-MAX(DaB!DP74:DR74),0))</f>
        <v>0</v>
      </c>
      <c r="CK74" s="34">
        <f>IF(CM74=0,0,MIN(DaB!$DU74:$DV74)-SUM($C74:CJ74))</f>
        <v>0</v>
      </c>
      <c r="CL74" s="29">
        <f>IF(CM74=0,0,IF(DaB!DU74&gt;0,DaB!DV74-DaB!DU74,0))</f>
        <v>0</v>
      </c>
      <c r="CM74" s="33">
        <f>IF(DaB!DW74&gt;0,DaB!DW74-DaB!DV74+1,0)</f>
        <v>0</v>
      </c>
      <c r="CN74" s="32">
        <f>IF(CM74=0,0,IF(DaB!DY74&gt;0,DaB!DY74-DaB!DX74+1,0))</f>
        <v>0</v>
      </c>
      <c r="CO74" s="30">
        <f>IF(CM74=0,0,IF(DaB!DZ74&gt;0,DaB!DZ74-MAX(DaB!DW74:DY74),0))</f>
        <v>0</v>
      </c>
      <c r="CP74" s="34">
        <f>IF(CR74=0,0,MIN(DaB!$EB74:$EC74)-SUM($C74:CO74))</f>
        <v>0</v>
      </c>
      <c r="CQ74" s="29">
        <f>IF(CR74=0,0,IF(DaB!EB74&gt;0,DaB!EC74-DaB!EB74,0))</f>
        <v>0</v>
      </c>
      <c r="CR74" s="33">
        <f>IF(DaB!ED74&gt;0,DaB!ED74-DaB!EC74+1,0)</f>
        <v>0</v>
      </c>
      <c r="CS74" s="32">
        <f>IF(CR74=0,0,IF(DaB!EF74&gt;0,DaB!EF74-DaB!EE74+1,0))</f>
        <v>0</v>
      </c>
      <c r="CT74" s="30">
        <f>IF(CR74=0,0,IF(DaB!EG74&gt;0,DaB!EG74-MAX(DaB!ED74:EF74),0))</f>
        <v>0</v>
      </c>
      <c r="CU74" s="34">
        <f>IF(CW74=0,0,MIN(DaB!$EI74:$EJ74)-SUM($C74:CT74))</f>
        <v>0</v>
      </c>
      <c r="CV74" s="29">
        <f>IF(CW74=0,0,IF(DaB!EI74&gt;0,DaB!EJ74-DaB!EI74,0))</f>
        <v>0</v>
      </c>
      <c r="CW74" s="33">
        <f>IF(DaB!EK74&gt;0,DaB!EK74-DaB!EJ74+1,0)</f>
        <v>0</v>
      </c>
      <c r="CX74" s="32">
        <f>IF(CW74=0,0,IF(DaB!EM74&gt;0,DaB!EM74-DaB!EL74+1,0))</f>
        <v>0</v>
      </c>
      <c r="CY74" s="30">
        <f>IF(CW74=0,0,IF(DaB!EN74&gt;0,DaB!EN74-MAX(DaB!EK74:EM74),0))</f>
        <v>0</v>
      </c>
      <c r="DF74" s="2">
        <f t="shared" si="5"/>
        <v>45474</v>
      </c>
      <c r="DG74" s="28"/>
      <c r="DH74" s="29"/>
      <c r="DI74" s="10"/>
      <c r="DJ74" s="10"/>
      <c r="DK74" s="11"/>
      <c r="DL74" s="11"/>
      <c r="DM74" s="30"/>
      <c r="DN74" s="28"/>
      <c r="DO74" s="29"/>
      <c r="DP74" s="10"/>
      <c r="DQ74" s="10"/>
      <c r="DR74" s="11"/>
      <c r="DS74" s="11"/>
      <c r="DT74" s="30"/>
      <c r="DU74" s="28"/>
      <c r="DV74" s="29"/>
      <c r="DW74" s="10"/>
      <c r="DX74" s="10"/>
      <c r="DY74" s="11"/>
      <c r="DZ74" s="11"/>
      <c r="EA74" s="30"/>
      <c r="EB74" s="28"/>
      <c r="EC74" s="29"/>
      <c r="ED74" s="10"/>
      <c r="EE74" s="10"/>
      <c r="EF74" s="11"/>
      <c r="EG74" s="11"/>
      <c r="EH74" s="30"/>
      <c r="EI74" s="34"/>
      <c r="EJ74" s="29"/>
      <c r="EK74" s="10"/>
      <c r="EL74" s="10"/>
      <c r="EM74" s="30"/>
      <c r="EN74" s="34"/>
      <c r="EO74" s="29"/>
      <c r="EP74" s="47"/>
      <c r="EQ74" s="47"/>
      <c r="ER74" s="30"/>
      <c r="ES74" s="34"/>
      <c r="ET74" s="29"/>
      <c r="EU74" s="47"/>
      <c r="EV74" s="47"/>
      <c r="EW74" s="30"/>
    </row>
    <row r="75" spans="1:153" x14ac:dyDescent="0.2">
      <c r="A75" s="2" t="str">
        <f>DaB!A75</f>
        <v>Calendar 35</v>
      </c>
      <c r="B75" s="2" t="str">
        <f t="shared" si="6"/>
        <v>.</v>
      </c>
      <c r="C75" s="27">
        <f t="shared" si="7"/>
        <v>45474</v>
      </c>
      <c r="D75" s="34">
        <f>IFERROR(MIN(DaB!F75:K75)-C75,0)</f>
        <v>-45474</v>
      </c>
      <c r="E75" s="29">
        <f>IF(F75=0,0,IF(DaB!F75&gt;0,DaB!G75-DaB!F75,0))</f>
        <v>0</v>
      </c>
      <c r="F75" s="33">
        <f>IF(DaB!G75&gt;MAX(DaB!EV75,DaB!FJ75),DaB!H75-DaB!G75+1,
IF(DaB!H75&gt;0,DaB!H75-DaB!G75,0))</f>
        <v>0</v>
      </c>
      <c r="G75" s="32">
        <f>IF(F75=0,0,IF(DaB!J75&gt;0,DaB!J75-DaB!I75+1,0))</f>
        <v>0</v>
      </c>
      <c r="H75" s="30">
        <f>IF(F75=0,0,IF(DaB!K75&gt;0,DaB!K75-MAX(DaB!H75:J75),0))</f>
        <v>0</v>
      </c>
      <c r="I75" s="34">
        <f>IF(K75=0,0,MIN(DaB!$M75:$N75)-SUM($C75:H75))</f>
        <v>0</v>
      </c>
      <c r="J75" s="29">
        <f>IF(K75=0,0,IF(DaB!M75&gt;0,DaB!N75-DaB!M75,0))</f>
        <v>0</v>
      </c>
      <c r="K75" s="33">
        <f>IF(DaB!O75&gt;0,DaB!O75-DaB!N75+1,0)</f>
        <v>0</v>
      </c>
      <c r="L75" s="32">
        <f>IF(K75=0,0,IF(DaB!Q75&gt;0,DaB!Q75-DaB!P75+1,0))</f>
        <v>0</v>
      </c>
      <c r="M75" s="30">
        <f>IF(K75=0,0,IF(DaB!R75&gt;0,DaB!R75-MAX(DaB!O75:Q75),0))</f>
        <v>0</v>
      </c>
      <c r="N75" s="31">
        <f>IF(P75=0,0,MIN(DaB!$T75:$U75)-SUM($C75:M75))</f>
        <v>0</v>
      </c>
      <c r="O75" s="29">
        <f>IF(P75=0,0,IF(DaB!T75&gt;0,DaB!U75-DaB!T75,0))</f>
        <v>0</v>
      </c>
      <c r="P75" s="33">
        <f>IF(DaB!V75&gt;0,DaB!V75-DaB!U75+1,0)</f>
        <v>0</v>
      </c>
      <c r="Q75" s="32">
        <f>IF(P75=0,0,IF(DaB!X75&gt;0,DaB!X75-DaB!W75+1,0))</f>
        <v>0</v>
      </c>
      <c r="R75" s="30">
        <f>IF(P75=0,0,IF(DaB!Y75&gt;0,DaB!Y75-MAX(DaB!V75:X75),0))</f>
        <v>0</v>
      </c>
      <c r="S75" s="34">
        <f>IF(U75=0,0,MIN(DaB!$AA75:$AB75)-SUM($C75:R75))</f>
        <v>0</v>
      </c>
      <c r="T75" s="29">
        <f>IF(U75=0,0,IF(DaB!AA75&gt;0,DaB!AB75-DaB!AA75,0))</f>
        <v>0</v>
      </c>
      <c r="U75" s="33">
        <f>IF(DaB!AC75&gt;0,DaB!AC75-DaB!AB75+1,0)</f>
        <v>0</v>
      </c>
      <c r="V75" s="32">
        <f>IF(U75=0,0,IF(DaB!AE75&gt;0,DaB!AE75-DaB!AD75+1,0))</f>
        <v>0</v>
      </c>
      <c r="W75" s="30">
        <f>IF(U75=0,0,IF(DaB!AF75&gt;0,DaB!AF75-MAX(DaB!AC75:AE75),0))</f>
        <v>0</v>
      </c>
      <c r="X75" s="34">
        <f>IF(Z75=0,0,MIN(DaB!$AH75:$AI75)-SUM($C75:W75))</f>
        <v>0</v>
      </c>
      <c r="Y75" s="29">
        <f>IF(Z75=0,0,IF(DaB!AH75&gt;0,DaB!AI75-DaB!AH75,0))</f>
        <v>0</v>
      </c>
      <c r="Z75" s="33">
        <f>IF(DaB!AJ75&gt;0,DaB!AJ75-DaB!AI75+1,0)</f>
        <v>0</v>
      </c>
      <c r="AA75" s="32">
        <f>IF(Z75=0,0,IF(DaB!AL75&gt;0,DaB!AL75-DaB!AK75+1,0))</f>
        <v>0</v>
      </c>
      <c r="AB75" s="30">
        <f>IF(Z75=0,0,IF(DaB!AM75&gt;0,DaB!AM75-MAX(DaB!AJ75:AL75),0))</f>
        <v>0</v>
      </c>
      <c r="AC75" s="34">
        <f>IF(AE75=0,0,MIN(DaB!$AO75:$AP75)-SUM($C75:AB75))</f>
        <v>0</v>
      </c>
      <c r="AD75" s="29">
        <f>IF(AE75=0,0,IF(DaB!AO75&gt;0,DaB!AP75-DaB!AO75,0))</f>
        <v>0</v>
      </c>
      <c r="AE75" s="33">
        <f>IF(DaB!AQ75&gt;0,DaB!AQ75-DaB!AP75+1,0)</f>
        <v>0</v>
      </c>
      <c r="AF75" s="32">
        <f>IF(AE75=0,0,IF(DaB!AS75&gt;0,DaB!AS75-DaB!AR75+1,0))</f>
        <v>0</v>
      </c>
      <c r="AG75" s="30">
        <f>IF(AE75=0,0,IF(DaB!AT75&gt;0,DaB!AT75-MAX(DaB!AQ75:AS75),0))</f>
        <v>0</v>
      </c>
      <c r="AH75" s="34">
        <f>IF(AJ75=0,0,MIN(DaB!$AV75:$AW75)-SUM($C75:AG75))</f>
        <v>0</v>
      </c>
      <c r="AI75" s="29">
        <f>IF(AJ75=0,0,IF(DaB!AV75&gt;0,DaB!AW75-DaB!AV75,0))</f>
        <v>0</v>
      </c>
      <c r="AJ75" s="33">
        <f>IF(DaB!AX75&gt;0,DaB!AX75-DaB!AW75+1,0)</f>
        <v>0</v>
      </c>
      <c r="AK75" s="32">
        <f>IF(AJ75=0,0,IF(DaB!AZ75&gt;0,DaB!AZ75-DaB!AY75+1,0))</f>
        <v>0</v>
      </c>
      <c r="AL75" s="30">
        <f>IF(AJ75=0,0,IF(DaB!BA75&gt;0,DaB!BA75-MAX(DaB!AX75:AZ75),0))</f>
        <v>0</v>
      </c>
      <c r="AM75" s="34">
        <f>IF(AO75=0,0,MIN(DaB!$BC75:$BD75)-SUM($C75:AL75))</f>
        <v>0</v>
      </c>
      <c r="AN75" s="29">
        <f>IF(AO75=0,0,IF(DaB!BC75&gt;0,DaB!BD75-DaB!BC75,0))</f>
        <v>0</v>
      </c>
      <c r="AO75" s="33">
        <f>IF(DaB!BE75&gt;0,DaB!BE75-DaB!BD75+1,0)</f>
        <v>0</v>
      </c>
      <c r="AP75" s="32">
        <f>IF(AO75=0,0,IF(DaB!BG75&gt;0,DaB!BG75-DaB!BF75+1,0))</f>
        <v>0</v>
      </c>
      <c r="AQ75" s="30">
        <f>IF(AO75=0,0,IF(DaB!BH75&gt;0,DaB!BH75-MAX(DaB!BE75:BG75),0))</f>
        <v>0</v>
      </c>
      <c r="AR75" s="34">
        <f>IF(AT75=0,0,MIN(DaB!$BJ75:$BK75)-SUM($C75:AQ75))</f>
        <v>0</v>
      </c>
      <c r="AS75" s="29">
        <f>IF(AT75=0,0,IF(DaB!BJ75&gt;0,DaB!BK75-DaB!BJ75,0))</f>
        <v>0</v>
      </c>
      <c r="AT75" s="33">
        <f>IF(DaB!BL75&gt;0,DaB!BL75-DaB!BK75+1,0)</f>
        <v>0</v>
      </c>
      <c r="AU75" s="32">
        <f>IF(AT75=0,0,IF(DaB!BN75&gt;0,DaB!BN75-DaB!BM75+1,0))</f>
        <v>0</v>
      </c>
      <c r="AV75" s="30">
        <f>IF(AT75=0,0,IF(DaB!BO75&gt;0,DaB!BO75-MAX(DaB!BL75:BN75),0))</f>
        <v>0</v>
      </c>
      <c r="AW75" s="34">
        <f>IF(AY75=0,0,MIN(DaB!$BQ75:$BR75)-SUM($C75:AV75))</f>
        <v>0</v>
      </c>
      <c r="AX75" s="29">
        <f>IF(AY75=0,0,IF(DaB!BQ75&gt;0,DaB!BR75-DaB!BQ75,0))</f>
        <v>0</v>
      </c>
      <c r="AY75" s="33">
        <f>IF(DaB!BS75&gt;0,DaB!BS75-DaB!BR75+1,0)</f>
        <v>0</v>
      </c>
      <c r="AZ75" s="32">
        <f>IF(AY75=0,0,IF(DaB!BU75&gt;0,DaB!BU75-DaB!BT75+1,0))</f>
        <v>0</v>
      </c>
      <c r="BA75" s="30">
        <f>IF(AY75=0,0,IF(DaB!BV75&gt;0,DaB!BV75-MAX(DaB!BS75:BU75),0))</f>
        <v>0</v>
      </c>
      <c r="BB75" s="34">
        <f>IF(BD75=0,0,MIN(DaB!$BX75:$BY75)-SUM($C75:BA75))</f>
        <v>0</v>
      </c>
      <c r="BC75" s="29">
        <f>IF(BD75=0,0,IF(DaB!BX75&gt;0,DaB!BY75-DaB!BX75,0))</f>
        <v>0</v>
      </c>
      <c r="BD75" s="33">
        <f>IF(DaB!BZ75&gt;0,DaB!BZ75-DaB!BY75+1,0)</f>
        <v>0</v>
      </c>
      <c r="BE75" s="32">
        <f>IF(BD75=0,0,IF(DaB!CB75&gt;0,DaB!CB75-DaB!CA75+1,0))</f>
        <v>0</v>
      </c>
      <c r="BF75" s="30">
        <f>IF(BD75=0,0,IF(DaB!CC75&gt;0,DaB!CC75-MAX(DaB!BZ75:CB75),0))</f>
        <v>0</v>
      </c>
      <c r="BG75" s="34">
        <f>IF(BI75=0,0,MIN(DaB!$CE75:$CF75)-SUM($C75:BF75))</f>
        <v>0</v>
      </c>
      <c r="BH75" s="29">
        <f>IF(BI75=0,0,IF(DaB!CE75&gt;0,DaB!CF75-DaB!CE75,0))</f>
        <v>0</v>
      </c>
      <c r="BI75" s="33">
        <f>IF(DaB!CG75&gt;0,DaB!CG75-DaB!CF75+1,0)</f>
        <v>0</v>
      </c>
      <c r="BJ75" s="32">
        <f>IF(BI75=0,0,IF(DaB!CI75&gt;0,DaB!CI75-DaB!CH75+1,0))</f>
        <v>0</v>
      </c>
      <c r="BK75" s="30">
        <f>IF(BI75=0,0,IF(DaB!CJ75&gt;0,DaB!CJ75-MAX(DaB!CG75:CI75),0))</f>
        <v>0</v>
      </c>
      <c r="BL75" s="34">
        <f>IF(BN75=0,0,MIN(DaB!$CL75:$CM75)-SUM($C75:BK75))</f>
        <v>0</v>
      </c>
      <c r="BM75" s="29">
        <f>IF(BN75=0,0,IF(DaB!CL75&gt;0,DaB!CM75-DaB!CL75,0))</f>
        <v>0</v>
      </c>
      <c r="BN75" s="33">
        <f>IF(DaB!CN75&gt;0,DaB!CN75-DaB!CM75+1,0)</f>
        <v>0</v>
      </c>
      <c r="BO75" s="32">
        <f>IF(BN75=0,0,IF(DaB!CP75&gt;0,DaB!CP75-DaB!CO75+1,0))</f>
        <v>0</v>
      </c>
      <c r="BP75" s="30">
        <f>IF(BN75=0,0,IF(DaB!CQ75&gt;0,DaB!CQ75-MAX(DaB!CN75:CP75),0))</f>
        <v>0</v>
      </c>
      <c r="BQ75" s="34">
        <f>IF(BS75=0,0,MIN(DaB!$CS75:$CT75)-SUM($C75:BP75))</f>
        <v>0</v>
      </c>
      <c r="BR75" s="29">
        <f>IF(BS75=0,0,IF(DaB!CS75&gt;0,DaB!CT75-DaB!CS75,0))</f>
        <v>0</v>
      </c>
      <c r="BS75" s="33">
        <f>IF(DaB!CU75&gt;0,DaB!CU75-DaB!CT75+1,0)</f>
        <v>0</v>
      </c>
      <c r="BT75" s="32">
        <f>IF(BS75=0,0,IF(DaB!CW75&gt;0,DaB!CW75-DaB!CV75+1,0))</f>
        <v>0</v>
      </c>
      <c r="BU75" s="30">
        <f>IF(BS75=0,0,IF(DaB!CX75&gt;0,DaB!CX75-MAX(DaB!CU75:CW75),0))</f>
        <v>0</v>
      </c>
      <c r="BV75" s="34">
        <f>IF(BX75=0,0,MIN(DaB!$CZ75:$DA75)-SUM($C75:BU75))</f>
        <v>0</v>
      </c>
      <c r="BW75" s="29">
        <f>IF(BX75=0,0,IF(DaB!CZ75&gt;0,DaB!DA75-DaB!CZ75,0))</f>
        <v>0</v>
      </c>
      <c r="BX75" s="33">
        <f>IF(DaB!DB75&gt;0,DaB!DB75-DaB!DA75+1,0)</f>
        <v>0</v>
      </c>
      <c r="BY75" s="32">
        <f>IF(BX75=0,0,IF(DaB!DD75&gt;0,DaB!DD75-DaB!DC75+1,0))</f>
        <v>0</v>
      </c>
      <c r="BZ75" s="30">
        <f>IF(BX75=0,0,IF(DaB!DE75&gt;0,DaB!DE75-MAX(DaB!DB75:DD75),0))</f>
        <v>0</v>
      </c>
      <c r="CA75" s="34">
        <f>IF(CC75=0,0,MIN(DaB!$DG75:$DH75)-SUM($C75:BZ75))</f>
        <v>0</v>
      </c>
      <c r="CB75" s="29">
        <f>IF(CC75=0,0,IF(DaB!DG75&gt;0,DaB!DH75-DaB!DG75,0))</f>
        <v>0</v>
      </c>
      <c r="CC75" s="33">
        <f>IF(DaB!DI75&gt;0,DaB!DI75-DaB!DH75+1,0)</f>
        <v>0</v>
      </c>
      <c r="CD75" s="32">
        <f>IF(CC75=0,0,IF(DaB!DK75&gt;0,DaB!DK75-DaB!DJ75+1,0))</f>
        <v>0</v>
      </c>
      <c r="CE75" s="30">
        <f>IF(CC75=0,0,IF(DaB!DL75&gt;0,DaB!DL75-MAX(DaB!DI75:DK75),0))</f>
        <v>0</v>
      </c>
      <c r="CF75" s="34">
        <f>IF(CH75=0,0,MIN(DaB!$DN75:$DO75)-SUM($C75:CE75))</f>
        <v>0</v>
      </c>
      <c r="CG75" s="29">
        <f>IF(CH75=0,0,IF(DaB!DN75&gt;0,DaB!DO75-DaB!DN75,0))</f>
        <v>0</v>
      </c>
      <c r="CH75" s="33">
        <f>IF(DaB!DP75&gt;0,DaB!DP75-DaB!DO75+1,0)</f>
        <v>0</v>
      </c>
      <c r="CI75" s="32">
        <f>IF(CH75=0,0,IF(DaB!DR75&gt;0,DaB!DR75-DaB!DQ75+1,0))</f>
        <v>0</v>
      </c>
      <c r="CJ75" s="30">
        <f>IF(CH75=0,0,IF(DaB!DS75&gt;0,DaB!DS75-MAX(DaB!DP75:DR75),0))</f>
        <v>0</v>
      </c>
      <c r="CK75" s="34">
        <f>IF(CM75=0,0,MIN(DaB!$DU75:$DV75)-SUM($C75:CJ75))</f>
        <v>0</v>
      </c>
      <c r="CL75" s="29">
        <f>IF(CM75=0,0,IF(DaB!DU75&gt;0,DaB!DV75-DaB!DU75,0))</f>
        <v>0</v>
      </c>
      <c r="CM75" s="33">
        <f>IF(DaB!DW75&gt;0,DaB!DW75-DaB!DV75+1,0)</f>
        <v>0</v>
      </c>
      <c r="CN75" s="32">
        <f>IF(CM75=0,0,IF(DaB!DY75&gt;0,DaB!DY75-DaB!DX75+1,0))</f>
        <v>0</v>
      </c>
      <c r="CO75" s="30">
        <f>IF(CM75=0,0,IF(DaB!DZ75&gt;0,DaB!DZ75-MAX(DaB!DW75:DY75),0))</f>
        <v>0</v>
      </c>
      <c r="CP75" s="34">
        <f>IF(CR75=0,0,MIN(DaB!$EB75:$EC75)-SUM($C75:CO75))</f>
        <v>0</v>
      </c>
      <c r="CQ75" s="29">
        <f>IF(CR75=0,0,IF(DaB!EB75&gt;0,DaB!EC75-DaB!EB75,0))</f>
        <v>0</v>
      </c>
      <c r="CR75" s="33">
        <f>IF(DaB!ED75&gt;0,DaB!ED75-DaB!EC75+1,0)</f>
        <v>0</v>
      </c>
      <c r="CS75" s="32">
        <f>IF(CR75=0,0,IF(DaB!EF75&gt;0,DaB!EF75-DaB!EE75+1,0))</f>
        <v>0</v>
      </c>
      <c r="CT75" s="30">
        <f>IF(CR75=0,0,IF(DaB!EG75&gt;0,DaB!EG75-MAX(DaB!ED75:EF75),0))</f>
        <v>0</v>
      </c>
      <c r="CU75" s="34">
        <f>IF(CW75=0,0,MIN(DaB!$EI75:$EJ75)-SUM($C75:CT75))</f>
        <v>0</v>
      </c>
      <c r="CV75" s="29">
        <f>IF(CW75=0,0,IF(DaB!EI75&gt;0,DaB!EJ75-DaB!EI75,0))</f>
        <v>0</v>
      </c>
      <c r="CW75" s="33">
        <f>IF(DaB!EK75&gt;0,DaB!EK75-DaB!EJ75+1,0)</f>
        <v>0</v>
      </c>
      <c r="CX75" s="32">
        <f>IF(CW75=0,0,IF(DaB!EM75&gt;0,DaB!EM75-DaB!EL75+1,0))</f>
        <v>0</v>
      </c>
      <c r="CY75" s="30">
        <f>IF(CW75=0,0,IF(DaB!EN75&gt;0,DaB!EN75-MAX(DaB!EK75:EM75),0))</f>
        <v>0</v>
      </c>
      <c r="DF75" s="2">
        <f t="shared" si="5"/>
        <v>45474</v>
      </c>
      <c r="DG75" s="28"/>
      <c r="DH75" s="29"/>
      <c r="DI75" s="10"/>
      <c r="DJ75" s="10"/>
      <c r="DK75" s="11"/>
      <c r="DL75" s="11"/>
      <c r="DM75" s="30"/>
      <c r="DN75" s="28"/>
      <c r="DO75" s="29"/>
      <c r="DP75" s="10"/>
      <c r="DQ75" s="10"/>
      <c r="DR75" s="11"/>
      <c r="DS75" s="11"/>
      <c r="DT75" s="30"/>
      <c r="DU75" s="28"/>
      <c r="DV75" s="29"/>
      <c r="DW75" s="10"/>
      <c r="DX75" s="10"/>
      <c r="DY75" s="11"/>
      <c r="DZ75" s="11"/>
      <c r="EA75" s="30"/>
      <c r="EB75" s="28"/>
      <c r="EC75" s="29"/>
      <c r="ED75" s="10"/>
      <c r="EE75" s="10"/>
      <c r="EF75" s="11"/>
      <c r="EG75" s="11"/>
      <c r="EH75" s="30"/>
      <c r="EI75" s="34"/>
      <c r="EJ75" s="29"/>
      <c r="EK75" s="10"/>
      <c r="EL75" s="10"/>
      <c r="EM75" s="30"/>
      <c r="EN75" s="34"/>
      <c r="EO75" s="29"/>
      <c r="EP75" s="47"/>
      <c r="EQ75" s="47"/>
      <c r="ER75" s="30"/>
      <c r="ES75" s="34"/>
      <c r="ET75" s="29"/>
      <c r="EU75" s="47"/>
      <c r="EV75" s="47"/>
      <c r="EW75" s="30"/>
    </row>
    <row r="76" spans="1:153" x14ac:dyDescent="0.2">
      <c r="A76" s="2" t="str">
        <f>DaB!A76</f>
        <v>Calendar 36</v>
      </c>
      <c r="B76" s="2" t="str">
        <f t="shared" si="6"/>
        <v>.</v>
      </c>
      <c r="C76" s="27">
        <f t="shared" si="7"/>
        <v>45474</v>
      </c>
      <c r="D76" s="34">
        <f>IFERROR(MIN(DaB!F76:K76)-C76,0)</f>
        <v>-45474</v>
      </c>
      <c r="E76" s="29">
        <f>IF(F76=0,0,IF(DaB!F76&gt;0,DaB!G76-DaB!F76,0))</f>
        <v>0</v>
      </c>
      <c r="F76" s="33">
        <f>IF(DaB!G76&gt;MAX(DaB!EV76,DaB!FJ76),DaB!H76-DaB!G76+1,
IF(DaB!H76&gt;0,DaB!H76-DaB!G76,0))</f>
        <v>0</v>
      </c>
      <c r="G76" s="32">
        <f>IF(F76=0,0,IF(DaB!J76&gt;0,DaB!J76-DaB!I76+1,0))</f>
        <v>0</v>
      </c>
      <c r="H76" s="30">
        <f>IF(F76=0,0,IF(DaB!K76&gt;0,DaB!K76-MAX(DaB!H76:J76),0))</f>
        <v>0</v>
      </c>
      <c r="I76" s="34">
        <f>IF(K76=0,0,MIN(DaB!$M76:$N76)-SUM($C76:H76))</f>
        <v>0</v>
      </c>
      <c r="J76" s="29">
        <f>IF(K76=0,0,IF(DaB!M76&gt;0,DaB!N76-DaB!M76,0))</f>
        <v>0</v>
      </c>
      <c r="K76" s="33">
        <f>IF(DaB!O76&gt;0,DaB!O76-DaB!N76+1,0)</f>
        <v>0</v>
      </c>
      <c r="L76" s="32">
        <f>IF(K76=0,0,IF(DaB!Q76&gt;0,DaB!Q76-DaB!P76+1,0))</f>
        <v>0</v>
      </c>
      <c r="M76" s="30">
        <f>IF(K76=0,0,IF(DaB!R76&gt;0,DaB!R76-MAX(DaB!O76:Q76),0))</f>
        <v>0</v>
      </c>
      <c r="N76" s="31">
        <f>IF(P76=0,0,MIN(DaB!$T76:$U76)-SUM($C76:M76))</f>
        <v>0</v>
      </c>
      <c r="O76" s="29">
        <f>IF(P76=0,0,IF(DaB!T76&gt;0,DaB!U76-DaB!T76,0))</f>
        <v>0</v>
      </c>
      <c r="P76" s="33">
        <f>IF(DaB!V76&gt;0,DaB!V76-DaB!U76+1,0)</f>
        <v>0</v>
      </c>
      <c r="Q76" s="32">
        <f>IF(P76=0,0,IF(DaB!X76&gt;0,DaB!X76-DaB!W76+1,0))</f>
        <v>0</v>
      </c>
      <c r="R76" s="30">
        <f>IF(P76=0,0,IF(DaB!Y76&gt;0,DaB!Y76-MAX(DaB!V76:X76),0))</f>
        <v>0</v>
      </c>
      <c r="S76" s="34">
        <f>IF(U76=0,0,MIN(DaB!$AA76:$AB76)-SUM($C76:R76))</f>
        <v>0</v>
      </c>
      <c r="T76" s="29">
        <f>IF(U76=0,0,IF(DaB!AA76&gt;0,DaB!AB76-DaB!AA76,0))</f>
        <v>0</v>
      </c>
      <c r="U76" s="33">
        <f>IF(DaB!AC76&gt;0,DaB!AC76-DaB!AB76+1,0)</f>
        <v>0</v>
      </c>
      <c r="V76" s="32">
        <f>IF(U76=0,0,IF(DaB!AE76&gt;0,DaB!AE76-DaB!AD76+1,0))</f>
        <v>0</v>
      </c>
      <c r="W76" s="30">
        <f>IF(U76=0,0,IF(DaB!AF76&gt;0,DaB!AF76-MAX(DaB!AC76:AE76),0))</f>
        <v>0</v>
      </c>
      <c r="X76" s="34">
        <f>IF(Z76=0,0,MIN(DaB!$AH76:$AI76)-SUM($C76:W76))</f>
        <v>0</v>
      </c>
      <c r="Y76" s="29">
        <f>IF(Z76=0,0,IF(DaB!AH76&gt;0,DaB!AI76-DaB!AH76,0))</f>
        <v>0</v>
      </c>
      <c r="Z76" s="33">
        <f>IF(DaB!AJ76&gt;0,DaB!AJ76-DaB!AI76+1,0)</f>
        <v>0</v>
      </c>
      <c r="AA76" s="32">
        <f>IF(Z76=0,0,IF(DaB!AL76&gt;0,DaB!AL76-DaB!AK76+1,0))</f>
        <v>0</v>
      </c>
      <c r="AB76" s="30">
        <f>IF(Z76=0,0,IF(DaB!AM76&gt;0,DaB!AM76-MAX(DaB!AJ76:AL76),0))</f>
        <v>0</v>
      </c>
      <c r="AC76" s="34">
        <f>IF(AE76=0,0,MIN(DaB!$AO76:$AP76)-SUM($C76:AB76))</f>
        <v>0</v>
      </c>
      <c r="AD76" s="29">
        <f>IF(AE76=0,0,IF(DaB!AO76&gt;0,DaB!AP76-DaB!AO76,0))</f>
        <v>0</v>
      </c>
      <c r="AE76" s="33">
        <f>IF(DaB!AQ76&gt;0,DaB!AQ76-DaB!AP76+1,0)</f>
        <v>0</v>
      </c>
      <c r="AF76" s="32">
        <f>IF(AE76=0,0,IF(DaB!AS76&gt;0,DaB!AS76-DaB!AR76+1,0))</f>
        <v>0</v>
      </c>
      <c r="AG76" s="30">
        <f>IF(AE76=0,0,IF(DaB!AT76&gt;0,DaB!AT76-MAX(DaB!AQ76:AS76),0))</f>
        <v>0</v>
      </c>
      <c r="AH76" s="34">
        <f>IF(AJ76=0,0,MIN(DaB!$AV76:$AW76)-SUM($C76:AG76))</f>
        <v>0</v>
      </c>
      <c r="AI76" s="29">
        <f>IF(AJ76=0,0,IF(DaB!AV76&gt;0,DaB!AW76-DaB!AV76,0))</f>
        <v>0</v>
      </c>
      <c r="AJ76" s="33">
        <f>IF(DaB!AX76&gt;0,DaB!AX76-DaB!AW76+1,0)</f>
        <v>0</v>
      </c>
      <c r="AK76" s="32">
        <f>IF(AJ76=0,0,IF(DaB!AZ76&gt;0,DaB!AZ76-DaB!AY76+1,0))</f>
        <v>0</v>
      </c>
      <c r="AL76" s="30">
        <f>IF(AJ76=0,0,IF(DaB!BA76&gt;0,DaB!BA76-MAX(DaB!AX76:AZ76),0))</f>
        <v>0</v>
      </c>
      <c r="AM76" s="34">
        <f>IF(AO76=0,0,MIN(DaB!$BC76:$BD76)-SUM($C76:AL76))</f>
        <v>0</v>
      </c>
      <c r="AN76" s="29">
        <f>IF(AO76=0,0,IF(DaB!BC76&gt;0,DaB!BD76-DaB!BC76,0))</f>
        <v>0</v>
      </c>
      <c r="AO76" s="33">
        <f>IF(DaB!BE76&gt;0,DaB!BE76-DaB!BD76+1,0)</f>
        <v>0</v>
      </c>
      <c r="AP76" s="32">
        <f>IF(AO76=0,0,IF(DaB!BG76&gt;0,DaB!BG76-DaB!BF76+1,0))</f>
        <v>0</v>
      </c>
      <c r="AQ76" s="30">
        <f>IF(AO76=0,0,IF(DaB!BH76&gt;0,DaB!BH76-MAX(DaB!BE76:BG76),0))</f>
        <v>0</v>
      </c>
      <c r="AR76" s="34">
        <f>IF(AT76=0,0,MIN(DaB!$BJ76:$BK76)-SUM($C76:AQ76))</f>
        <v>0</v>
      </c>
      <c r="AS76" s="29">
        <f>IF(AT76=0,0,IF(DaB!BJ76&gt;0,DaB!BK76-DaB!BJ76,0))</f>
        <v>0</v>
      </c>
      <c r="AT76" s="33">
        <f>IF(DaB!BL76&gt;0,DaB!BL76-DaB!BK76+1,0)</f>
        <v>0</v>
      </c>
      <c r="AU76" s="32">
        <f>IF(AT76=0,0,IF(DaB!BN76&gt;0,DaB!BN76-DaB!BM76+1,0))</f>
        <v>0</v>
      </c>
      <c r="AV76" s="30">
        <f>IF(AT76=0,0,IF(DaB!BO76&gt;0,DaB!BO76-MAX(DaB!BL76:BN76),0))</f>
        <v>0</v>
      </c>
      <c r="AW76" s="34">
        <f>IF(AY76=0,0,MIN(DaB!$BQ76:$BR76)-SUM($C76:AV76))</f>
        <v>0</v>
      </c>
      <c r="AX76" s="29">
        <f>IF(AY76=0,0,IF(DaB!BQ76&gt;0,DaB!BR76-DaB!BQ76,0))</f>
        <v>0</v>
      </c>
      <c r="AY76" s="33">
        <f>IF(DaB!BS76&gt;0,DaB!BS76-DaB!BR76+1,0)</f>
        <v>0</v>
      </c>
      <c r="AZ76" s="32">
        <f>IF(AY76=0,0,IF(DaB!BU76&gt;0,DaB!BU76-DaB!BT76+1,0))</f>
        <v>0</v>
      </c>
      <c r="BA76" s="30">
        <f>IF(AY76=0,0,IF(DaB!BV76&gt;0,DaB!BV76-MAX(DaB!BS76:BU76),0))</f>
        <v>0</v>
      </c>
      <c r="BB76" s="34">
        <f>IF(BD76=0,0,MIN(DaB!$BX76:$BY76)-SUM($C76:BA76))</f>
        <v>0</v>
      </c>
      <c r="BC76" s="29">
        <f>IF(BD76=0,0,IF(DaB!BX76&gt;0,DaB!BY76-DaB!BX76,0))</f>
        <v>0</v>
      </c>
      <c r="BD76" s="33">
        <f>IF(DaB!BZ76&gt;0,DaB!BZ76-DaB!BY76+1,0)</f>
        <v>0</v>
      </c>
      <c r="BE76" s="32">
        <f>IF(BD76=0,0,IF(DaB!CB76&gt;0,DaB!CB76-DaB!CA76+1,0))</f>
        <v>0</v>
      </c>
      <c r="BF76" s="30">
        <f>IF(BD76=0,0,IF(DaB!CC76&gt;0,DaB!CC76-MAX(DaB!BZ76:CB76),0))</f>
        <v>0</v>
      </c>
      <c r="BG76" s="34">
        <f>IF(BI76=0,0,MIN(DaB!$CE76:$CF76)-SUM($C76:BF76))</f>
        <v>0</v>
      </c>
      <c r="BH76" s="29">
        <f>IF(BI76=0,0,IF(DaB!CE76&gt;0,DaB!CF76-DaB!CE76,0))</f>
        <v>0</v>
      </c>
      <c r="BI76" s="33">
        <f>IF(DaB!CG76&gt;0,DaB!CG76-DaB!CF76+1,0)</f>
        <v>0</v>
      </c>
      <c r="BJ76" s="32">
        <f>IF(BI76=0,0,IF(DaB!CI76&gt;0,DaB!CI76-DaB!CH76+1,0))</f>
        <v>0</v>
      </c>
      <c r="BK76" s="30">
        <f>IF(BI76=0,0,IF(DaB!CJ76&gt;0,DaB!CJ76-MAX(DaB!CG76:CI76),0))</f>
        <v>0</v>
      </c>
      <c r="BL76" s="34">
        <f>IF(BN76=0,0,MIN(DaB!$CL76:$CM76)-SUM($C76:BK76))</f>
        <v>0</v>
      </c>
      <c r="BM76" s="29">
        <f>IF(BN76=0,0,IF(DaB!CL76&gt;0,DaB!CM76-DaB!CL76,0))</f>
        <v>0</v>
      </c>
      <c r="BN76" s="33">
        <f>IF(DaB!CN76&gt;0,DaB!CN76-DaB!CM76+1,0)</f>
        <v>0</v>
      </c>
      <c r="BO76" s="32">
        <f>IF(BN76=0,0,IF(DaB!CP76&gt;0,DaB!CP76-DaB!CO76+1,0))</f>
        <v>0</v>
      </c>
      <c r="BP76" s="30">
        <f>IF(BN76=0,0,IF(DaB!CQ76&gt;0,DaB!CQ76-MAX(DaB!CN76:CP76),0))</f>
        <v>0</v>
      </c>
      <c r="BQ76" s="34">
        <f>IF(BS76=0,0,MIN(DaB!$CS76:$CT76)-SUM($C76:BP76))</f>
        <v>0</v>
      </c>
      <c r="BR76" s="29">
        <f>IF(BS76=0,0,IF(DaB!CS76&gt;0,DaB!CT76-DaB!CS76,0))</f>
        <v>0</v>
      </c>
      <c r="BS76" s="33">
        <f>IF(DaB!CU76&gt;0,DaB!CU76-DaB!CT76+1,0)</f>
        <v>0</v>
      </c>
      <c r="BT76" s="32">
        <f>IF(BS76=0,0,IF(DaB!CW76&gt;0,DaB!CW76-DaB!CV76+1,0))</f>
        <v>0</v>
      </c>
      <c r="BU76" s="30">
        <f>IF(BS76=0,0,IF(DaB!CX76&gt;0,DaB!CX76-MAX(DaB!CU76:CW76),0))</f>
        <v>0</v>
      </c>
      <c r="BV76" s="34">
        <f>IF(BX76=0,0,MIN(DaB!$CZ76:$DA76)-SUM($C76:BU76))</f>
        <v>0</v>
      </c>
      <c r="BW76" s="29">
        <f>IF(BX76=0,0,IF(DaB!CZ76&gt;0,DaB!DA76-DaB!CZ76,0))</f>
        <v>0</v>
      </c>
      <c r="BX76" s="33">
        <f>IF(DaB!DB76&gt;0,DaB!DB76-DaB!DA76+1,0)</f>
        <v>0</v>
      </c>
      <c r="BY76" s="32">
        <f>IF(BX76=0,0,IF(DaB!DD76&gt;0,DaB!DD76-DaB!DC76+1,0))</f>
        <v>0</v>
      </c>
      <c r="BZ76" s="30">
        <f>IF(BX76=0,0,IF(DaB!DE76&gt;0,DaB!DE76-MAX(DaB!DB76:DD76),0))</f>
        <v>0</v>
      </c>
      <c r="CA76" s="34">
        <f>IF(CC76=0,0,MIN(DaB!$DG76:$DH76)-SUM($C76:BZ76))</f>
        <v>0</v>
      </c>
      <c r="CB76" s="29">
        <f>IF(CC76=0,0,IF(DaB!DG76&gt;0,DaB!DH76-DaB!DG76,0))</f>
        <v>0</v>
      </c>
      <c r="CC76" s="33">
        <f>IF(DaB!DI76&gt;0,DaB!DI76-DaB!DH76+1,0)</f>
        <v>0</v>
      </c>
      <c r="CD76" s="32">
        <f>IF(CC76=0,0,IF(DaB!DK76&gt;0,DaB!DK76-DaB!DJ76+1,0))</f>
        <v>0</v>
      </c>
      <c r="CE76" s="30">
        <f>IF(CC76=0,0,IF(DaB!DL76&gt;0,DaB!DL76-MAX(DaB!DI76:DK76),0))</f>
        <v>0</v>
      </c>
      <c r="CF76" s="34">
        <f>IF(CH76=0,0,MIN(DaB!$DN76:$DO76)-SUM($C76:CE76))</f>
        <v>0</v>
      </c>
      <c r="CG76" s="29">
        <f>IF(CH76=0,0,IF(DaB!DN76&gt;0,DaB!DO76-DaB!DN76,0))</f>
        <v>0</v>
      </c>
      <c r="CH76" s="33">
        <f>IF(DaB!DP76&gt;0,DaB!DP76-DaB!DO76+1,0)</f>
        <v>0</v>
      </c>
      <c r="CI76" s="32">
        <f>IF(CH76=0,0,IF(DaB!DR76&gt;0,DaB!DR76-DaB!DQ76+1,0))</f>
        <v>0</v>
      </c>
      <c r="CJ76" s="30">
        <f>IF(CH76=0,0,IF(DaB!DS76&gt;0,DaB!DS76-MAX(DaB!DP76:DR76),0))</f>
        <v>0</v>
      </c>
      <c r="CK76" s="34">
        <f>IF(CM76=0,0,MIN(DaB!$DU76:$DV76)-SUM($C76:CJ76))</f>
        <v>0</v>
      </c>
      <c r="CL76" s="29">
        <f>IF(CM76=0,0,IF(DaB!DU76&gt;0,DaB!DV76-DaB!DU76,0))</f>
        <v>0</v>
      </c>
      <c r="CM76" s="33">
        <f>IF(DaB!DW76&gt;0,DaB!DW76-DaB!DV76+1,0)</f>
        <v>0</v>
      </c>
      <c r="CN76" s="32">
        <f>IF(CM76=0,0,IF(DaB!DY76&gt;0,DaB!DY76-DaB!DX76+1,0))</f>
        <v>0</v>
      </c>
      <c r="CO76" s="30">
        <f>IF(CM76=0,0,IF(DaB!DZ76&gt;0,DaB!DZ76-MAX(DaB!DW76:DY76),0))</f>
        <v>0</v>
      </c>
      <c r="CP76" s="34">
        <f>IF(CR76=0,0,MIN(DaB!$EB76:$EC76)-SUM($C76:CO76))</f>
        <v>0</v>
      </c>
      <c r="CQ76" s="29">
        <f>IF(CR76=0,0,IF(DaB!EB76&gt;0,DaB!EC76-DaB!EB76,0))</f>
        <v>0</v>
      </c>
      <c r="CR76" s="33">
        <f>IF(DaB!ED76&gt;0,DaB!ED76-DaB!EC76+1,0)</f>
        <v>0</v>
      </c>
      <c r="CS76" s="32">
        <f>IF(CR76=0,0,IF(DaB!EF76&gt;0,DaB!EF76-DaB!EE76+1,0))</f>
        <v>0</v>
      </c>
      <c r="CT76" s="30">
        <f>IF(CR76=0,0,IF(DaB!EG76&gt;0,DaB!EG76-MAX(DaB!ED76:EF76),0))</f>
        <v>0</v>
      </c>
      <c r="CU76" s="34">
        <f>IF(CW76=0,0,MIN(DaB!$EI76:$EJ76)-SUM($C76:CT76))</f>
        <v>0</v>
      </c>
      <c r="CV76" s="29">
        <f>IF(CW76=0,0,IF(DaB!EI76&gt;0,DaB!EJ76-DaB!EI76,0))</f>
        <v>0</v>
      </c>
      <c r="CW76" s="33">
        <f>IF(DaB!EK76&gt;0,DaB!EK76-DaB!EJ76+1,0)</f>
        <v>0</v>
      </c>
      <c r="CX76" s="32">
        <f>IF(CW76=0,0,IF(DaB!EM76&gt;0,DaB!EM76-DaB!EL76+1,0))</f>
        <v>0</v>
      </c>
      <c r="CY76" s="30">
        <f>IF(CW76=0,0,IF(DaB!EN76&gt;0,DaB!EN76-MAX(DaB!EK76:EM76),0))</f>
        <v>0</v>
      </c>
      <c r="DF76" s="2">
        <f t="shared" si="5"/>
        <v>45474</v>
      </c>
      <c r="DG76" s="28"/>
      <c r="DH76" s="29"/>
      <c r="DI76" s="10"/>
      <c r="DJ76" s="10"/>
      <c r="DK76" s="11"/>
      <c r="DL76" s="11"/>
      <c r="DM76" s="30"/>
      <c r="DN76" s="28"/>
      <c r="DO76" s="29"/>
      <c r="DP76" s="10"/>
      <c r="DQ76" s="10"/>
      <c r="DR76" s="11"/>
      <c r="DS76" s="11"/>
      <c r="DT76" s="30"/>
      <c r="DU76" s="28"/>
      <c r="DV76" s="29"/>
      <c r="DW76" s="10"/>
      <c r="DX76" s="10"/>
      <c r="DY76" s="11"/>
      <c r="DZ76" s="11"/>
      <c r="EA76" s="30"/>
      <c r="EB76" s="28"/>
      <c r="EC76" s="29"/>
      <c r="ED76" s="10"/>
      <c r="EE76" s="10"/>
      <c r="EF76" s="11"/>
      <c r="EG76" s="11"/>
      <c r="EH76" s="30"/>
      <c r="EI76" s="34"/>
      <c r="EJ76" s="29"/>
      <c r="EK76" s="10"/>
      <c r="EL76" s="10"/>
      <c r="EM76" s="30"/>
      <c r="EN76" s="34"/>
      <c r="EO76" s="29"/>
      <c r="EP76" s="47"/>
      <c r="EQ76" s="47"/>
      <c r="ER76" s="30"/>
      <c r="ES76" s="34"/>
      <c r="ET76" s="29"/>
      <c r="EU76" s="47"/>
      <c r="EV76" s="47"/>
      <c r="EW76" s="30"/>
    </row>
    <row r="77" spans="1:153" x14ac:dyDescent="0.2">
      <c r="A77" s="2" t="str">
        <f>DaB!A77</f>
        <v>Calendar 36</v>
      </c>
      <c r="B77" s="2" t="str">
        <f t="shared" si="6"/>
        <v>.</v>
      </c>
      <c r="C77" s="27">
        <f t="shared" si="7"/>
        <v>45474</v>
      </c>
      <c r="D77" s="34">
        <f>IFERROR(MIN(DaB!F77:K77)-C77,0)</f>
        <v>-45474</v>
      </c>
      <c r="E77" s="29">
        <f>IF(F77=0,0,IF(DaB!F77&gt;0,DaB!G77-DaB!F77,0))</f>
        <v>0</v>
      </c>
      <c r="F77" s="33">
        <f>IF(DaB!G77&gt;MAX(DaB!EV77,DaB!FJ77),DaB!H77-DaB!G77+1,
IF(DaB!H77&gt;0,DaB!H77-DaB!G77,0))</f>
        <v>0</v>
      </c>
      <c r="G77" s="32">
        <f>IF(F77=0,0,IF(DaB!J77&gt;0,DaB!J77-DaB!I77+1,0))</f>
        <v>0</v>
      </c>
      <c r="H77" s="30">
        <f>IF(F77=0,0,IF(DaB!K77&gt;0,DaB!K77-MAX(DaB!H77:J77),0))</f>
        <v>0</v>
      </c>
      <c r="I77" s="34">
        <f>IF(K77=0,0,MIN(DaB!$M77:$N77)-SUM($C77:H77))</f>
        <v>0</v>
      </c>
      <c r="J77" s="29">
        <f>IF(K77=0,0,IF(DaB!M77&gt;0,DaB!N77-DaB!M77,0))</f>
        <v>0</v>
      </c>
      <c r="K77" s="33">
        <f>IF(DaB!O77&gt;0,DaB!O77-DaB!N77+1,0)</f>
        <v>0</v>
      </c>
      <c r="L77" s="32">
        <f>IF(K77=0,0,IF(DaB!Q77&gt;0,DaB!Q77-DaB!P77+1,0))</f>
        <v>0</v>
      </c>
      <c r="M77" s="30">
        <f>IF(K77=0,0,IF(DaB!R77&gt;0,DaB!R77-MAX(DaB!O77:Q77),0))</f>
        <v>0</v>
      </c>
      <c r="N77" s="31">
        <f>IF(P77=0,0,MIN(DaB!$T77:$U77)-SUM($C77:M77))</f>
        <v>0</v>
      </c>
      <c r="O77" s="29">
        <f>IF(P77=0,0,IF(DaB!T77&gt;0,DaB!U77-DaB!T77,0))</f>
        <v>0</v>
      </c>
      <c r="P77" s="33">
        <f>IF(DaB!V77&gt;0,DaB!V77-DaB!U77+1,0)</f>
        <v>0</v>
      </c>
      <c r="Q77" s="32">
        <f>IF(P77=0,0,IF(DaB!X77&gt;0,DaB!X77-DaB!W77+1,0))</f>
        <v>0</v>
      </c>
      <c r="R77" s="30">
        <f>IF(P77=0,0,IF(DaB!Y77&gt;0,DaB!Y77-MAX(DaB!V77:X77),0))</f>
        <v>0</v>
      </c>
      <c r="S77" s="34">
        <f>IF(U77=0,0,MIN(DaB!$AA77:$AB77)-SUM($C77:R77))</f>
        <v>0</v>
      </c>
      <c r="T77" s="29">
        <f>IF(U77=0,0,IF(DaB!AA77&gt;0,DaB!AB77-DaB!AA77,0))</f>
        <v>0</v>
      </c>
      <c r="U77" s="33">
        <f>IF(DaB!AC77&gt;0,DaB!AC77-DaB!AB77+1,0)</f>
        <v>0</v>
      </c>
      <c r="V77" s="32">
        <f>IF(U77=0,0,IF(DaB!AE77&gt;0,DaB!AE77-DaB!AD77+1,0))</f>
        <v>0</v>
      </c>
      <c r="W77" s="30">
        <f>IF(U77=0,0,IF(DaB!AF77&gt;0,DaB!AF77-MAX(DaB!AC77:AE77),0))</f>
        <v>0</v>
      </c>
      <c r="X77" s="34">
        <f>IF(Z77=0,0,MIN(DaB!$AH77:$AI77)-SUM($C77:W77))</f>
        <v>0</v>
      </c>
      <c r="Y77" s="29">
        <f>IF(Z77=0,0,IF(DaB!AH77&gt;0,DaB!AI77-DaB!AH77,0))</f>
        <v>0</v>
      </c>
      <c r="Z77" s="33">
        <f>IF(DaB!AJ77&gt;0,DaB!AJ77-DaB!AI77+1,0)</f>
        <v>0</v>
      </c>
      <c r="AA77" s="32">
        <f>IF(Z77=0,0,IF(DaB!AL77&gt;0,DaB!AL77-DaB!AK77+1,0))</f>
        <v>0</v>
      </c>
      <c r="AB77" s="30">
        <f>IF(Z77=0,0,IF(DaB!AM77&gt;0,DaB!AM77-MAX(DaB!AJ77:AL77),0))</f>
        <v>0</v>
      </c>
      <c r="AC77" s="34">
        <f>IF(AE77=0,0,MIN(DaB!$AO77:$AP77)-SUM($C77:AB77))</f>
        <v>0</v>
      </c>
      <c r="AD77" s="29">
        <f>IF(AE77=0,0,IF(DaB!AO77&gt;0,DaB!AP77-DaB!AO77,0))</f>
        <v>0</v>
      </c>
      <c r="AE77" s="33">
        <f>IF(DaB!AQ77&gt;0,DaB!AQ77-DaB!AP77+1,0)</f>
        <v>0</v>
      </c>
      <c r="AF77" s="32">
        <f>IF(AE77=0,0,IF(DaB!AS77&gt;0,DaB!AS77-DaB!AR77+1,0))</f>
        <v>0</v>
      </c>
      <c r="AG77" s="30">
        <f>IF(AE77=0,0,IF(DaB!AT77&gt;0,DaB!AT77-MAX(DaB!AQ77:AS77),0))</f>
        <v>0</v>
      </c>
      <c r="AH77" s="34">
        <f>IF(AJ77=0,0,MIN(DaB!$AV77:$AW77)-SUM($C77:AG77))</f>
        <v>0</v>
      </c>
      <c r="AI77" s="29">
        <f>IF(AJ77=0,0,IF(DaB!AV77&gt;0,DaB!AW77-DaB!AV77,0))</f>
        <v>0</v>
      </c>
      <c r="AJ77" s="33">
        <f>IF(DaB!AX77&gt;0,DaB!AX77-DaB!AW77+1,0)</f>
        <v>0</v>
      </c>
      <c r="AK77" s="32">
        <f>IF(AJ77=0,0,IF(DaB!AZ77&gt;0,DaB!AZ77-DaB!AY77+1,0))</f>
        <v>0</v>
      </c>
      <c r="AL77" s="30">
        <f>IF(AJ77=0,0,IF(DaB!BA77&gt;0,DaB!BA77-MAX(DaB!AX77:AZ77),0))</f>
        <v>0</v>
      </c>
      <c r="AM77" s="34">
        <f>IF(AO77=0,0,MIN(DaB!$BC77:$BD77)-SUM($C77:AL77))</f>
        <v>0</v>
      </c>
      <c r="AN77" s="29">
        <f>IF(AO77=0,0,IF(DaB!BC77&gt;0,DaB!BD77-DaB!BC77,0))</f>
        <v>0</v>
      </c>
      <c r="AO77" s="33">
        <f>IF(DaB!BE77&gt;0,DaB!BE77-DaB!BD77+1,0)</f>
        <v>0</v>
      </c>
      <c r="AP77" s="32">
        <f>IF(AO77=0,0,IF(DaB!BG77&gt;0,DaB!BG77-DaB!BF77+1,0))</f>
        <v>0</v>
      </c>
      <c r="AQ77" s="30">
        <f>IF(AO77=0,0,IF(DaB!BH77&gt;0,DaB!BH77-MAX(DaB!BE77:BG77),0))</f>
        <v>0</v>
      </c>
      <c r="AR77" s="34">
        <f>IF(AT77=0,0,MIN(DaB!$BJ77:$BK77)-SUM($C77:AQ77))</f>
        <v>0</v>
      </c>
      <c r="AS77" s="29">
        <f>IF(AT77=0,0,IF(DaB!BJ77&gt;0,DaB!BK77-DaB!BJ77,0))</f>
        <v>0</v>
      </c>
      <c r="AT77" s="33">
        <f>IF(DaB!BL77&gt;0,DaB!BL77-DaB!BK77+1,0)</f>
        <v>0</v>
      </c>
      <c r="AU77" s="32">
        <f>IF(AT77=0,0,IF(DaB!BN77&gt;0,DaB!BN77-DaB!BM77+1,0))</f>
        <v>0</v>
      </c>
      <c r="AV77" s="30">
        <f>IF(AT77=0,0,IF(DaB!BO77&gt;0,DaB!BO77-MAX(DaB!BL77:BN77),0))</f>
        <v>0</v>
      </c>
      <c r="AW77" s="34">
        <f>IF(AY77=0,0,MIN(DaB!$BQ77:$BR77)-SUM($C77:AV77))</f>
        <v>0</v>
      </c>
      <c r="AX77" s="29">
        <f>IF(AY77=0,0,IF(DaB!BQ77&gt;0,DaB!BR77-DaB!BQ77,0))</f>
        <v>0</v>
      </c>
      <c r="AY77" s="33">
        <f>IF(DaB!BS77&gt;0,DaB!BS77-DaB!BR77+1,0)</f>
        <v>0</v>
      </c>
      <c r="AZ77" s="32">
        <f>IF(AY77=0,0,IF(DaB!BU77&gt;0,DaB!BU77-DaB!BT77+1,0))</f>
        <v>0</v>
      </c>
      <c r="BA77" s="30">
        <f>IF(AY77=0,0,IF(DaB!BV77&gt;0,DaB!BV77-MAX(DaB!BS77:BU77),0))</f>
        <v>0</v>
      </c>
      <c r="BB77" s="34">
        <f>IF(BD77=0,0,MIN(DaB!$BX77:$BY77)-SUM($C77:BA77))</f>
        <v>0</v>
      </c>
      <c r="BC77" s="29">
        <f>IF(BD77=0,0,IF(DaB!BX77&gt;0,DaB!BY77-DaB!BX77,0))</f>
        <v>0</v>
      </c>
      <c r="BD77" s="33">
        <f>IF(DaB!BZ77&gt;0,DaB!BZ77-DaB!BY77+1,0)</f>
        <v>0</v>
      </c>
      <c r="BE77" s="32">
        <f>IF(BD77=0,0,IF(DaB!CB77&gt;0,DaB!CB77-DaB!CA77+1,0))</f>
        <v>0</v>
      </c>
      <c r="BF77" s="30">
        <f>IF(BD77=0,0,IF(DaB!CC77&gt;0,DaB!CC77-MAX(DaB!BZ77:CB77),0))</f>
        <v>0</v>
      </c>
      <c r="BG77" s="34">
        <f>IF(BI77=0,0,MIN(DaB!$CE77:$CF77)-SUM($C77:BF77))</f>
        <v>0</v>
      </c>
      <c r="BH77" s="29">
        <f>IF(BI77=0,0,IF(DaB!CE77&gt;0,DaB!CF77-DaB!CE77,0))</f>
        <v>0</v>
      </c>
      <c r="BI77" s="33">
        <f>IF(DaB!CG77&gt;0,DaB!CG77-DaB!CF77+1,0)</f>
        <v>0</v>
      </c>
      <c r="BJ77" s="32">
        <f>IF(BI77=0,0,IF(DaB!CI77&gt;0,DaB!CI77-DaB!CH77+1,0))</f>
        <v>0</v>
      </c>
      <c r="BK77" s="30">
        <f>IF(BI77=0,0,IF(DaB!CJ77&gt;0,DaB!CJ77-MAX(DaB!CG77:CI77),0))</f>
        <v>0</v>
      </c>
      <c r="BL77" s="34">
        <f>IF(BN77=0,0,MIN(DaB!$CL77:$CM77)-SUM($C77:BK77))</f>
        <v>0</v>
      </c>
      <c r="BM77" s="29">
        <f>IF(BN77=0,0,IF(DaB!CL77&gt;0,DaB!CM77-DaB!CL77,0))</f>
        <v>0</v>
      </c>
      <c r="BN77" s="33">
        <f>IF(DaB!CN77&gt;0,DaB!CN77-DaB!CM77+1,0)</f>
        <v>0</v>
      </c>
      <c r="BO77" s="32">
        <f>IF(BN77=0,0,IF(DaB!CP77&gt;0,DaB!CP77-DaB!CO77+1,0))</f>
        <v>0</v>
      </c>
      <c r="BP77" s="30">
        <f>IF(BN77=0,0,IF(DaB!CQ77&gt;0,DaB!CQ77-MAX(DaB!CN77:CP77),0))</f>
        <v>0</v>
      </c>
      <c r="BQ77" s="34">
        <f>IF(BS77=0,0,MIN(DaB!$CS77:$CT77)-SUM($C77:BP77))</f>
        <v>0</v>
      </c>
      <c r="BR77" s="29">
        <f>IF(BS77=0,0,IF(DaB!CS77&gt;0,DaB!CT77-DaB!CS77,0))</f>
        <v>0</v>
      </c>
      <c r="BS77" s="33">
        <f>IF(DaB!CU77&gt;0,DaB!CU77-DaB!CT77+1,0)</f>
        <v>0</v>
      </c>
      <c r="BT77" s="32">
        <f>IF(BS77=0,0,IF(DaB!CW77&gt;0,DaB!CW77-DaB!CV77+1,0))</f>
        <v>0</v>
      </c>
      <c r="BU77" s="30">
        <f>IF(BS77=0,0,IF(DaB!CX77&gt;0,DaB!CX77-MAX(DaB!CU77:CW77),0))</f>
        <v>0</v>
      </c>
      <c r="BV77" s="34">
        <f>IF(BX77=0,0,MIN(DaB!$CZ77:$DA77)-SUM($C77:BU77))</f>
        <v>0</v>
      </c>
      <c r="BW77" s="29">
        <f>IF(BX77=0,0,IF(DaB!CZ77&gt;0,DaB!DA77-DaB!CZ77,0))</f>
        <v>0</v>
      </c>
      <c r="BX77" s="33">
        <f>IF(DaB!DB77&gt;0,DaB!DB77-DaB!DA77+1,0)</f>
        <v>0</v>
      </c>
      <c r="BY77" s="32">
        <f>IF(BX77=0,0,IF(DaB!DD77&gt;0,DaB!DD77-DaB!DC77+1,0))</f>
        <v>0</v>
      </c>
      <c r="BZ77" s="30">
        <f>IF(BX77=0,0,IF(DaB!DE77&gt;0,DaB!DE77-MAX(DaB!DB77:DD77),0))</f>
        <v>0</v>
      </c>
      <c r="CA77" s="34">
        <f>IF(CC77=0,0,MIN(DaB!$DG77:$DH77)-SUM($C77:BZ77))</f>
        <v>0</v>
      </c>
      <c r="CB77" s="29">
        <f>IF(CC77=0,0,IF(DaB!DG77&gt;0,DaB!DH77-DaB!DG77,0))</f>
        <v>0</v>
      </c>
      <c r="CC77" s="33">
        <f>IF(DaB!DI77&gt;0,DaB!DI77-DaB!DH77+1,0)</f>
        <v>0</v>
      </c>
      <c r="CD77" s="32">
        <f>IF(CC77=0,0,IF(DaB!DK77&gt;0,DaB!DK77-DaB!DJ77+1,0))</f>
        <v>0</v>
      </c>
      <c r="CE77" s="30">
        <f>IF(CC77=0,0,IF(DaB!DL77&gt;0,DaB!DL77-MAX(DaB!DI77:DK77),0))</f>
        <v>0</v>
      </c>
      <c r="CF77" s="34">
        <f>IF(CH77=0,0,MIN(DaB!$DN77:$DO77)-SUM($C77:CE77))</f>
        <v>0</v>
      </c>
      <c r="CG77" s="29">
        <f>IF(CH77=0,0,IF(DaB!DN77&gt;0,DaB!DO77-DaB!DN77,0))</f>
        <v>0</v>
      </c>
      <c r="CH77" s="33">
        <f>IF(DaB!DP77&gt;0,DaB!DP77-DaB!DO77+1,0)</f>
        <v>0</v>
      </c>
      <c r="CI77" s="32">
        <f>IF(CH77=0,0,IF(DaB!DR77&gt;0,DaB!DR77-DaB!DQ77+1,0))</f>
        <v>0</v>
      </c>
      <c r="CJ77" s="30">
        <f>IF(CH77=0,0,IF(DaB!DS77&gt;0,DaB!DS77-MAX(DaB!DP77:DR77),0))</f>
        <v>0</v>
      </c>
      <c r="CK77" s="34">
        <f>IF(CM77=0,0,MIN(DaB!$DU77:$DV77)-SUM($C77:CJ77))</f>
        <v>0</v>
      </c>
      <c r="CL77" s="29">
        <f>IF(CM77=0,0,IF(DaB!DU77&gt;0,DaB!DV77-DaB!DU77,0))</f>
        <v>0</v>
      </c>
      <c r="CM77" s="33">
        <f>IF(DaB!DW77&gt;0,DaB!DW77-DaB!DV77+1,0)</f>
        <v>0</v>
      </c>
      <c r="CN77" s="32">
        <f>IF(CM77=0,0,IF(DaB!DY77&gt;0,DaB!DY77-DaB!DX77+1,0))</f>
        <v>0</v>
      </c>
      <c r="CO77" s="30">
        <f>IF(CM77=0,0,IF(DaB!DZ77&gt;0,DaB!DZ77-MAX(DaB!DW77:DY77),0))</f>
        <v>0</v>
      </c>
      <c r="CP77" s="34">
        <f>IF(CR77=0,0,MIN(DaB!$EB77:$EC77)-SUM($C77:CO77))</f>
        <v>0</v>
      </c>
      <c r="CQ77" s="29">
        <f>IF(CR77=0,0,IF(DaB!EB77&gt;0,DaB!EC77-DaB!EB77,0))</f>
        <v>0</v>
      </c>
      <c r="CR77" s="33">
        <f>IF(DaB!ED77&gt;0,DaB!ED77-DaB!EC77+1,0)</f>
        <v>0</v>
      </c>
      <c r="CS77" s="32">
        <f>IF(CR77=0,0,IF(DaB!EF77&gt;0,DaB!EF77-DaB!EE77+1,0))</f>
        <v>0</v>
      </c>
      <c r="CT77" s="30">
        <f>IF(CR77=0,0,IF(DaB!EG77&gt;0,DaB!EG77-MAX(DaB!ED77:EF77),0))</f>
        <v>0</v>
      </c>
      <c r="CU77" s="34">
        <f>IF(CW77=0,0,MIN(DaB!$EI77:$EJ77)-SUM($C77:CT77))</f>
        <v>0</v>
      </c>
      <c r="CV77" s="29">
        <f>IF(CW77=0,0,IF(DaB!EI77&gt;0,DaB!EJ77-DaB!EI77,0))</f>
        <v>0</v>
      </c>
      <c r="CW77" s="33">
        <f>IF(DaB!EK77&gt;0,DaB!EK77-DaB!EJ77+1,0)</f>
        <v>0</v>
      </c>
      <c r="CX77" s="32">
        <f>IF(CW77=0,0,IF(DaB!EM77&gt;0,DaB!EM77-DaB!EL77+1,0))</f>
        <v>0</v>
      </c>
      <c r="CY77" s="30">
        <f>IF(CW77=0,0,IF(DaB!EN77&gt;0,DaB!EN77-MAX(DaB!EK77:EM77),0))</f>
        <v>0</v>
      </c>
      <c r="DF77" s="2">
        <f t="shared" si="5"/>
        <v>45474</v>
      </c>
      <c r="DG77" s="28"/>
      <c r="DH77" s="29"/>
      <c r="DI77" s="10"/>
      <c r="DJ77" s="10"/>
      <c r="DK77" s="11"/>
      <c r="DL77" s="11"/>
      <c r="DM77" s="30"/>
      <c r="DN77" s="28"/>
      <c r="DO77" s="29"/>
      <c r="DP77" s="10"/>
      <c r="DQ77" s="10"/>
      <c r="DR77" s="11"/>
      <c r="DS77" s="11"/>
      <c r="DT77" s="30"/>
      <c r="DU77" s="28"/>
      <c r="DV77" s="29"/>
      <c r="DW77" s="10"/>
      <c r="DX77" s="10"/>
      <c r="DY77" s="11"/>
      <c r="DZ77" s="11"/>
      <c r="EA77" s="30"/>
      <c r="EB77" s="28"/>
      <c r="EC77" s="29"/>
      <c r="ED77" s="10"/>
      <c r="EE77" s="10"/>
      <c r="EF77" s="11"/>
      <c r="EG77" s="11"/>
      <c r="EH77" s="30"/>
      <c r="EI77" s="34"/>
      <c r="EJ77" s="29"/>
      <c r="EK77" s="10"/>
      <c r="EL77" s="10"/>
      <c r="EM77" s="30"/>
      <c r="EN77" s="34"/>
      <c r="EO77" s="29"/>
      <c r="EP77" s="47"/>
      <c r="EQ77" s="47"/>
      <c r="ER77" s="30"/>
      <c r="ES77" s="34"/>
      <c r="ET77" s="29"/>
      <c r="EU77" s="47"/>
      <c r="EV77" s="47"/>
      <c r="EW77" s="30"/>
    </row>
    <row r="78" spans="1:153" x14ac:dyDescent="0.2">
      <c r="A78" s="2" t="str">
        <f>DaB!A78</f>
        <v>Calendar 37</v>
      </c>
      <c r="B78" s="2" t="str">
        <f t="shared" si="6"/>
        <v>.</v>
      </c>
      <c r="C78" s="27">
        <f t="shared" si="7"/>
        <v>45474</v>
      </c>
      <c r="D78" s="34">
        <f>IFERROR(MIN(DaB!F78:K78)-C78,0)</f>
        <v>-45474</v>
      </c>
      <c r="E78" s="29">
        <f>IF(F78=0,0,IF(DaB!F78&gt;0,DaB!G78-DaB!F78,0))</f>
        <v>0</v>
      </c>
      <c r="F78" s="33">
        <f>IF(DaB!G78&gt;MAX(DaB!EV78,DaB!FJ78),DaB!H78-DaB!G78+1,
IF(DaB!H78&gt;0,DaB!H78-DaB!G78,0))</f>
        <v>0</v>
      </c>
      <c r="G78" s="32">
        <f>IF(F78=0,0,IF(DaB!J78&gt;0,DaB!J78-DaB!I78+1,0))</f>
        <v>0</v>
      </c>
      <c r="H78" s="30">
        <f>IF(F78=0,0,IF(DaB!K78&gt;0,DaB!K78-MAX(DaB!H78:J78),0))</f>
        <v>0</v>
      </c>
      <c r="I78" s="34">
        <f>IF(K78=0,0,MIN(DaB!$M78:$N78)-SUM($C78:H78))</f>
        <v>0</v>
      </c>
      <c r="J78" s="29">
        <f>IF(K78=0,0,IF(DaB!M78&gt;0,DaB!N78-DaB!M78,0))</f>
        <v>0</v>
      </c>
      <c r="K78" s="33">
        <f>IF(DaB!O78&gt;0,DaB!O78-DaB!N78+1,0)</f>
        <v>0</v>
      </c>
      <c r="L78" s="32">
        <f>IF(K78=0,0,IF(DaB!Q78&gt;0,DaB!Q78-DaB!P78+1,0))</f>
        <v>0</v>
      </c>
      <c r="M78" s="30">
        <f>IF(K78=0,0,IF(DaB!R78&gt;0,DaB!R78-MAX(DaB!O78:Q78),0))</f>
        <v>0</v>
      </c>
      <c r="N78" s="31">
        <f>IF(P78=0,0,MIN(DaB!$T78:$U78)-SUM($C78:M78))</f>
        <v>0</v>
      </c>
      <c r="O78" s="29">
        <f>IF(P78=0,0,IF(DaB!T78&gt;0,DaB!U78-DaB!T78,0))</f>
        <v>0</v>
      </c>
      <c r="P78" s="33">
        <f>IF(DaB!V78&gt;0,DaB!V78-DaB!U78+1,0)</f>
        <v>0</v>
      </c>
      <c r="Q78" s="32">
        <f>IF(P78=0,0,IF(DaB!X78&gt;0,DaB!X78-DaB!W78+1,0))</f>
        <v>0</v>
      </c>
      <c r="R78" s="30">
        <f>IF(P78=0,0,IF(DaB!Y78&gt;0,DaB!Y78-MAX(DaB!V78:X78),0))</f>
        <v>0</v>
      </c>
      <c r="S78" s="34">
        <f>IF(U78=0,0,MIN(DaB!$AA78:$AB78)-SUM($C78:R78))</f>
        <v>0</v>
      </c>
      <c r="T78" s="29">
        <f>IF(U78=0,0,IF(DaB!AA78&gt;0,DaB!AB78-DaB!AA78,0))</f>
        <v>0</v>
      </c>
      <c r="U78" s="33">
        <f>IF(DaB!AC78&gt;0,DaB!AC78-DaB!AB78+1,0)</f>
        <v>0</v>
      </c>
      <c r="V78" s="32">
        <f>IF(U78=0,0,IF(DaB!AE78&gt;0,DaB!AE78-DaB!AD78+1,0))</f>
        <v>0</v>
      </c>
      <c r="W78" s="30">
        <f>IF(U78=0,0,IF(DaB!AF78&gt;0,DaB!AF78-MAX(DaB!AC78:AE78),0))</f>
        <v>0</v>
      </c>
      <c r="X78" s="34">
        <f>IF(Z78=0,0,MIN(DaB!$AH78:$AI78)-SUM($C78:W78))</f>
        <v>0</v>
      </c>
      <c r="Y78" s="29">
        <f>IF(Z78=0,0,IF(DaB!AH78&gt;0,DaB!AI78-DaB!AH78,0))</f>
        <v>0</v>
      </c>
      <c r="Z78" s="33">
        <f>IF(DaB!AJ78&gt;0,DaB!AJ78-DaB!AI78+1,0)</f>
        <v>0</v>
      </c>
      <c r="AA78" s="32">
        <f>IF(Z78=0,0,IF(DaB!AL78&gt;0,DaB!AL78-DaB!AK78+1,0))</f>
        <v>0</v>
      </c>
      <c r="AB78" s="30">
        <f>IF(Z78=0,0,IF(DaB!AM78&gt;0,DaB!AM78-MAX(DaB!AJ78:AL78),0))</f>
        <v>0</v>
      </c>
      <c r="AC78" s="34">
        <f>IF(AE78=0,0,MIN(DaB!$AO78:$AP78)-SUM($C78:AB78))</f>
        <v>0</v>
      </c>
      <c r="AD78" s="29">
        <f>IF(AE78=0,0,IF(DaB!AO78&gt;0,DaB!AP78-DaB!AO78,0))</f>
        <v>0</v>
      </c>
      <c r="AE78" s="33">
        <f>IF(DaB!AQ78&gt;0,DaB!AQ78-DaB!AP78+1,0)</f>
        <v>0</v>
      </c>
      <c r="AF78" s="32">
        <f>IF(AE78=0,0,IF(DaB!AS78&gt;0,DaB!AS78-DaB!AR78+1,0))</f>
        <v>0</v>
      </c>
      <c r="AG78" s="30">
        <f>IF(AE78=0,0,IF(DaB!AT78&gt;0,DaB!AT78-MAX(DaB!AQ78:AS78),0))</f>
        <v>0</v>
      </c>
      <c r="AH78" s="34">
        <f>IF(AJ78=0,0,MIN(DaB!$AV78:$AW78)-SUM($C78:AG78))</f>
        <v>0</v>
      </c>
      <c r="AI78" s="29">
        <f>IF(AJ78=0,0,IF(DaB!AV78&gt;0,DaB!AW78-DaB!AV78,0))</f>
        <v>0</v>
      </c>
      <c r="AJ78" s="33">
        <f>IF(DaB!AX78&gt;0,DaB!AX78-DaB!AW78+1,0)</f>
        <v>0</v>
      </c>
      <c r="AK78" s="32">
        <f>IF(AJ78=0,0,IF(DaB!AZ78&gt;0,DaB!AZ78-DaB!AY78+1,0))</f>
        <v>0</v>
      </c>
      <c r="AL78" s="30">
        <f>IF(AJ78=0,0,IF(DaB!BA78&gt;0,DaB!BA78-MAX(DaB!AX78:AZ78),0))</f>
        <v>0</v>
      </c>
      <c r="AM78" s="34">
        <f>IF(AO78=0,0,MIN(DaB!$BC78:$BD78)-SUM($C78:AL78))</f>
        <v>0</v>
      </c>
      <c r="AN78" s="29">
        <f>IF(AO78=0,0,IF(DaB!BC78&gt;0,DaB!BD78-DaB!BC78,0))</f>
        <v>0</v>
      </c>
      <c r="AO78" s="33">
        <f>IF(DaB!BE78&gt;0,DaB!BE78-DaB!BD78+1,0)</f>
        <v>0</v>
      </c>
      <c r="AP78" s="32">
        <f>IF(AO78=0,0,IF(DaB!BG78&gt;0,DaB!BG78-DaB!BF78+1,0))</f>
        <v>0</v>
      </c>
      <c r="AQ78" s="30">
        <f>IF(AO78=0,0,IF(DaB!BH78&gt;0,DaB!BH78-MAX(DaB!BE78:BG78),0))</f>
        <v>0</v>
      </c>
      <c r="AR78" s="34">
        <f>IF(AT78=0,0,MIN(DaB!$BJ78:$BK78)-SUM($C78:AQ78))</f>
        <v>0</v>
      </c>
      <c r="AS78" s="29">
        <f>IF(AT78=0,0,IF(DaB!BJ78&gt;0,DaB!BK78-DaB!BJ78,0))</f>
        <v>0</v>
      </c>
      <c r="AT78" s="33">
        <f>IF(DaB!BL78&gt;0,DaB!BL78-DaB!BK78+1,0)</f>
        <v>0</v>
      </c>
      <c r="AU78" s="32">
        <f>IF(AT78=0,0,IF(DaB!BN78&gt;0,DaB!BN78-DaB!BM78+1,0))</f>
        <v>0</v>
      </c>
      <c r="AV78" s="30">
        <f>IF(AT78=0,0,IF(DaB!BO78&gt;0,DaB!BO78-MAX(DaB!BL78:BN78),0))</f>
        <v>0</v>
      </c>
      <c r="AW78" s="34">
        <f>IF(AY78=0,0,MIN(DaB!$BQ78:$BR78)-SUM($C78:AV78))</f>
        <v>0</v>
      </c>
      <c r="AX78" s="29">
        <f>IF(AY78=0,0,IF(DaB!BQ78&gt;0,DaB!BR78-DaB!BQ78,0))</f>
        <v>0</v>
      </c>
      <c r="AY78" s="33">
        <f>IF(DaB!BS78&gt;0,DaB!BS78-DaB!BR78+1,0)</f>
        <v>0</v>
      </c>
      <c r="AZ78" s="32">
        <f>IF(AY78=0,0,IF(DaB!BU78&gt;0,DaB!BU78-DaB!BT78+1,0))</f>
        <v>0</v>
      </c>
      <c r="BA78" s="30">
        <f>IF(AY78=0,0,IF(DaB!BV78&gt;0,DaB!BV78-MAX(DaB!BS78:BU78),0))</f>
        <v>0</v>
      </c>
      <c r="BB78" s="34">
        <f>IF(BD78=0,0,MIN(DaB!$BX78:$BY78)-SUM($C78:BA78))</f>
        <v>0</v>
      </c>
      <c r="BC78" s="29">
        <f>IF(BD78=0,0,IF(DaB!BX78&gt;0,DaB!BY78-DaB!BX78,0))</f>
        <v>0</v>
      </c>
      <c r="BD78" s="33">
        <f>IF(DaB!BZ78&gt;0,DaB!BZ78-DaB!BY78+1,0)</f>
        <v>0</v>
      </c>
      <c r="BE78" s="32">
        <f>IF(BD78=0,0,IF(DaB!CB78&gt;0,DaB!CB78-DaB!CA78+1,0))</f>
        <v>0</v>
      </c>
      <c r="BF78" s="30">
        <f>IF(BD78=0,0,IF(DaB!CC78&gt;0,DaB!CC78-MAX(DaB!BZ78:CB78),0))</f>
        <v>0</v>
      </c>
      <c r="BG78" s="34">
        <f>IF(BI78=0,0,MIN(DaB!$CE78:$CF78)-SUM($C78:BF78))</f>
        <v>0</v>
      </c>
      <c r="BH78" s="29">
        <f>IF(BI78=0,0,IF(DaB!CE78&gt;0,DaB!CF78-DaB!CE78,0))</f>
        <v>0</v>
      </c>
      <c r="BI78" s="33">
        <f>IF(DaB!CG78&gt;0,DaB!CG78-DaB!CF78+1,0)</f>
        <v>0</v>
      </c>
      <c r="BJ78" s="32">
        <f>IF(BI78=0,0,IF(DaB!CI78&gt;0,DaB!CI78-DaB!CH78+1,0))</f>
        <v>0</v>
      </c>
      <c r="BK78" s="30">
        <f>IF(BI78=0,0,IF(DaB!CJ78&gt;0,DaB!CJ78-MAX(DaB!CG78:CI78),0))</f>
        <v>0</v>
      </c>
      <c r="BL78" s="34">
        <f>IF(BN78=0,0,MIN(DaB!$CL78:$CM78)-SUM($C78:BK78))</f>
        <v>0</v>
      </c>
      <c r="BM78" s="29">
        <f>IF(BN78=0,0,IF(DaB!CL78&gt;0,DaB!CM78-DaB!CL78,0))</f>
        <v>0</v>
      </c>
      <c r="BN78" s="33">
        <f>IF(DaB!CN78&gt;0,DaB!CN78-DaB!CM78+1,0)</f>
        <v>0</v>
      </c>
      <c r="BO78" s="32">
        <f>IF(BN78=0,0,IF(DaB!CP78&gt;0,DaB!CP78-DaB!CO78+1,0))</f>
        <v>0</v>
      </c>
      <c r="BP78" s="30">
        <f>IF(BN78=0,0,IF(DaB!CQ78&gt;0,DaB!CQ78-MAX(DaB!CN78:CP78),0))</f>
        <v>0</v>
      </c>
      <c r="BQ78" s="34">
        <f>IF(BS78=0,0,MIN(DaB!$CS78:$CT78)-SUM($C78:BP78))</f>
        <v>0</v>
      </c>
      <c r="BR78" s="29">
        <f>IF(BS78=0,0,IF(DaB!CS78&gt;0,DaB!CT78-DaB!CS78,0))</f>
        <v>0</v>
      </c>
      <c r="BS78" s="33">
        <f>IF(DaB!CU78&gt;0,DaB!CU78-DaB!CT78+1,0)</f>
        <v>0</v>
      </c>
      <c r="BT78" s="32">
        <f>IF(BS78=0,0,IF(DaB!CW78&gt;0,DaB!CW78-DaB!CV78+1,0))</f>
        <v>0</v>
      </c>
      <c r="BU78" s="30">
        <f>IF(BS78=0,0,IF(DaB!CX78&gt;0,DaB!CX78-MAX(DaB!CU78:CW78),0))</f>
        <v>0</v>
      </c>
      <c r="BV78" s="34">
        <f>IF(BX78=0,0,MIN(DaB!$CZ78:$DA78)-SUM($C78:BU78))</f>
        <v>0</v>
      </c>
      <c r="BW78" s="29">
        <f>IF(BX78=0,0,IF(DaB!CZ78&gt;0,DaB!DA78-DaB!CZ78,0))</f>
        <v>0</v>
      </c>
      <c r="BX78" s="33">
        <f>IF(DaB!DB78&gt;0,DaB!DB78-DaB!DA78+1,0)</f>
        <v>0</v>
      </c>
      <c r="BY78" s="32">
        <f>IF(BX78=0,0,IF(DaB!DD78&gt;0,DaB!DD78-DaB!DC78+1,0))</f>
        <v>0</v>
      </c>
      <c r="BZ78" s="30">
        <f>IF(BX78=0,0,IF(DaB!DE78&gt;0,DaB!DE78-MAX(DaB!DB78:DD78),0))</f>
        <v>0</v>
      </c>
      <c r="CA78" s="34">
        <f>IF(CC78=0,0,MIN(DaB!$DG78:$DH78)-SUM($C78:BZ78))</f>
        <v>0</v>
      </c>
      <c r="CB78" s="29">
        <f>IF(CC78=0,0,IF(DaB!DG78&gt;0,DaB!DH78-DaB!DG78,0))</f>
        <v>0</v>
      </c>
      <c r="CC78" s="33">
        <f>IF(DaB!DI78&gt;0,DaB!DI78-DaB!DH78+1,0)</f>
        <v>0</v>
      </c>
      <c r="CD78" s="32">
        <f>IF(CC78=0,0,IF(DaB!DK78&gt;0,DaB!DK78-DaB!DJ78+1,0))</f>
        <v>0</v>
      </c>
      <c r="CE78" s="30">
        <f>IF(CC78=0,0,IF(DaB!DL78&gt;0,DaB!DL78-MAX(DaB!DI78:DK78),0))</f>
        <v>0</v>
      </c>
      <c r="CF78" s="34">
        <f>IF(CH78=0,0,MIN(DaB!$DN78:$DO78)-SUM($C78:CE78))</f>
        <v>0</v>
      </c>
      <c r="CG78" s="29">
        <f>IF(CH78=0,0,IF(DaB!DN78&gt;0,DaB!DO78-DaB!DN78,0))</f>
        <v>0</v>
      </c>
      <c r="CH78" s="33">
        <f>IF(DaB!DP78&gt;0,DaB!DP78-DaB!DO78+1,0)</f>
        <v>0</v>
      </c>
      <c r="CI78" s="32">
        <f>IF(CH78=0,0,IF(DaB!DR78&gt;0,DaB!DR78-DaB!DQ78+1,0))</f>
        <v>0</v>
      </c>
      <c r="CJ78" s="30">
        <f>IF(CH78=0,0,IF(DaB!DS78&gt;0,DaB!DS78-MAX(DaB!DP78:DR78),0))</f>
        <v>0</v>
      </c>
      <c r="CK78" s="34">
        <f>IF(CM78=0,0,MIN(DaB!$DU78:$DV78)-SUM($C78:CJ78))</f>
        <v>0</v>
      </c>
      <c r="CL78" s="29">
        <f>IF(CM78=0,0,IF(DaB!DU78&gt;0,DaB!DV78-DaB!DU78,0))</f>
        <v>0</v>
      </c>
      <c r="CM78" s="33">
        <f>IF(DaB!DW78&gt;0,DaB!DW78-DaB!DV78+1,0)</f>
        <v>0</v>
      </c>
      <c r="CN78" s="32">
        <f>IF(CM78=0,0,IF(DaB!DY78&gt;0,DaB!DY78-DaB!DX78+1,0))</f>
        <v>0</v>
      </c>
      <c r="CO78" s="30">
        <f>IF(CM78=0,0,IF(DaB!DZ78&gt;0,DaB!DZ78-MAX(DaB!DW78:DY78),0))</f>
        <v>0</v>
      </c>
      <c r="CP78" s="34">
        <f>IF(CR78=0,0,MIN(DaB!$EB78:$EC78)-SUM($C78:CO78))</f>
        <v>0</v>
      </c>
      <c r="CQ78" s="29">
        <f>IF(CR78=0,0,IF(DaB!EB78&gt;0,DaB!EC78-DaB!EB78,0))</f>
        <v>0</v>
      </c>
      <c r="CR78" s="33">
        <f>IF(DaB!ED78&gt;0,DaB!ED78-DaB!EC78+1,0)</f>
        <v>0</v>
      </c>
      <c r="CS78" s="32">
        <f>IF(CR78=0,0,IF(DaB!EF78&gt;0,DaB!EF78-DaB!EE78+1,0))</f>
        <v>0</v>
      </c>
      <c r="CT78" s="30">
        <f>IF(CR78=0,0,IF(DaB!EG78&gt;0,DaB!EG78-MAX(DaB!ED78:EF78),0))</f>
        <v>0</v>
      </c>
      <c r="CU78" s="34">
        <f>IF(CW78=0,0,MIN(DaB!$EI78:$EJ78)-SUM($C78:CT78))</f>
        <v>0</v>
      </c>
      <c r="CV78" s="29">
        <f>IF(CW78=0,0,IF(DaB!EI78&gt;0,DaB!EJ78-DaB!EI78,0))</f>
        <v>0</v>
      </c>
      <c r="CW78" s="33">
        <f>IF(DaB!EK78&gt;0,DaB!EK78-DaB!EJ78+1,0)</f>
        <v>0</v>
      </c>
      <c r="CX78" s="32">
        <f>IF(CW78=0,0,IF(DaB!EM78&gt;0,DaB!EM78-DaB!EL78+1,0))</f>
        <v>0</v>
      </c>
      <c r="CY78" s="30">
        <f>IF(CW78=0,0,IF(DaB!EN78&gt;0,DaB!EN78-MAX(DaB!EK78:EM78),0))</f>
        <v>0</v>
      </c>
      <c r="DF78" s="2">
        <f t="shared" si="5"/>
        <v>45474</v>
      </c>
      <c r="DG78" s="28"/>
      <c r="DH78" s="29"/>
      <c r="DI78" s="10"/>
      <c r="DJ78" s="10"/>
      <c r="DK78" s="11"/>
      <c r="DL78" s="11"/>
      <c r="DM78" s="30"/>
      <c r="DN78" s="28"/>
      <c r="DO78" s="29"/>
      <c r="DP78" s="10"/>
      <c r="DQ78" s="10"/>
      <c r="DR78" s="11"/>
      <c r="DS78" s="11"/>
      <c r="DT78" s="30"/>
      <c r="DU78" s="28"/>
      <c r="DV78" s="29"/>
      <c r="DW78" s="10"/>
      <c r="DX78" s="10"/>
      <c r="DY78" s="11"/>
      <c r="DZ78" s="11"/>
      <c r="EA78" s="30"/>
      <c r="EB78" s="28"/>
      <c r="EC78" s="29"/>
      <c r="ED78" s="10"/>
      <c r="EE78" s="10"/>
      <c r="EF78" s="11"/>
      <c r="EG78" s="11"/>
      <c r="EH78" s="30"/>
      <c r="EI78" s="34"/>
      <c r="EJ78" s="29"/>
      <c r="EK78" s="10"/>
      <c r="EL78" s="10"/>
      <c r="EM78" s="30"/>
      <c r="EN78" s="34"/>
      <c r="EO78" s="29"/>
      <c r="EP78" s="47"/>
      <c r="EQ78" s="47"/>
      <c r="ER78" s="30"/>
      <c r="ES78" s="34"/>
      <c r="ET78" s="29"/>
      <c r="EU78" s="47"/>
      <c r="EV78" s="47"/>
      <c r="EW78" s="30"/>
    </row>
    <row r="79" spans="1:153" x14ac:dyDescent="0.2">
      <c r="A79" s="2" t="str">
        <f>DaB!A79</f>
        <v>Calendar 37</v>
      </c>
      <c r="B79" s="2" t="str">
        <f t="shared" si="6"/>
        <v>.</v>
      </c>
      <c r="C79" s="27">
        <f t="shared" si="7"/>
        <v>45474</v>
      </c>
      <c r="D79" s="34">
        <f>IFERROR(MIN(DaB!F79:K79)-C79,0)</f>
        <v>-45474</v>
      </c>
      <c r="E79" s="29">
        <f>IF(F79=0,0,IF(DaB!F79&gt;0,DaB!G79-DaB!F79,0))</f>
        <v>0</v>
      </c>
      <c r="F79" s="33">
        <f>IF(DaB!G79&gt;MAX(DaB!EV79,DaB!FJ79),DaB!H79-DaB!G79+1,
IF(DaB!H79&gt;0,DaB!H79-DaB!G79,0))</f>
        <v>0</v>
      </c>
      <c r="G79" s="32">
        <f>IF(F79=0,0,IF(DaB!J79&gt;0,DaB!J79-DaB!I79+1,0))</f>
        <v>0</v>
      </c>
      <c r="H79" s="30">
        <f>IF(F79=0,0,IF(DaB!K79&gt;0,DaB!K79-MAX(DaB!H79:J79),0))</f>
        <v>0</v>
      </c>
      <c r="I79" s="34">
        <f>IF(K79=0,0,MIN(DaB!$M79:$N79)-SUM($C79:H79))</f>
        <v>0</v>
      </c>
      <c r="J79" s="29">
        <f>IF(K79=0,0,IF(DaB!M79&gt;0,DaB!N79-DaB!M79,0))</f>
        <v>0</v>
      </c>
      <c r="K79" s="33">
        <f>IF(DaB!O79&gt;0,DaB!O79-DaB!N79+1,0)</f>
        <v>0</v>
      </c>
      <c r="L79" s="32">
        <f>IF(K79=0,0,IF(DaB!Q79&gt;0,DaB!Q79-DaB!P79+1,0))</f>
        <v>0</v>
      </c>
      <c r="M79" s="30">
        <f>IF(K79=0,0,IF(DaB!R79&gt;0,DaB!R79-MAX(DaB!O79:Q79),0))</f>
        <v>0</v>
      </c>
      <c r="N79" s="31">
        <f>IF(P79=0,0,MIN(DaB!$T79:$U79)-SUM($C79:M79))</f>
        <v>0</v>
      </c>
      <c r="O79" s="29">
        <f>IF(P79=0,0,IF(DaB!T79&gt;0,DaB!U79-DaB!T79,0))</f>
        <v>0</v>
      </c>
      <c r="P79" s="33">
        <f>IF(DaB!V79&gt;0,DaB!V79-DaB!U79+1,0)</f>
        <v>0</v>
      </c>
      <c r="Q79" s="32">
        <f>IF(P79=0,0,IF(DaB!X79&gt;0,DaB!X79-DaB!W79+1,0))</f>
        <v>0</v>
      </c>
      <c r="R79" s="30">
        <f>IF(P79=0,0,IF(DaB!Y79&gt;0,DaB!Y79-MAX(DaB!V79:X79),0))</f>
        <v>0</v>
      </c>
      <c r="S79" s="34">
        <f>IF(U79=0,0,MIN(DaB!$AA79:$AB79)-SUM($C79:R79))</f>
        <v>0</v>
      </c>
      <c r="T79" s="29">
        <f>IF(U79=0,0,IF(DaB!AA79&gt;0,DaB!AB79-DaB!AA79,0))</f>
        <v>0</v>
      </c>
      <c r="U79" s="33">
        <f>IF(DaB!AC79&gt;0,DaB!AC79-DaB!AB79+1,0)</f>
        <v>0</v>
      </c>
      <c r="V79" s="32">
        <f>IF(U79=0,0,IF(DaB!AE79&gt;0,DaB!AE79-DaB!AD79+1,0))</f>
        <v>0</v>
      </c>
      <c r="W79" s="30">
        <f>IF(U79=0,0,IF(DaB!AF79&gt;0,DaB!AF79-MAX(DaB!AC79:AE79),0))</f>
        <v>0</v>
      </c>
      <c r="X79" s="34">
        <f>IF(Z79=0,0,MIN(DaB!$AH79:$AI79)-SUM($C79:W79))</f>
        <v>0</v>
      </c>
      <c r="Y79" s="29">
        <f>IF(Z79=0,0,IF(DaB!AH79&gt;0,DaB!AI79-DaB!AH79,0))</f>
        <v>0</v>
      </c>
      <c r="Z79" s="33">
        <f>IF(DaB!AJ79&gt;0,DaB!AJ79-DaB!AI79+1,0)</f>
        <v>0</v>
      </c>
      <c r="AA79" s="32">
        <f>IF(Z79=0,0,IF(DaB!AL79&gt;0,DaB!AL79-DaB!AK79+1,0))</f>
        <v>0</v>
      </c>
      <c r="AB79" s="30">
        <f>IF(Z79=0,0,IF(DaB!AM79&gt;0,DaB!AM79-MAX(DaB!AJ79:AL79),0))</f>
        <v>0</v>
      </c>
      <c r="AC79" s="34">
        <f>IF(AE79=0,0,MIN(DaB!$AO79:$AP79)-SUM($C79:AB79))</f>
        <v>0</v>
      </c>
      <c r="AD79" s="29">
        <f>IF(AE79=0,0,IF(DaB!AO79&gt;0,DaB!AP79-DaB!AO79,0))</f>
        <v>0</v>
      </c>
      <c r="AE79" s="33">
        <f>IF(DaB!AQ79&gt;0,DaB!AQ79-DaB!AP79+1,0)</f>
        <v>0</v>
      </c>
      <c r="AF79" s="32">
        <f>IF(AE79=0,0,IF(DaB!AS79&gt;0,DaB!AS79-DaB!AR79+1,0))</f>
        <v>0</v>
      </c>
      <c r="AG79" s="30">
        <f>IF(AE79=0,0,IF(DaB!AT79&gt;0,DaB!AT79-MAX(DaB!AQ79:AS79),0))</f>
        <v>0</v>
      </c>
      <c r="AH79" s="34">
        <f>IF(AJ79=0,0,MIN(DaB!$AV79:$AW79)-SUM($C79:AG79))</f>
        <v>0</v>
      </c>
      <c r="AI79" s="29">
        <f>IF(AJ79=0,0,IF(DaB!AV79&gt;0,DaB!AW79-DaB!AV79,0))</f>
        <v>0</v>
      </c>
      <c r="AJ79" s="33">
        <f>IF(DaB!AX79&gt;0,DaB!AX79-DaB!AW79+1,0)</f>
        <v>0</v>
      </c>
      <c r="AK79" s="32">
        <f>IF(AJ79=0,0,IF(DaB!AZ79&gt;0,DaB!AZ79-DaB!AY79+1,0))</f>
        <v>0</v>
      </c>
      <c r="AL79" s="30">
        <f>IF(AJ79=0,0,IF(DaB!BA79&gt;0,DaB!BA79-MAX(DaB!AX79:AZ79),0))</f>
        <v>0</v>
      </c>
      <c r="AM79" s="34">
        <f>IF(AO79=0,0,MIN(DaB!$BC79:$BD79)-SUM($C79:AL79))</f>
        <v>0</v>
      </c>
      <c r="AN79" s="29">
        <f>IF(AO79=0,0,IF(DaB!BC79&gt;0,DaB!BD79-DaB!BC79,0))</f>
        <v>0</v>
      </c>
      <c r="AO79" s="33">
        <f>IF(DaB!BE79&gt;0,DaB!BE79-DaB!BD79+1,0)</f>
        <v>0</v>
      </c>
      <c r="AP79" s="32">
        <f>IF(AO79=0,0,IF(DaB!BG79&gt;0,DaB!BG79-DaB!BF79+1,0))</f>
        <v>0</v>
      </c>
      <c r="AQ79" s="30">
        <f>IF(AO79=0,0,IF(DaB!BH79&gt;0,DaB!BH79-MAX(DaB!BE79:BG79),0))</f>
        <v>0</v>
      </c>
      <c r="AR79" s="34">
        <f>IF(AT79=0,0,MIN(DaB!$BJ79:$BK79)-SUM($C79:AQ79))</f>
        <v>0</v>
      </c>
      <c r="AS79" s="29">
        <f>IF(AT79=0,0,IF(DaB!BJ79&gt;0,DaB!BK79-DaB!BJ79,0))</f>
        <v>0</v>
      </c>
      <c r="AT79" s="33">
        <f>IF(DaB!BL79&gt;0,DaB!BL79-DaB!BK79+1,0)</f>
        <v>0</v>
      </c>
      <c r="AU79" s="32">
        <f>IF(AT79=0,0,IF(DaB!BN79&gt;0,DaB!BN79-DaB!BM79+1,0))</f>
        <v>0</v>
      </c>
      <c r="AV79" s="30">
        <f>IF(AT79=0,0,IF(DaB!BO79&gt;0,DaB!BO79-MAX(DaB!BL79:BN79),0))</f>
        <v>0</v>
      </c>
      <c r="AW79" s="34">
        <f>IF(AY79=0,0,MIN(DaB!$BQ79:$BR79)-SUM($C79:AV79))</f>
        <v>0</v>
      </c>
      <c r="AX79" s="29">
        <f>IF(AY79=0,0,IF(DaB!BQ79&gt;0,DaB!BR79-DaB!BQ79,0))</f>
        <v>0</v>
      </c>
      <c r="AY79" s="33">
        <f>IF(DaB!BS79&gt;0,DaB!BS79-DaB!BR79+1,0)</f>
        <v>0</v>
      </c>
      <c r="AZ79" s="32">
        <f>IF(AY79=0,0,IF(DaB!BU79&gt;0,DaB!BU79-DaB!BT79+1,0))</f>
        <v>0</v>
      </c>
      <c r="BA79" s="30">
        <f>IF(AY79=0,0,IF(DaB!BV79&gt;0,DaB!BV79-MAX(DaB!BS79:BU79),0))</f>
        <v>0</v>
      </c>
      <c r="BB79" s="34">
        <f>IF(BD79=0,0,MIN(DaB!$BX79:$BY79)-SUM($C79:BA79))</f>
        <v>0</v>
      </c>
      <c r="BC79" s="29">
        <f>IF(BD79=0,0,IF(DaB!BX79&gt;0,DaB!BY79-DaB!BX79,0))</f>
        <v>0</v>
      </c>
      <c r="BD79" s="33">
        <f>IF(DaB!BZ79&gt;0,DaB!BZ79-DaB!BY79+1,0)</f>
        <v>0</v>
      </c>
      <c r="BE79" s="32">
        <f>IF(BD79=0,0,IF(DaB!CB79&gt;0,DaB!CB79-DaB!CA79+1,0))</f>
        <v>0</v>
      </c>
      <c r="BF79" s="30">
        <f>IF(BD79=0,0,IF(DaB!CC79&gt;0,DaB!CC79-MAX(DaB!BZ79:CB79),0))</f>
        <v>0</v>
      </c>
      <c r="BG79" s="34">
        <f>IF(BI79=0,0,MIN(DaB!$CE79:$CF79)-SUM($C79:BF79))</f>
        <v>0</v>
      </c>
      <c r="BH79" s="29">
        <f>IF(BI79=0,0,IF(DaB!CE79&gt;0,DaB!CF79-DaB!CE79,0))</f>
        <v>0</v>
      </c>
      <c r="BI79" s="33">
        <f>IF(DaB!CG79&gt;0,DaB!CG79-DaB!CF79+1,0)</f>
        <v>0</v>
      </c>
      <c r="BJ79" s="32">
        <f>IF(BI79=0,0,IF(DaB!CI79&gt;0,DaB!CI79-DaB!CH79+1,0))</f>
        <v>0</v>
      </c>
      <c r="BK79" s="30">
        <f>IF(BI79=0,0,IF(DaB!CJ79&gt;0,DaB!CJ79-MAX(DaB!CG79:CI79),0))</f>
        <v>0</v>
      </c>
      <c r="BL79" s="34">
        <f>IF(BN79=0,0,MIN(DaB!$CL79:$CM79)-SUM($C79:BK79))</f>
        <v>0</v>
      </c>
      <c r="BM79" s="29">
        <f>IF(BN79=0,0,IF(DaB!CL79&gt;0,DaB!CM79-DaB!CL79,0))</f>
        <v>0</v>
      </c>
      <c r="BN79" s="33">
        <f>IF(DaB!CN79&gt;0,DaB!CN79-DaB!CM79+1,0)</f>
        <v>0</v>
      </c>
      <c r="BO79" s="32">
        <f>IF(BN79=0,0,IF(DaB!CP79&gt;0,DaB!CP79-DaB!CO79+1,0))</f>
        <v>0</v>
      </c>
      <c r="BP79" s="30">
        <f>IF(BN79=0,0,IF(DaB!CQ79&gt;0,DaB!CQ79-MAX(DaB!CN79:CP79),0))</f>
        <v>0</v>
      </c>
      <c r="BQ79" s="34">
        <f>IF(BS79=0,0,MIN(DaB!$CS79:$CT79)-SUM($C79:BP79))</f>
        <v>0</v>
      </c>
      <c r="BR79" s="29">
        <f>IF(BS79=0,0,IF(DaB!CS79&gt;0,DaB!CT79-DaB!CS79,0))</f>
        <v>0</v>
      </c>
      <c r="BS79" s="33">
        <f>IF(DaB!CU79&gt;0,DaB!CU79-DaB!CT79+1,0)</f>
        <v>0</v>
      </c>
      <c r="BT79" s="32">
        <f>IF(BS79=0,0,IF(DaB!CW79&gt;0,DaB!CW79-DaB!CV79+1,0))</f>
        <v>0</v>
      </c>
      <c r="BU79" s="30">
        <f>IF(BS79=0,0,IF(DaB!CX79&gt;0,DaB!CX79-MAX(DaB!CU79:CW79),0))</f>
        <v>0</v>
      </c>
      <c r="BV79" s="34">
        <f>IF(BX79=0,0,MIN(DaB!$CZ79:$DA79)-SUM($C79:BU79))</f>
        <v>0</v>
      </c>
      <c r="BW79" s="29">
        <f>IF(BX79=0,0,IF(DaB!CZ79&gt;0,DaB!DA79-DaB!CZ79,0))</f>
        <v>0</v>
      </c>
      <c r="BX79" s="33">
        <f>IF(DaB!DB79&gt;0,DaB!DB79-DaB!DA79+1,0)</f>
        <v>0</v>
      </c>
      <c r="BY79" s="32">
        <f>IF(BX79=0,0,IF(DaB!DD79&gt;0,DaB!DD79-DaB!DC79+1,0))</f>
        <v>0</v>
      </c>
      <c r="BZ79" s="30">
        <f>IF(BX79=0,0,IF(DaB!DE79&gt;0,DaB!DE79-MAX(DaB!DB79:DD79),0))</f>
        <v>0</v>
      </c>
      <c r="CA79" s="34">
        <f>IF(CC79=0,0,MIN(DaB!$DG79:$DH79)-SUM($C79:BZ79))</f>
        <v>0</v>
      </c>
      <c r="CB79" s="29">
        <f>IF(CC79=0,0,IF(DaB!DG79&gt;0,DaB!DH79-DaB!DG79,0))</f>
        <v>0</v>
      </c>
      <c r="CC79" s="33">
        <f>IF(DaB!DI79&gt;0,DaB!DI79-DaB!DH79+1,0)</f>
        <v>0</v>
      </c>
      <c r="CD79" s="32">
        <f>IF(CC79=0,0,IF(DaB!DK79&gt;0,DaB!DK79-DaB!DJ79+1,0))</f>
        <v>0</v>
      </c>
      <c r="CE79" s="30">
        <f>IF(CC79=0,0,IF(DaB!DL79&gt;0,DaB!DL79-MAX(DaB!DI79:DK79),0))</f>
        <v>0</v>
      </c>
      <c r="CF79" s="34">
        <f>IF(CH79=0,0,MIN(DaB!$DN79:$DO79)-SUM($C79:CE79))</f>
        <v>0</v>
      </c>
      <c r="CG79" s="29">
        <f>IF(CH79=0,0,IF(DaB!DN79&gt;0,DaB!DO79-DaB!DN79,0))</f>
        <v>0</v>
      </c>
      <c r="CH79" s="33">
        <f>IF(DaB!DP79&gt;0,DaB!DP79-DaB!DO79+1,0)</f>
        <v>0</v>
      </c>
      <c r="CI79" s="32">
        <f>IF(CH79=0,0,IF(DaB!DR79&gt;0,DaB!DR79-DaB!DQ79+1,0))</f>
        <v>0</v>
      </c>
      <c r="CJ79" s="30">
        <f>IF(CH79=0,0,IF(DaB!DS79&gt;0,DaB!DS79-MAX(DaB!DP79:DR79),0))</f>
        <v>0</v>
      </c>
      <c r="CK79" s="34">
        <f>IF(CM79=0,0,MIN(DaB!$DU79:$DV79)-SUM($C79:CJ79))</f>
        <v>0</v>
      </c>
      <c r="CL79" s="29">
        <f>IF(CM79=0,0,IF(DaB!DU79&gt;0,DaB!DV79-DaB!DU79,0))</f>
        <v>0</v>
      </c>
      <c r="CM79" s="33">
        <f>IF(DaB!DW79&gt;0,DaB!DW79-DaB!DV79+1,0)</f>
        <v>0</v>
      </c>
      <c r="CN79" s="32">
        <f>IF(CM79=0,0,IF(DaB!DY79&gt;0,DaB!DY79-DaB!DX79+1,0))</f>
        <v>0</v>
      </c>
      <c r="CO79" s="30">
        <f>IF(CM79=0,0,IF(DaB!DZ79&gt;0,DaB!DZ79-MAX(DaB!DW79:DY79),0))</f>
        <v>0</v>
      </c>
      <c r="CP79" s="34">
        <f>IF(CR79=0,0,MIN(DaB!$EB79:$EC79)-SUM($C79:CO79))</f>
        <v>0</v>
      </c>
      <c r="CQ79" s="29">
        <f>IF(CR79=0,0,IF(DaB!EB79&gt;0,DaB!EC79-DaB!EB79,0))</f>
        <v>0</v>
      </c>
      <c r="CR79" s="33">
        <f>IF(DaB!ED79&gt;0,DaB!ED79-DaB!EC79+1,0)</f>
        <v>0</v>
      </c>
      <c r="CS79" s="32">
        <f>IF(CR79=0,0,IF(DaB!EF79&gt;0,DaB!EF79-DaB!EE79+1,0))</f>
        <v>0</v>
      </c>
      <c r="CT79" s="30">
        <f>IF(CR79=0,0,IF(DaB!EG79&gt;0,DaB!EG79-MAX(DaB!ED79:EF79),0))</f>
        <v>0</v>
      </c>
      <c r="CU79" s="34">
        <f>IF(CW79=0,0,MIN(DaB!$EI79:$EJ79)-SUM($C79:CT79))</f>
        <v>0</v>
      </c>
      <c r="CV79" s="29">
        <f>IF(CW79=0,0,IF(DaB!EI79&gt;0,DaB!EJ79-DaB!EI79,0))</f>
        <v>0</v>
      </c>
      <c r="CW79" s="33">
        <f>IF(DaB!EK79&gt;0,DaB!EK79-DaB!EJ79+1,0)</f>
        <v>0</v>
      </c>
      <c r="CX79" s="32">
        <f>IF(CW79=0,0,IF(DaB!EM79&gt;0,DaB!EM79-DaB!EL79+1,0))</f>
        <v>0</v>
      </c>
      <c r="CY79" s="30">
        <f>IF(CW79=0,0,IF(DaB!EN79&gt;0,DaB!EN79-MAX(DaB!EK79:EM79),0))</f>
        <v>0</v>
      </c>
      <c r="DF79" s="2">
        <f t="shared" si="5"/>
        <v>45474</v>
      </c>
      <c r="DG79" s="28"/>
      <c r="DH79" s="29"/>
      <c r="DI79" s="10"/>
      <c r="DJ79" s="10"/>
      <c r="DK79" s="11"/>
      <c r="DL79" s="11"/>
      <c r="DM79" s="30"/>
      <c r="DN79" s="28"/>
      <c r="DO79" s="29"/>
      <c r="DP79" s="10"/>
      <c r="DQ79" s="10"/>
      <c r="DR79" s="11"/>
      <c r="DS79" s="11"/>
      <c r="DT79" s="30"/>
      <c r="DU79" s="28"/>
      <c r="DV79" s="29"/>
      <c r="DW79" s="10"/>
      <c r="DX79" s="10"/>
      <c r="DY79" s="11"/>
      <c r="DZ79" s="11"/>
      <c r="EA79" s="30"/>
      <c r="EB79" s="28"/>
      <c r="EC79" s="29"/>
      <c r="ED79" s="10"/>
      <c r="EE79" s="10"/>
      <c r="EF79" s="11"/>
      <c r="EG79" s="11"/>
      <c r="EH79" s="30"/>
      <c r="EI79" s="34"/>
      <c r="EJ79" s="29"/>
      <c r="EK79" s="10"/>
      <c r="EL79" s="10"/>
      <c r="EM79" s="30"/>
      <c r="EN79" s="34"/>
      <c r="EO79" s="29"/>
      <c r="EP79" s="47"/>
      <c r="EQ79" s="47"/>
      <c r="ER79" s="30"/>
      <c r="ES79" s="34"/>
      <c r="ET79" s="29"/>
      <c r="EU79" s="47"/>
      <c r="EV79" s="47"/>
      <c r="EW79" s="30"/>
    </row>
    <row r="80" spans="1:153" x14ac:dyDescent="0.2">
      <c r="A80" s="2" t="str">
        <f>DaB!A80</f>
        <v>North</v>
      </c>
      <c r="B80" s="2" t="s">
        <v>230</v>
      </c>
      <c r="C80" s="27">
        <f>$B$1</f>
        <v>45474</v>
      </c>
      <c r="D80" s="34">
        <f>IFERROR(MIN(DaB!F80:K80)-C80,0)</f>
        <v>31</v>
      </c>
      <c r="E80" s="29">
        <f>IFERROR(IF(F80=0,0,IF(DaB!F80&gt;0,DaB!G80-DaB!F80,0)),0)</f>
        <v>0</v>
      </c>
      <c r="F80" s="33">
        <f>IFERROR(IF(DaB!G80&gt;0,DaB!H80-DaB!G80+1,0),0)</f>
        <v>1</v>
      </c>
      <c r="G80" s="32">
        <f>IFERROR(IF(F80=0,0,IF(DaB!J80&gt;0,DaB!J80-DaB!I80+1,0)),0)</f>
        <v>0</v>
      </c>
      <c r="H80" s="30">
        <f>IFERROR(IF(F80=0,0,IF(DaB!K80&gt;0,DaB!K80-MAX(DaB!H80:J80),0)),0)</f>
        <v>0</v>
      </c>
      <c r="I80" s="34">
        <f>IFERROR(IF(K80=0,0,MIN(DaB!$M80:$N80)-SUM($C80:H80)),0)</f>
        <v>30</v>
      </c>
      <c r="J80" s="29">
        <f>IFERROR(IF(K80=0,0,IF(DaB!M80&gt;0,DaB!N80-DaB!M80,0)),0)</f>
        <v>0</v>
      </c>
      <c r="K80" s="33">
        <f>IFERROR(IF(DaB!O80&gt;0,DaB!O80-DaB!N80+1,0),0)</f>
        <v>2</v>
      </c>
      <c r="L80" s="32">
        <f>IFERROR(IF(K80=0,0,IF(DaB!Q80&gt;0,DaB!Q80-DaB!P80+1,0)),0)</f>
        <v>0</v>
      </c>
      <c r="M80" s="30">
        <f>IFERROR(IF(K80=0,0,IF(DaB!R80&gt;0,DaB!R80-MAX(DaB!O80:Q80),0)),0)</f>
        <v>0</v>
      </c>
      <c r="N80" s="31">
        <f>IFERROR(IF(P80=0,0,MIN(DaB!$T80:$U80)-SUM($C80:M80)),0)</f>
        <v>28</v>
      </c>
      <c r="O80" s="29">
        <f>IFERROR(IF(P80=0,0,IF(DaB!T80&gt;0,DaB!U80-DaB!T80,0)),0)</f>
        <v>0</v>
      </c>
      <c r="P80" s="33">
        <f>IFERROR(IF(DaB!V80&gt;0,DaB!V80-DaB!U80+1,0),0)</f>
        <v>2</v>
      </c>
      <c r="Q80" s="32">
        <f>IFERROR(IF(P80=0,0,IF(DaB!X80&gt;0,DaB!X80-DaB!W80+1,0)),0)</f>
        <v>0</v>
      </c>
      <c r="R80" s="30">
        <f>IFERROR(IF(P80=0,0,IF(DaB!Y80&gt;0,DaB!Y80-MAX(DaB!V80:X80),0)),0)</f>
        <v>0</v>
      </c>
      <c r="S80" s="34">
        <f>IFERROR(IF(U80=0,0,MIN(DaB!$AA80:$AB80)-SUM($C80:R80)),0)</f>
        <v>29</v>
      </c>
      <c r="T80" s="29">
        <f>IFERROR(IF(U80=0,0,IF(DaB!AA80&gt;0,DaB!AB80-DaB!AA80,0)),0)</f>
        <v>0</v>
      </c>
      <c r="U80" s="33">
        <f>IFERROR(IF(DaB!AC80&gt;0,DaB!AC80-DaB!AB80+1,0),0)</f>
        <v>2</v>
      </c>
      <c r="V80" s="32">
        <f>IFERROR(IF(U80=0,0,IF(DaB!AE80&gt;0,DaB!AE80-DaB!AD80+1,0)),0)</f>
        <v>0</v>
      </c>
      <c r="W80" s="30">
        <f>IFERROR(IF(U80=0,0,IF(DaB!AF80&gt;0,DaB!AF80-MAX(DaB!AC80:AE80),0)),0)</f>
        <v>0</v>
      </c>
      <c r="X80" s="34">
        <f>IFERROR(IF(Z80=0,0,MIN(DaB!$AH80:$AI80)-SUM($C80:W80)),0)</f>
        <v>28</v>
      </c>
      <c r="Y80" s="29">
        <f>IFERROR(IF(Z80=0,0,IF(DaB!AH80&gt;0,DaB!AI80-DaB!AH80,0)),0)</f>
        <v>0</v>
      </c>
      <c r="Z80" s="33">
        <f>IFERROR(IF(DaB!AJ80&gt;0,DaB!AJ80-DaB!AI80+1,0),0)</f>
        <v>2</v>
      </c>
      <c r="AA80" s="32">
        <f>IFERROR(IF(Z80=0,0,IF(DaB!AL80&gt;0,DaB!AL80-DaB!AK80+1,0)),0)</f>
        <v>0</v>
      </c>
      <c r="AB80" s="30">
        <f>IFERROR(IF(Z80=0,0,IF(DaB!AM80&gt;0,DaB!AM80-MAX(DaB!AJ80:AL80),0)),0)</f>
        <v>0</v>
      </c>
      <c r="AC80" s="34">
        <f>IFERROR(IF(AE80=0,0,MIN(DaB!$AO80:$AP80)-SUM($C80:AB80)),0)</f>
        <v>29</v>
      </c>
      <c r="AD80" s="29">
        <f>IFERROR(IF(AE80=0,0,IF(DaB!AO80&gt;0,DaB!AP80-DaB!AO80,0)),0)</f>
        <v>0</v>
      </c>
      <c r="AE80" s="33">
        <f>IFERROR(IF(DaB!AQ80&gt;0,DaB!AQ80-DaB!AP80+1,0),0)</f>
        <v>2</v>
      </c>
      <c r="AF80" s="32">
        <f>IFERROR(IF(AE80=0,0,IF(DaB!AS80&gt;0,DaB!AS80-DaB!AR80+1,0)),0)</f>
        <v>0</v>
      </c>
      <c r="AG80" s="30">
        <f>IFERROR(IF(AE80=0,0,IF(DaB!AT80&gt;0,DaB!AT80-MAX(DaB!AQ80:AS80),0)),0)</f>
        <v>0</v>
      </c>
      <c r="AH80" s="34">
        <f>IFERROR(IF(AJ80=0,0,MIN(DaB!$AV80:$AW80)-SUM($C80:AG80)),0)</f>
        <v>29</v>
      </c>
      <c r="AI80" s="29">
        <f>IFERROR(IF(AJ80=0,0,IF(DaB!AV80&gt;0,DaB!AW80-DaB!AV80,0)),0)</f>
        <v>0</v>
      </c>
      <c r="AJ80" s="33">
        <f>IFERROR(IF(DaB!AX80&gt;0,DaB!AX80-DaB!AW80+1,0),0)</f>
        <v>2</v>
      </c>
      <c r="AK80" s="32">
        <f>IFERROR(IF(AJ80=0,0,IF(DaB!AZ80&gt;0,DaB!AZ80-DaB!AY80+1,0)),0)</f>
        <v>0</v>
      </c>
      <c r="AL80" s="30">
        <f>IFERROR(IF(AJ80=0,0,IF(DaB!BA80&gt;0,DaB!BA80-MAX(DaB!AX80:AZ80),0)),0)</f>
        <v>0</v>
      </c>
      <c r="AM80" s="34">
        <f>IFERROR(IF(AO80=0,0,MIN(DaB!$BC80:$BD80)-SUM($C80:AL80)),0)</f>
        <v>26</v>
      </c>
      <c r="AN80" s="29">
        <f>IFERROR(IF(AO80=0,0,IF(DaB!BC80&gt;0,DaB!BD80-DaB!BC80,0)),0)</f>
        <v>0</v>
      </c>
      <c r="AO80" s="33">
        <f>IFERROR(IF(DaB!BE80&gt;0,DaB!BE80-DaB!BD80+1,0),0)</f>
        <v>2</v>
      </c>
      <c r="AP80" s="32">
        <f>IFERROR(IF(AO80=0,0,IF(DaB!BG80&gt;0,DaB!BG80-DaB!BF80+1,0)),0)</f>
        <v>0</v>
      </c>
      <c r="AQ80" s="30">
        <f>IFERROR(IF(AO80=0,0,IF(DaB!BH80&gt;0,DaB!BH80-MAX(DaB!BE80:BG80),0)),0)</f>
        <v>0</v>
      </c>
      <c r="AR80" s="34">
        <f>IFERROR(IF(AT80=0,0,MIN(DaB!$BJ80:$BK80)-SUM($C80:AQ80)),0)</f>
        <v>29</v>
      </c>
      <c r="AS80" s="29">
        <f>IFERROR(IF(AT80=0,0,IF(DaB!BJ80&gt;0,DaB!BK80-DaB!BJ80,0)),0)</f>
        <v>0</v>
      </c>
      <c r="AT80" s="33">
        <f>IFERROR(IF(DaB!BL80&gt;0,DaB!BL80-DaB!BK80+1,0),0)</f>
        <v>2</v>
      </c>
      <c r="AU80" s="32">
        <f>IFERROR(IF(AT80=0,0,IF(DaB!BN80&gt;0,DaB!BN80-DaB!BM80+1,0)),0)</f>
        <v>0</v>
      </c>
      <c r="AV80" s="30">
        <f>IFERROR(IF(AT80=0,0,IF(DaB!BO80&gt;0,DaB!BO80-MAX(DaB!BL80:BN80),0)),0)</f>
        <v>0</v>
      </c>
      <c r="AW80" s="34">
        <f>IFERROR(IF(AY80=0,0,MIN(DaB!$BQ80:$BR80)-SUM($C80:AV80)),0)</f>
        <v>28</v>
      </c>
      <c r="AX80" s="29">
        <f>IFERROR(IF(AY80=0,0,IF(DaB!BQ80&gt;0,DaB!BR80-DaB!BQ80,0)),0)</f>
        <v>0</v>
      </c>
      <c r="AY80" s="33">
        <f>IFERROR(IF(DaB!BS80&gt;0,DaB!BS80-DaB!BR80+1,0),0)</f>
        <v>2</v>
      </c>
      <c r="AZ80" s="32">
        <f>IFERROR(IF(AY80=0,0,IF(DaB!BU80&gt;0,DaB!BU80-DaB!BT80+1,0)),0)</f>
        <v>0</v>
      </c>
      <c r="BA80" s="30">
        <f>IFERROR(IF(AY80=0,0,IF(DaB!BV80&gt;0,DaB!BV80-MAX(DaB!BS80:BU80),0)),0)</f>
        <v>0</v>
      </c>
      <c r="BB80" s="34">
        <f>IFERROR(IF(BD80=0,0,MIN(DaB!$BX80:$BY80)-SUM($C80:BA80)),0)</f>
        <v>29</v>
      </c>
      <c r="BC80" s="29">
        <f>IFERROR(IF(BD80=0,0,IF(DaB!BX80&gt;0,DaB!BY80-DaB!BX80,0)),0)</f>
        <v>0</v>
      </c>
      <c r="BD80" s="33">
        <f>IFERROR(IF(DaB!BZ80&gt;0,DaB!BZ80-DaB!BY80+1,0),0)</f>
        <v>2</v>
      </c>
      <c r="BE80" s="32">
        <f>IFERROR(IF(BD80=0,0,IF(DaB!CB80&gt;0,DaB!CB80-DaB!CA80+1,0)),0)</f>
        <v>0</v>
      </c>
      <c r="BF80" s="30">
        <f>IFERROR(IF(BD80=0,0,IF(DaB!CC80&gt;0,DaB!CC80-MAX(DaB!BZ80:CB80),0)),0)</f>
        <v>0</v>
      </c>
      <c r="BG80" s="34">
        <f>IFERROR(IF(BI80=0,0,MIN(DaB!$CE80:$CF80)-SUM($C80:BF80)),0)</f>
        <v>28</v>
      </c>
      <c r="BH80" s="29">
        <f>IFERROR(IF(BI80=0,0,IF(DaB!CE80&gt;0,DaB!CF80-DaB!CE80,0)),0)</f>
        <v>0</v>
      </c>
      <c r="BI80" s="33">
        <f>IFERROR(IF(DaB!CG80&gt;0,DaB!CG80-DaB!CF80+1,0),0)</f>
        <v>2</v>
      </c>
      <c r="BJ80" s="32">
        <f>IFERROR(IF(BI80=0,0,IF(DaB!CI80&gt;0,DaB!CI80-DaB!CH80+1,0)),0)</f>
        <v>0</v>
      </c>
      <c r="BK80" s="30">
        <f>IFERROR(IF(BI80=0,0,IF(DaB!CJ80&gt;0,DaB!CJ80-MAX(DaB!CG80:CI80),0)),0)</f>
        <v>0</v>
      </c>
      <c r="BL80" s="34">
        <f>IFERROR(IF(BN80=0,0,MIN(DaB!$CL80:$CM80)-SUM($C80:BK80)),0)</f>
        <v>29</v>
      </c>
      <c r="BM80" s="29">
        <f>IFERROR(IF(BN80=0,0,IF(DaB!CL80&gt;0,DaB!CM80-DaB!CL80,0)),0)</f>
        <v>0</v>
      </c>
      <c r="BN80" s="33">
        <f>IFERROR(IF(DaB!CN80&gt;0,DaB!CN80-DaB!CM80+1,0),0)</f>
        <v>2</v>
      </c>
      <c r="BO80" s="32">
        <f>IFERROR(IF(BN80=0,0,IF(DaB!CP80&gt;0,DaB!CP80-DaB!CO80+1,0)),0)</f>
        <v>0</v>
      </c>
      <c r="BP80" s="30">
        <f>IFERROR(IF(BN80=0,0,IF(DaB!CQ80&gt;0,DaB!CQ80-MAX(DaB!CN80:CP80),0)),0)</f>
        <v>0</v>
      </c>
      <c r="BQ80" s="34">
        <f>IFERROR(IF(BS80=0,0,MIN(DaB!$CS80:$CT80)-SUM($C80:BP80)),0)</f>
        <v>29</v>
      </c>
      <c r="BR80" s="29">
        <f>IFERROR(IF(BS80=0,0,IF(DaB!CS80&gt;0,DaB!CT80-DaB!CS80,0)),0)</f>
        <v>0</v>
      </c>
      <c r="BS80" s="33">
        <f>IFERROR(IF(DaB!CU80&gt;0,DaB!CU80-DaB!CT80+1,0),0)</f>
        <v>2</v>
      </c>
      <c r="BT80" s="32">
        <f>IFERROR(IF(BS80=0,0,IF(DaB!CW80&gt;0,DaB!CW80-DaB!CV80+1,0)),0)</f>
        <v>0</v>
      </c>
      <c r="BU80" s="30">
        <f>IFERROR(IF(BS80=0,0,IF(DaB!CX80&gt;0,DaB!CX80-MAX(DaB!CU80:CW80),0)),0)</f>
        <v>0</v>
      </c>
      <c r="BV80" s="34">
        <f>IFERROR(IF(BX80=0,0,MIN(DaB!$CZ80:$DA80)-SUM($C80:BU80)),0)</f>
        <v>28</v>
      </c>
      <c r="BW80" s="29">
        <f>IFERROR(IF(BX80=0,0,IF(DaB!CZ80&gt;0,DaB!DA80-DaB!CZ80,0)),0)</f>
        <v>0</v>
      </c>
      <c r="BX80" s="33">
        <f>IFERROR(IF(DaB!DB80&gt;0,DaB!DB80-DaB!DA80+1,0),0)</f>
        <v>2</v>
      </c>
      <c r="BY80" s="32">
        <f>IFERROR(IF(BX80=0,0,IF(DaB!DD80&gt;0,DaB!DD80-DaB!DC80+1,0)),0)</f>
        <v>0</v>
      </c>
      <c r="BZ80" s="30">
        <f>IFERROR(IF(BX80=0,0,IF(DaB!DE80&gt;0,DaB!DE80-MAX(DaB!DB80:DD80),0)),0)</f>
        <v>0</v>
      </c>
      <c r="CA80" s="34">
        <f>IFERROR(IF(CC80=0,0,MIN(DaB!$DG80:$DH80)-SUM($C80:BZ80)),0)</f>
        <v>-2</v>
      </c>
      <c r="CB80" s="29">
        <f>IFERROR(IF(CC80=0,0,IF(DaB!DG80&gt;0,DaB!DH80-DaB!DG80,0)),0)</f>
        <v>0</v>
      </c>
      <c r="CC80" s="33">
        <f>IFERROR(IF(DaB!DI80&gt;0,DaB!DI80-DaB!DH80+1,0),0)</f>
        <v>2</v>
      </c>
      <c r="CD80" s="32">
        <f>IFERROR(IF(CC80=0,0,IF(DaB!DK80&gt;0,DaB!DK80-DaB!DJ80+1,0)),0)</f>
        <v>0</v>
      </c>
      <c r="CE80" s="30">
        <f>IFERROR(IF(CC80=0,0,IF(DaB!DL80&gt;0,DaB!DL80-MAX(DaB!DI80:DK80),0)),0)</f>
        <v>0</v>
      </c>
      <c r="CF80" s="34">
        <f>IFERROR(IF(CH80=0,0,MIN(DaB!$DN80:$DO80)-SUM($C80:CE80)),0)</f>
        <v>0</v>
      </c>
      <c r="CG80" s="29">
        <f>IFERROR(IF(CH80=0,0,IF(DaB!DN80&gt;0,DaB!DO80-DaB!DN80,0)),0)</f>
        <v>0</v>
      </c>
      <c r="CH80" s="33">
        <f>IFERROR(IF(DaB!DP80&gt;0,DaB!DP80-DaB!DO80+1,0),0)</f>
        <v>0</v>
      </c>
      <c r="CI80" s="32">
        <f>IFERROR(IF(CH80=0,0,IF(DaB!DR80&gt;0,DaB!DR80-DaB!DQ80+1,0)),0)</f>
        <v>0</v>
      </c>
      <c r="CJ80" s="30">
        <f>IFERROR(IF(CH80=0,0,IF(DaB!DS80&gt;0,DaB!DS80-MAX(DaB!DP80:DR80),0)),0)</f>
        <v>0</v>
      </c>
      <c r="CK80" s="34">
        <f>IFERROR(IF(CM80=0,0,MIN(DaB!$DU80:$DV80)-SUM($C80:CJ80)),0)</f>
        <v>0</v>
      </c>
      <c r="CL80" s="29">
        <f>IFERROR(IF(CM80=0,0,IF(DaB!DU80&gt;0,DaB!DV80-DaB!DU80,0)),0)</f>
        <v>0</v>
      </c>
      <c r="CM80" s="33">
        <f>IFERROR(IF(DaB!DW80&gt;0,DaB!DW80-DaB!DV80+1,0),0)</f>
        <v>0</v>
      </c>
      <c r="CN80" s="32">
        <f>IFERROR(IF(CM80=0,0,IF(DaB!DY80&gt;0,DaB!DY80-DaB!DX80+1,0)),0)</f>
        <v>0</v>
      </c>
      <c r="CO80" s="30">
        <f>IFERROR(IF(CM80=0,0,IF(DaB!DZ80&gt;0,DaB!DZ80-MAX(DaB!DW80:DY80),0)),0)</f>
        <v>0</v>
      </c>
      <c r="CP80" s="34">
        <f>IFERROR(IF(CR80=0,0,MIN(DaB!$EB80:$EC80)-SUM($C80:CO80)),0)</f>
        <v>0</v>
      </c>
      <c r="CQ80" s="29">
        <f>IFERROR(IF(CR80=0,0,IF(DaB!EB80&gt;0,DaB!EC80-DaB!EB80,0)),0)</f>
        <v>0</v>
      </c>
      <c r="CR80" s="33">
        <f>IFERROR(IF(DaB!ED80&gt;0,DaB!ED80-DaB!EC80+1,0),0)</f>
        <v>0</v>
      </c>
      <c r="CS80" s="32">
        <f>IFERROR(IF(CR80=0,0,IF(DaB!EF80&gt;0,DaB!EF80-DaB!EE80+1,0)),0)</f>
        <v>0</v>
      </c>
      <c r="CT80" s="30">
        <f>IFERROR(IF(CR80=0,0,IF(DaB!EG80&gt;0,DaB!EG80-MAX(DaB!ED80:EF80),0)),0)</f>
        <v>0</v>
      </c>
      <c r="CU80" s="34">
        <f>IFERROR(IF(CW80=0,0,MIN(DaB!$EI80:$EJ80)-SUM($C80:CT80)),0)</f>
        <v>0</v>
      </c>
      <c r="CV80" s="29">
        <f>IFERROR(IF(CW80=0,0,IF(DaB!EI80&gt;0,DaB!EJ80-DaB!EI80,0)),0)</f>
        <v>0</v>
      </c>
      <c r="CW80" s="33">
        <f>IFERROR(IF(DaB!EK80&gt;0,DaB!EK80-DaB!EJ80+1,0),0)</f>
        <v>0</v>
      </c>
      <c r="CX80" s="32">
        <f>IFERROR(IF(CW80=0,0,IF(DaB!EM80&gt;0,DaB!EM80-DaB!EL80+1,0)),0)</f>
        <v>0</v>
      </c>
      <c r="CY80" s="30">
        <f>IFERROR(IF(CW80=0,0,IF(DaB!EN80&gt;0,DaB!EN80-MAX(DaB!EK80:EM80),0)),0)</f>
        <v>0</v>
      </c>
      <c r="DA80" s="49">
        <f>EK80</f>
        <v>0</v>
      </c>
      <c r="DE80" s="183">
        <v>45838</v>
      </c>
      <c r="DF80" s="2">
        <f t="shared" si="5"/>
        <v>45474</v>
      </c>
      <c r="DG80" s="28">
        <f>IF(MIN(DaB!EU80:EV80)=DF80,0,
IF(MIN(DaB!EU80:EV80)&gt;DF80,MIN(DaB!EU80:EV80)-DF80,0))</f>
        <v>0</v>
      </c>
      <c r="DH80" s="29">
        <f>IF(ISNUMBER(DaB!EV80),DaB!EV80-SUM(DF80:DG80),"")</f>
        <v>0</v>
      </c>
      <c r="DI80" s="10">
        <f>IF(OR(DaB!EV80=0,DaB!EV80=""),"",$DF$1)</f>
        <v>1</v>
      </c>
      <c r="DJ80" s="10"/>
      <c r="DK80" s="11">
        <v>0</v>
      </c>
      <c r="DL80" s="11">
        <v>0</v>
      </c>
      <c r="DM80" s="30" t="str">
        <f>IF(OR(DaB!EZ80=0,DaB!EZ80=""),"",IFERROR(DaB!EZ80-DaB!EV80,0))</f>
        <v/>
      </c>
      <c r="DN80" s="28">
        <f>(DaB!FC80)-(MAX(DaB!EU80:EW80))</f>
        <v>152</v>
      </c>
      <c r="DO80" s="29" t="str">
        <f>IF(OR(DaB!FB80=0,DaB!FB80=""),"",DaB!FC80-SUM(DF80:DN80))</f>
        <v/>
      </c>
      <c r="DP80" s="10">
        <f>IF(OR(DaB!FC80=0,DaB!FC80=""),"",$DF$1)</f>
        <v>1</v>
      </c>
      <c r="DQ80" s="10"/>
      <c r="DR80" s="11"/>
      <c r="DS80" s="11"/>
      <c r="DT80" s="30"/>
      <c r="DU80" s="28"/>
      <c r="DV80" s="29"/>
      <c r="DW80" s="10"/>
      <c r="DX80" s="10"/>
      <c r="DY80" s="11"/>
      <c r="DZ80" s="11"/>
      <c r="EA80" s="30"/>
      <c r="EB80" s="28"/>
      <c r="EC80" s="29"/>
      <c r="ED80" s="10"/>
      <c r="EE80" s="10"/>
      <c r="EF80" s="11"/>
      <c r="EG80" s="11"/>
      <c r="EH80" s="30"/>
      <c r="EI80" s="34"/>
      <c r="EJ80" s="29"/>
      <c r="EK80" s="10"/>
      <c r="EL80" s="10"/>
      <c r="EM80" s="30"/>
      <c r="EN80" s="34"/>
      <c r="EO80" s="29"/>
      <c r="EP80" s="47"/>
      <c r="EQ80" s="47"/>
      <c r="ER80" s="30"/>
      <c r="ES80" s="34"/>
      <c r="ET80" s="29"/>
      <c r="EU80" s="47"/>
      <c r="EV80" s="47"/>
      <c r="EW80" s="30"/>
    </row>
    <row r="81" spans="1:153" x14ac:dyDescent="0.2">
      <c r="A81" s="2" t="str">
        <f>DaB!A81</f>
        <v>South</v>
      </c>
      <c r="B81" s="2" t="str">
        <f>B80</f>
        <v>.</v>
      </c>
      <c r="C81" s="27">
        <f>$B$1</f>
        <v>45474</v>
      </c>
      <c r="D81" s="34">
        <f>IFERROR(MIN(DaB!F81:K81)-C81,0)</f>
        <v>31</v>
      </c>
      <c r="E81" s="29">
        <f>IFERROR(IF(F81=0,0,IF(DaB!F81&gt;0,DaB!G81-DaB!F81,0)),0)</f>
        <v>0</v>
      </c>
      <c r="F81" s="33">
        <f>IFERROR(IF(DaB!G81&gt;0,DaB!H81-DaB!G81+1,0),0)</f>
        <v>1</v>
      </c>
      <c r="G81" s="32">
        <f>IFERROR(IF(F81=0,0,IF(DaB!J81&gt;0,DaB!J81-DaB!I81+1,0)),0)</f>
        <v>0</v>
      </c>
      <c r="H81" s="30">
        <f>IFERROR(IF(F81=0,0,IF(DaB!K81&gt;0,DaB!K81-MAX(DaB!H81:J81),0)),0)</f>
        <v>0</v>
      </c>
      <c r="I81" s="34">
        <f>IFERROR(IF(K81=0,0,MIN(DaB!$M81:$N81)-SUM($C81:H81)),0)</f>
        <v>0</v>
      </c>
      <c r="J81" s="29">
        <f>IFERROR(IF(K81=0,0,IF(DaB!M81&gt;0,DaB!N81-DaB!M81,0)),0)</f>
        <v>0</v>
      </c>
      <c r="K81" s="33">
        <f>IFERROR(IF(DaB!O81&gt;0,DaB!O81-DaB!N81+1,0),0)</f>
        <v>0</v>
      </c>
      <c r="L81" s="32">
        <f>IFERROR(IF(K81=0,0,IF(DaB!Q81&gt;0,DaB!Q81-DaB!P81+1,0)),0)</f>
        <v>0</v>
      </c>
      <c r="M81" s="30">
        <f>IFERROR(IF(K81=0,0,IF(DaB!R81&gt;0,DaB!R81-MAX(DaB!O81:Q81),0)),0)</f>
        <v>0</v>
      </c>
      <c r="N81" s="31">
        <f>IFERROR(IF(P81=0,0,MIN(DaB!$T81:$U81)-SUM($C81:M81)),0)</f>
        <v>0</v>
      </c>
      <c r="O81" s="29">
        <f>IFERROR(IF(P81=0,0,IF(DaB!T81&gt;0,DaB!U81-DaB!T81,0)),0)</f>
        <v>0</v>
      </c>
      <c r="P81" s="33">
        <f>IFERROR(IF(DaB!V81&gt;0,DaB!V81-DaB!U81+1,0),0)</f>
        <v>0</v>
      </c>
      <c r="Q81" s="32">
        <f>IFERROR(IF(P81=0,0,IF(DaB!X81&gt;0,DaB!X81-DaB!W81+1,0)),0)</f>
        <v>0</v>
      </c>
      <c r="R81" s="30">
        <f>IFERROR(IF(P81=0,0,IF(DaB!Y81&gt;0,DaB!Y81-MAX(DaB!V81:X81),0)),0)</f>
        <v>0</v>
      </c>
      <c r="S81" s="34">
        <f>IFERROR(IF(U81=0,0,MIN(DaB!$AA81:$AB81)-SUM($C81:R81)),0)</f>
        <v>0</v>
      </c>
      <c r="T81" s="29">
        <f>IFERROR(IF(U81=0,0,IF(DaB!AA81&gt;0,DaB!AB81-DaB!AA81,0)),0)</f>
        <v>0</v>
      </c>
      <c r="U81" s="33">
        <f>IFERROR(IF(DaB!AC81&gt;0,DaB!AC81-DaB!AB81+1,0),0)</f>
        <v>0</v>
      </c>
      <c r="V81" s="32">
        <f>IFERROR(IF(U81=0,0,IF(DaB!AE81&gt;0,DaB!AE81-DaB!AD81+1,0)),0)</f>
        <v>0</v>
      </c>
      <c r="W81" s="30">
        <f>IFERROR(IF(U81=0,0,IF(DaB!AF81&gt;0,DaB!AF81-MAX(DaB!AC81:AE81),0)),0)</f>
        <v>0</v>
      </c>
      <c r="X81" s="34">
        <f>IFERROR(IF(Z81=0,0,MIN(DaB!$AH81:$AI81)-SUM($C81:W81)),0)</f>
        <v>0</v>
      </c>
      <c r="Y81" s="29">
        <f>IFERROR(IF(Z81=0,0,IF(DaB!AH81&gt;0,DaB!AI81-DaB!AH81,0)),0)</f>
        <v>0</v>
      </c>
      <c r="Z81" s="33">
        <f>IFERROR(IF(DaB!AJ81&gt;0,DaB!AJ81-DaB!AI81+1,0),0)</f>
        <v>0</v>
      </c>
      <c r="AA81" s="32">
        <f>IFERROR(IF(Z81=0,0,IF(DaB!AL81&gt;0,DaB!AL81-DaB!AK81+1,0)),0)</f>
        <v>0</v>
      </c>
      <c r="AB81" s="30">
        <f>IFERROR(IF(Z81=0,0,IF(DaB!AM81&gt;0,DaB!AM81-MAX(DaB!AJ81:AL81),0)),0)</f>
        <v>0</v>
      </c>
      <c r="AC81" s="34">
        <f>IFERROR(IF(AE81=0,0,MIN(DaB!$AO81:$AP81)-SUM($C81:AB81)),0)</f>
        <v>0</v>
      </c>
      <c r="AD81" s="29">
        <f>IFERROR(IF(AE81=0,0,IF(DaB!AO81&gt;0,DaB!AP81-DaB!AO81,0)),0)</f>
        <v>0</v>
      </c>
      <c r="AE81" s="33">
        <f>IFERROR(IF(DaB!AQ81&gt;0,DaB!AQ81-DaB!AP81+1,0),0)</f>
        <v>0</v>
      </c>
      <c r="AF81" s="32">
        <f>IFERROR(IF(AE81=0,0,IF(DaB!AS81&gt;0,DaB!AS81-DaB!AR81+1,0)),0)</f>
        <v>0</v>
      </c>
      <c r="AG81" s="30">
        <f>IFERROR(IF(AE81=0,0,IF(DaB!AT81&gt;0,DaB!AT81-MAX(DaB!AQ81:AS81),0)),0)</f>
        <v>0</v>
      </c>
      <c r="AH81" s="34">
        <f>IFERROR(IF(AJ81=0,0,MIN(DaB!$AV81:$AW81)-SUM($C81:AG81)),0)</f>
        <v>0</v>
      </c>
      <c r="AI81" s="29">
        <f>IFERROR(IF(AJ81=0,0,IF(DaB!AV81&gt;0,DaB!AW81-DaB!AV81,0)),0)</f>
        <v>0</v>
      </c>
      <c r="AJ81" s="33">
        <f>IFERROR(IF(DaB!AX81&gt;0,DaB!AX81-DaB!AW81+1,0),0)</f>
        <v>0</v>
      </c>
      <c r="AK81" s="32">
        <f>IFERROR(IF(AJ81=0,0,IF(DaB!AZ81&gt;0,DaB!AZ81-DaB!AY81+1,0)),0)</f>
        <v>0</v>
      </c>
      <c r="AL81" s="30">
        <f>IFERROR(IF(AJ81=0,0,IF(DaB!BA81&gt;0,DaB!BA81-MAX(DaB!AX81:AZ81),0)),0)</f>
        <v>0</v>
      </c>
      <c r="AM81" s="34">
        <f>IFERROR(IF(AO81=0,0,MIN(DaB!$BC81:$BD81)-SUM($C81:AL81)),0)</f>
        <v>0</v>
      </c>
      <c r="AN81" s="29">
        <f>IFERROR(IF(AO81=0,0,IF(DaB!BC81&gt;0,DaB!BD81-DaB!BC81,0)),0)</f>
        <v>0</v>
      </c>
      <c r="AO81" s="33">
        <f>IFERROR(IF(DaB!BE81&gt;0,DaB!BE81-DaB!BD81+1,0),0)</f>
        <v>0</v>
      </c>
      <c r="AP81" s="32">
        <f>IFERROR(IF(AO81=0,0,IF(DaB!BG81&gt;0,DaB!BG81-DaB!BF81+1,0)),0)</f>
        <v>0</v>
      </c>
      <c r="AQ81" s="30">
        <f>IFERROR(IF(AO81=0,0,IF(DaB!BH81&gt;0,DaB!BH81-MAX(DaB!BE81:BG81),0)),0)</f>
        <v>0</v>
      </c>
      <c r="AR81" s="34">
        <f>IFERROR(IF(AT81=0,0,MIN(DaB!$BJ81:$BK81)-SUM($C81:AQ81)),0)</f>
        <v>0</v>
      </c>
      <c r="AS81" s="29">
        <f>IFERROR(IF(AT81=0,0,IF(DaB!BJ81&gt;0,DaB!BK81-DaB!BJ81,0)),0)</f>
        <v>0</v>
      </c>
      <c r="AT81" s="33">
        <f>IFERROR(IF(DaB!BL81&gt;0,DaB!BL81-DaB!BK81+1,0),0)</f>
        <v>0</v>
      </c>
      <c r="AU81" s="32">
        <f>IFERROR(IF(AT81=0,0,IF(DaB!BN81&gt;0,DaB!BN81-DaB!BM81+1,0)),0)</f>
        <v>0</v>
      </c>
      <c r="AV81" s="30">
        <f>IFERROR(IF(AT81=0,0,IF(DaB!BO81&gt;0,DaB!BO81-MAX(DaB!BL81:BN81),0)),0)</f>
        <v>0</v>
      </c>
      <c r="AW81" s="34">
        <f>IFERROR(IF(AY81=0,0,MIN(DaB!$BQ81:$BR81)-SUM($C81:AV81)),0)</f>
        <v>0</v>
      </c>
      <c r="AX81" s="29">
        <f>IFERROR(IF(AY81=0,0,IF(DaB!BQ81&gt;0,DaB!BR81-DaB!BQ81,0)),0)</f>
        <v>0</v>
      </c>
      <c r="AY81" s="33">
        <f>IFERROR(IF(DaB!BS81&gt;0,DaB!BS81-DaB!BR81+1,0),0)</f>
        <v>0</v>
      </c>
      <c r="AZ81" s="32">
        <f>IFERROR(IF(AY81=0,0,IF(DaB!BU81&gt;0,DaB!BU81-DaB!BT81+1,0)),0)</f>
        <v>0</v>
      </c>
      <c r="BA81" s="30">
        <f>IFERROR(IF(AY81=0,0,IF(DaB!BV81&gt;0,DaB!BV81-MAX(DaB!BS81:BU81),0)),0)</f>
        <v>0</v>
      </c>
      <c r="BB81" s="34">
        <f>IFERROR(IF(BD81=0,0,MIN(DaB!$BX81:$BY81)-SUM($C81:BA81)),0)</f>
        <v>0</v>
      </c>
      <c r="BC81" s="29">
        <f>IFERROR(IF(BD81=0,0,IF(DaB!BX81&gt;0,DaB!BY81-DaB!BX81,0)),0)</f>
        <v>0</v>
      </c>
      <c r="BD81" s="33">
        <f>IFERROR(IF(DaB!BZ81&gt;0,DaB!BZ81-DaB!BY81+1,0),0)</f>
        <v>0</v>
      </c>
      <c r="BE81" s="32">
        <f>IFERROR(IF(BD81=0,0,IF(DaB!CB81&gt;0,DaB!CB81-DaB!CA81+1,0)),0)</f>
        <v>0</v>
      </c>
      <c r="BF81" s="30">
        <f>IFERROR(IF(BD81=0,0,IF(DaB!CC81&gt;0,DaB!CC81-MAX(DaB!BZ81:CB81),0)),0)</f>
        <v>0</v>
      </c>
      <c r="BG81" s="34">
        <f>IFERROR(IF(BI81=0,0,MIN(DaB!$CE81:$CF81)-SUM($C81:BF81)),0)</f>
        <v>0</v>
      </c>
      <c r="BH81" s="29">
        <f>IFERROR(IF(BI81=0,0,IF(DaB!CE81&gt;0,DaB!CF81-DaB!CE81,0)),0)</f>
        <v>0</v>
      </c>
      <c r="BI81" s="33">
        <f>IFERROR(IF(DaB!CG81&gt;0,DaB!CG81-DaB!CF81+1,0),0)</f>
        <v>0</v>
      </c>
      <c r="BJ81" s="32">
        <f>IFERROR(IF(BI81=0,0,IF(DaB!CI81&gt;0,DaB!CI81-DaB!CH81+1,0)),0)</f>
        <v>0</v>
      </c>
      <c r="BK81" s="30">
        <f>IFERROR(IF(BI81=0,0,IF(DaB!CJ81&gt;0,DaB!CJ81-MAX(DaB!CG81:CI81),0)),0)</f>
        <v>0</v>
      </c>
      <c r="BL81" s="34">
        <f>IFERROR(IF(BN81=0,0,MIN(DaB!$CL81:$CM81)-SUM($C81:BK81)),0)</f>
        <v>0</v>
      </c>
      <c r="BM81" s="29">
        <f>IFERROR(IF(BN81=0,0,IF(DaB!CL81&gt;0,DaB!CM81-DaB!CL81,0)),0)</f>
        <v>0</v>
      </c>
      <c r="BN81" s="33">
        <f>IFERROR(IF(DaB!CN81&gt;0,DaB!CN81-DaB!CM81+1,0),0)</f>
        <v>0</v>
      </c>
      <c r="BO81" s="32">
        <f>IFERROR(IF(BN81=0,0,IF(DaB!CP81&gt;0,DaB!CP81-DaB!CO81+1,0)),0)</f>
        <v>0</v>
      </c>
      <c r="BP81" s="30">
        <f>IFERROR(IF(BN81=0,0,IF(DaB!CQ81&gt;0,DaB!CQ81-MAX(DaB!CN81:CP81),0)),0)</f>
        <v>0</v>
      </c>
      <c r="BQ81" s="34">
        <f>IFERROR(IF(BS81=0,0,MIN(DaB!$CS81:$CT81)-SUM($C81:BP81)),0)</f>
        <v>0</v>
      </c>
      <c r="BR81" s="29">
        <f>IFERROR(IF(BS81=0,0,IF(DaB!CS81&gt;0,DaB!CT81-DaB!CS81,0)),0)</f>
        <v>0</v>
      </c>
      <c r="BS81" s="33">
        <f>IFERROR(IF(DaB!CU81&gt;0,DaB!CU81-DaB!CT81+1,0),0)</f>
        <v>0</v>
      </c>
      <c r="BT81" s="32">
        <f>IFERROR(IF(BS81=0,0,IF(DaB!CW81&gt;0,DaB!CW81-DaB!CV81+1,0)),0)</f>
        <v>0</v>
      </c>
      <c r="BU81" s="30">
        <f>IFERROR(IF(BS81=0,0,IF(DaB!CX81&gt;0,DaB!CX81-MAX(DaB!CU81:CW81),0)),0)</f>
        <v>0</v>
      </c>
      <c r="BV81" s="34">
        <f>IFERROR(IF(BX81=0,0,MIN(DaB!$CZ81:$DA81)-SUM($C81:BU81)),0)</f>
        <v>0</v>
      </c>
      <c r="BW81" s="29">
        <f>IFERROR(IF(BX81=0,0,IF(DaB!CZ81&gt;0,DaB!DA81-DaB!CZ81,0)),0)</f>
        <v>0</v>
      </c>
      <c r="BX81" s="33">
        <f>IFERROR(IF(DaB!DB81&gt;0,DaB!DB81-DaB!DA81+1,0),0)</f>
        <v>0</v>
      </c>
      <c r="BY81" s="32">
        <f>IFERROR(IF(BX81=0,0,IF(DaB!DD81&gt;0,DaB!DD81-DaB!DC81+1,0)),0)</f>
        <v>0</v>
      </c>
      <c r="BZ81" s="30">
        <f>IFERROR(IF(BX81=0,0,IF(DaB!DE81&gt;0,DaB!DE81-MAX(DaB!DB81:DD81),0)),0)</f>
        <v>0</v>
      </c>
      <c r="CA81" s="34">
        <f>IFERROR(IF(CC81=0,0,MIN(DaB!$DG81:$DH81)-SUM($C81:BZ81)),0)</f>
        <v>0</v>
      </c>
      <c r="CB81" s="29">
        <f>IFERROR(IF(CC81=0,0,IF(DaB!DG81&gt;0,DaB!DH81-DaB!DG81,0)),0)</f>
        <v>0</v>
      </c>
      <c r="CC81" s="33">
        <f>IFERROR(IF(DaB!DI81&gt;0,DaB!DI81-DaB!DH81+1,0),0)</f>
        <v>0</v>
      </c>
      <c r="CD81" s="32">
        <f>IFERROR(IF(CC81=0,0,IF(DaB!DK81&gt;0,DaB!DK81-DaB!DJ81+1,0)),0)</f>
        <v>0</v>
      </c>
      <c r="CE81" s="30">
        <f>IFERROR(IF(CC81=0,0,IF(DaB!DL81&gt;0,DaB!DL81-MAX(DaB!DI81:DK81),0)),0)</f>
        <v>0</v>
      </c>
      <c r="CF81" s="34">
        <f>IFERROR(IF(CH81=0,0,MIN(DaB!$DN81:$DO81)-SUM($C81:CE81)),0)</f>
        <v>0</v>
      </c>
      <c r="CG81" s="29">
        <f>IFERROR(IF(CH81=0,0,IF(DaB!DN81&gt;0,DaB!DO81-DaB!DN81,0)),0)</f>
        <v>0</v>
      </c>
      <c r="CH81" s="33">
        <f>IFERROR(IF(DaB!DP81&gt;0,DaB!DP81-DaB!DO81+1,0),0)</f>
        <v>0</v>
      </c>
      <c r="CI81" s="32">
        <f>IFERROR(IF(CH81=0,0,IF(DaB!DR81&gt;0,DaB!DR81-DaB!DQ81+1,0)),0)</f>
        <v>0</v>
      </c>
      <c r="CJ81" s="30">
        <f>IFERROR(IF(CH81=0,0,IF(DaB!DS81&gt;0,DaB!DS81-MAX(DaB!DP81:DR81),0)),0)</f>
        <v>0</v>
      </c>
      <c r="CK81" s="34">
        <f>IFERROR(IF(CM81=0,0,MIN(DaB!$DU81:$DV81)-SUM($C81:CJ81)),0)</f>
        <v>0</v>
      </c>
      <c r="CL81" s="29">
        <f>IFERROR(IF(CM81=0,0,IF(DaB!DU81&gt;0,DaB!DV81-DaB!DU81,0)),0)</f>
        <v>0</v>
      </c>
      <c r="CM81" s="33">
        <f>IFERROR(IF(DaB!DW81&gt;0,DaB!DW81-DaB!DV81+1,0),0)</f>
        <v>0</v>
      </c>
      <c r="CN81" s="32">
        <f>IFERROR(IF(CM81=0,0,IF(DaB!DY81&gt;0,DaB!DY81-DaB!DX81+1,0)),0)</f>
        <v>0</v>
      </c>
      <c r="CO81" s="30">
        <f>IFERROR(IF(CM81=0,0,IF(DaB!DZ81&gt;0,DaB!DZ81-MAX(DaB!DW81:DY81),0)),0)</f>
        <v>0</v>
      </c>
      <c r="CP81" s="34">
        <f>IFERROR(IF(CR81=0,0,MIN(DaB!$EB81:$EC81)-SUM($C81:CO81)),0)</f>
        <v>0</v>
      </c>
      <c r="CQ81" s="29">
        <f>IFERROR(IF(CR81=0,0,IF(DaB!EB81&gt;0,DaB!EC81-DaB!EB81,0)),0)</f>
        <v>0</v>
      </c>
      <c r="CR81" s="33">
        <f>IFERROR(IF(DaB!ED81&gt;0,DaB!ED81-DaB!EC81+1,0),0)</f>
        <v>0</v>
      </c>
      <c r="CS81" s="32">
        <f>IFERROR(IF(CR81=0,0,IF(DaB!EF81&gt;0,DaB!EF81-DaB!EE81+1,0)),0)</f>
        <v>0</v>
      </c>
      <c r="CT81" s="30">
        <f>IFERROR(IF(CR81=0,0,IF(DaB!EG81&gt;0,DaB!EG81-MAX(DaB!ED81:EF81),0)),0)</f>
        <v>0</v>
      </c>
      <c r="CU81" s="34">
        <f>IFERROR(IF(CW81=0,0,MIN(DaB!$EI81:$EJ81)-SUM($C81:CT81)),0)</f>
        <v>0</v>
      </c>
      <c r="CV81" s="29">
        <f>IFERROR(IF(CW81=0,0,IF(DaB!EI81&gt;0,DaB!EJ81-DaB!EI81,0)),0)</f>
        <v>0</v>
      </c>
      <c r="CW81" s="33">
        <f>IFERROR(IF(DaB!EK81&gt;0,DaB!EK81-DaB!EJ81+1,0),0)</f>
        <v>0</v>
      </c>
      <c r="CX81" s="32">
        <f>IFERROR(IF(CW81=0,0,IF(DaB!EM81&gt;0,DaB!EM81-DaB!EL81+1,0)),0)</f>
        <v>0</v>
      </c>
      <c r="CY81" s="30">
        <f>IFERROR(IF(CW81=0,0,IF(DaB!EN81&gt;0,DaB!EN81-MAX(DaB!EK81:EM81),0)),0)</f>
        <v>0</v>
      </c>
      <c r="DD81" s="183">
        <f>DF81</f>
        <v>45474</v>
      </c>
      <c r="DF81" s="2">
        <f t="shared" si="5"/>
        <v>45474</v>
      </c>
      <c r="DG81" s="28">
        <f>IF(MIN(DaB!EU81:EV81)=DF81,0,
IF(MIN(DaB!EU81:EV81)&gt;DF81,MIN(DaB!EU81:EV81)-DF81,0))</f>
        <v>0</v>
      </c>
      <c r="DH81" s="29">
        <f>IF(ISNUMBER(DaB!EV81),DaB!EV81-SUM(DF81:DG81),"")</f>
        <v>0</v>
      </c>
      <c r="DI81" s="10">
        <f>IF(OR(DaB!EV81=0,DaB!EV81=""),"",$DF$1)</f>
        <v>1</v>
      </c>
      <c r="DJ81" s="10"/>
      <c r="DK81" s="11">
        <v>0</v>
      </c>
      <c r="DL81" s="11">
        <v>0</v>
      </c>
      <c r="DM81" s="30" t="str">
        <f>IF(OR(DaB!EZ81=0,DaB!EZ81=""),"",IFERROR(DaB!EZ81-DaB!EV81,0))</f>
        <v/>
      </c>
      <c r="DN81" s="28">
        <f>(DaB!FC81)-(MAX(DaB!EU81:EW81))</f>
        <v>152</v>
      </c>
      <c r="DO81" s="29" t="str">
        <f>IF(OR(DaB!FB81=0,DaB!FB81=""),"",DaB!FC81-SUM(DF81:DN81))</f>
        <v/>
      </c>
      <c r="DP81" s="10">
        <f>IF(OR(DaB!FC81=0,DaB!FC81=""),"",$DF$1)</f>
        <v>1</v>
      </c>
      <c r="DQ81" s="10"/>
      <c r="DR81" s="11"/>
      <c r="DS81" s="11"/>
      <c r="DT81" s="30"/>
      <c r="DU81" s="28"/>
      <c r="DV81" s="29"/>
      <c r="DW81" s="10"/>
      <c r="DX81" s="10"/>
      <c r="DY81" s="11"/>
      <c r="DZ81" s="11"/>
      <c r="EA81" s="30"/>
      <c r="EB81" s="28"/>
      <c r="EC81" s="29"/>
      <c r="ED81" s="10"/>
      <c r="EE81" s="10"/>
      <c r="EF81" s="11"/>
      <c r="EG81" s="11"/>
      <c r="EH81" s="30"/>
      <c r="EI81" s="34"/>
      <c r="EJ81" s="29"/>
      <c r="EK81" s="10"/>
      <c r="EL81" s="10"/>
      <c r="EM81" s="30"/>
      <c r="EN81" s="34"/>
      <c r="EO81" s="29"/>
      <c r="EP81" s="47"/>
      <c r="EQ81" s="47"/>
      <c r="ER81" s="30"/>
      <c r="ES81" s="34"/>
      <c r="ET81" s="29"/>
      <c r="EU81" s="47"/>
      <c r="EV81" s="47"/>
      <c r="EW81" s="30"/>
    </row>
    <row r="82" spans="1:153" x14ac:dyDescent="0.2">
      <c r="A82" s="2" t="str">
        <f>DaB!A82</f>
        <v>PRIMARY</v>
      </c>
      <c r="B82" s="2" t="str">
        <f t="shared" si="6"/>
        <v>.</v>
      </c>
      <c r="C82" s="27">
        <f t="shared" si="7"/>
        <v>45474</v>
      </c>
      <c r="D82" s="34">
        <f>IFERROR(MIN(DaB!F82:K82)-C82,0)</f>
        <v>5</v>
      </c>
      <c r="E82" s="29">
        <f>IFERROR(IF(F82=0,0,IF(DaB!F82&gt;0,DaB!G82-DaB!F82,0)),0)</f>
        <v>0</v>
      </c>
      <c r="F82" s="33">
        <f>IFERROR(IF(DaB!G82&gt;0,DaB!H82-DaB!G82+1,0),0)</f>
        <v>2</v>
      </c>
      <c r="G82" s="32">
        <f>IFERROR(IF(F82=0,0,IF(DaB!J82&gt;0,DaB!J82-DaB!I82+1,0)),0)</f>
        <v>0</v>
      </c>
      <c r="H82" s="30">
        <f>IFERROR(IF(F82=0,0,IF(DaB!K82&gt;0,DaB!K82-MAX(DaB!H82:J82),0)),0)</f>
        <v>0</v>
      </c>
      <c r="I82" s="34">
        <f>IFERROR(IF(K82=0,0,MIN(DaB!$M82:$N82)-SUM($C82:H82)),0)</f>
        <v>5</v>
      </c>
      <c r="J82" s="29">
        <f>IFERROR(IF(K82=0,0,IF(DaB!M82&gt;0,DaB!N82-DaB!M82,0)),0)</f>
        <v>0</v>
      </c>
      <c r="K82" s="33">
        <f>IFERROR(IF(DaB!O82&gt;0,DaB!O82-DaB!N82+1,0),0)</f>
        <v>2</v>
      </c>
      <c r="L82" s="32">
        <f>IFERROR(IF(K82=0,0,IF(DaB!Q82&gt;0,DaB!Q82-DaB!P82+1,0)),0)</f>
        <v>0</v>
      </c>
      <c r="M82" s="30">
        <f>IFERROR(IF(K82=0,0,IF(DaB!R82&gt;0,DaB!R82-MAX(DaB!O82:Q82),0)),0)</f>
        <v>0</v>
      </c>
      <c r="N82" s="31">
        <f>IFERROR(IF(P82=0,0,MIN(DaB!$T82:$U82)-SUM($C82:M82)),0)</f>
        <v>5</v>
      </c>
      <c r="O82" s="29">
        <f>IFERROR(IF(P82=0,0,IF(DaB!T82&gt;0,DaB!U82-DaB!T82,0)),0)</f>
        <v>0</v>
      </c>
      <c r="P82" s="33">
        <f>IFERROR(IF(DaB!V82&gt;0,DaB!V82-DaB!U82+1,0),0)</f>
        <v>2</v>
      </c>
      <c r="Q82" s="32">
        <f>IFERROR(IF(P82=0,0,IF(DaB!X82&gt;0,DaB!X82-DaB!W82+1,0)),0)</f>
        <v>0</v>
      </c>
      <c r="R82" s="30">
        <f>IFERROR(IF(P82=0,0,IF(DaB!Y82&gt;0,DaB!Y82-MAX(DaB!V82:X82),0)),0)</f>
        <v>0</v>
      </c>
      <c r="S82" s="34">
        <f>IFERROR(IF(U82=0,0,MIN(DaB!$AA82:$AB82)-SUM($C82:R82)),0)</f>
        <v>5</v>
      </c>
      <c r="T82" s="29">
        <f>IFERROR(IF(U82=0,0,IF(DaB!AA82&gt;0,DaB!AB82-DaB!AA82,0)),0)</f>
        <v>0</v>
      </c>
      <c r="U82" s="33">
        <f>IFERROR(IF(DaB!AC82&gt;0,DaB!AC82-DaB!AB82+1,0),0)</f>
        <v>2</v>
      </c>
      <c r="V82" s="32">
        <f>IFERROR(IF(U82=0,0,IF(DaB!AE82&gt;0,DaB!AE82-DaB!AD82+1,0)),0)</f>
        <v>0</v>
      </c>
      <c r="W82" s="30">
        <f>IFERROR(IF(U82=0,0,IF(DaB!AF82&gt;0,DaB!AF82-MAX(DaB!AC82:AE82),0)),0)</f>
        <v>0</v>
      </c>
      <c r="X82" s="34">
        <f>IFERROR(IF(Z82=0,0,MIN(DaB!$AH82:$AI82)-SUM($C82:W82)),0)</f>
        <v>5</v>
      </c>
      <c r="Y82" s="29">
        <f>IFERROR(IF(Z82=0,0,IF(DaB!AH82&gt;0,DaB!AI82-DaB!AH82,0)),0)</f>
        <v>0</v>
      </c>
      <c r="Z82" s="33">
        <f>IFERROR(IF(DaB!AJ82&gt;0,DaB!AJ82-DaB!AI82+1,0),0)</f>
        <v>2</v>
      </c>
      <c r="AA82" s="32">
        <f>IFERROR(IF(Z82=0,0,IF(DaB!AL82&gt;0,DaB!AL82-DaB!AK82+1,0)),0)</f>
        <v>0</v>
      </c>
      <c r="AB82" s="30">
        <f>IFERROR(IF(Z82=0,0,IF(DaB!AM82&gt;0,DaB!AM82-MAX(DaB!AJ82:AL82),0)),0)</f>
        <v>0</v>
      </c>
      <c r="AC82" s="34">
        <f>IFERROR(IF(AE82=0,0,MIN(DaB!$AO82:$AP82)-SUM($C82:AB82)),0)</f>
        <v>5</v>
      </c>
      <c r="AD82" s="29">
        <f>IFERROR(IF(AE82=0,0,IF(DaB!AO82&gt;0,DaB!AP82-DaB!AO82,0)),0)</f>
        <v>0</v>
      </c>
      <c r="AE82" s="33">
        <f>IFERROR(IF(DaB!AQ82&gt;0,DaB!AQ82-DaB!AP82+1,0),0)</f>
        <v>2</v>
      </c>
      <c r="AF82" s="32">
        <f>IFERROR(IF(AE82=0,0,IF(DaB!AS82&gt;0,DaB!AS82-DaB!AR82+1,0)),0)</f>
        <v>0</v>
      </c>
      <c r="AG82" s="30">
        <f>IFERROR(IF(AE82=0,0,IF(DaB!AT82&gt;0,DaB!AT82-MAX(DaB!AQ82:AS82),0)),0)</f>
        <v>0</v>
      </c>
      <c r="AH82" s="34">
        <f>IFERROR(IF(AJ82=0,0,MIN(DaB!$AV82:$AW82)-SUM($C82:AG82)),0)</f>
        <v>5</v>
      </c>
      <c r="AI82" s="29">
        <f>IFERROR(IF(AJ82=0,0,IF(DaB!AV82&gt;0,DaB!AW82-DaB!AV82,0)),0)</f>
        <v>0</v>
      </c>
      <c r="AJ82" s="33">
        <f>IFERROR(IF(DaB!AX82&gt;0,DaB!AX82-DaB!AW82+1,0),0)</f>
        <v>2</v>
      </c>
      <c r="AK82" s="32">
        <f>IFERROR(IF(AJ82=0,0,IF(DaB!AZ82&gt;0,DaB!AZ82-DaB!AY82+1,0)),0)</f>
        <v>0</v>
      </c>
      <c r="AL82" s="30">
        <f>IFERROR(IF(AJ82=0,0,IF(DaB!BA82&gt;0,DaB!BA82-MAX(DaB!AX82:AZ82),0)),0)</f>
        <v>0</v>
      </c>
      <c r="AM82" s="34">
        <f>IFERROR(IF(AO82=0,0,MIN(DaB!$BC82:$BD82)-SUM($C82:AL82)),0)</f>
        <v>5</v>
      </c>
      <c r="AN82" s="29">
        <f>IFERROR(IF(AO82=0,0,IF(DaB!BC82&gt;0,DaB!BD82-DaB!BC82,0)),0)</f>
        <v>0</v>
      </c>
      <c r="AO82" s="33">
        <f>IFERROR(IF(DaB!BE82&gt;0,DaB!BE82-DaB!BD82+1,0),0)</f>
        <v>2</v>
      </c>
      <c r="AP82" s="32">
        <f>IFERROR(IF(AO82=0,0,IF(DaB!BG82&gt;0,DaB!BG82-DaB!BF82+1,0)),0)</f>
        <v>0</v>
      </c>
      <c r="AQ82" s="30">
        <f>IFERROR(IF(AO82=0,0,IF(DaB!BH82&gt;0,DaB!BH82-MAX(DaB!BE82:BG82),0)),0)</f>
        <v>0</v>
      </c>
      <c r="AR82" s="34">
        <f>IFERROR(IF(AT82=0,0,MIN(DaB!$BJ82:$BK82)-SUM($C82:AQ82)),0)</f>
        <v>5</v>
      </c>
      <c r="AS82" s="29">
        <f>IFERROR(IF(AT82=0,0,IF(DaB!BJ82&gt;0,DaB!BK82-DaB!BJ82,0)),0)</f>
        <v>0</v>
      </c>
      <c r="AT82" s="33">
        <f>IFERROR(IF(DaB!BL82&gt;0,DaB!BL82-DaB!BK82+1,0),0)</f>
        <v>2</v>
      </c>
      <c r="AU82" s="32">
        <f>IFERROR(IF(AT82=0,0,IF(DaB!BN82&gt;0,DaB!BN82-DaB!BM82+1,0)),0)</f>
        <v>0</v>
      </c>
      <c r="AV82" s="30">
        <f>IFERROR(IF(AT82=0,0,IF(DaB!BO82&gt;0,DaB!BO82-MAX(DaB!BL82:BN82),0)),0)</f>
        <v>0</v>
      </c>
      <c r="AW82" s="34">
        <f>IFERROR(IF(AY82=0,0,MIN(DaB!$BQ82:$BR82)-SUM($C82:AV82)),0)</f>
        <v>5</v>
      </c>
      <c r="AX82" s="29">
        <f>IFERROR(IF(AY82=0,0,IF(DaB!BQ82&gt;0,DaB!BR82-DaB!BQ82,0)),0)</f>
        <v>0</v>
      </c>
      <c r="AY82" s="33">
        <f>IFERROR(IF(DaB!BS82&gt;0,DaB!BS82-DaB!BR82+1,0),0)</f>
        <v>2</v>
      </c>
      <c r="AZ82" s="32">
        <f>IFERROR(IF(AY82=0,0,IF(DaB!BU82&gt;0,DaB!BU82-DaB!BT82+1,0)),0)</f>
        <v>0</v>
      </c>
      <c r="BA82" s="30">
        <f>IFERROR(IF(AY82=0,0,IF(DaB!BV82&gt;0,DaB!BV82-MAX(DaB!BS82:BU82),0)),0)</f>
        <v>0</v>
      </c>
      <c r="BB82" s="34">
        <f>IFERROR(IF(BD82=0,0,MIN(DaB!$BX82:$BY82)-SUM($C82:BA82)),0)</f>
        <v>5</v>
      </c>
      <c r="BC82" s="29">
        <f>IFERROR(IF(BD82=0,0,IF(DaB!BX82&gt;0,DaB!BY82-DaB!BX82,0)),0)</f>
        <v>0</v>
      </c>
      <c r="BD82" s="33">
        <f>IFERROR(IF(DaB!BZ82&gt;0,DaB!BZ82-DaB!BY82+1,0),0)</f>
        <v>2</v>
      </c>
      <c r="BE82" s="32">
        <f>IFERROR(IF(BD82=0,0,IF(DaB!CB82&gt;0,DaB!CB82-DaB!CA82+1,0)),0)</f>
        <v>0</v>
      </c>
      <c r="BF82" s="30">
        <f>IFERROR(IF(BD82=0,0,IF(DaB!CC82&gt;0,DaB!CC82-MAX(DaB!BZ82:CB82),0)),0)</f>
        <v>0</v>
      </c>
      <c r="BG82" s="34">
        <f>IFERROR(IF(BI82=0,0,MIN(DaB!$CE82:$CF82)-SUM($C82:BF82)),0)</f>
        <v>5</v>
      </c>
      <c r="BH82" s="29">
        <f>IFERROR(IF(BI82=0,0,IF(DaB!CE82&gt;0,DaB!CF82-DaB!CE82,0)),0)</f>
        <v>0</v>
      </c>
      <c r="BI82" s="33">
        <f>IFERROR(IF(DaB!CG82&gt;0,DaB!CG82-DaB!CF82+1,0),0)</f>
        <v>2</v>
      </c>
      <c r="BJ82" s="32">
        <f>IFERROR(IF(BI82=0,0,IF(DaB!CI82&gt;0,DaB!CI82-DaB!CH82+1,0)),0)</f>
        <v>0</v>
      </c>
      <c r="BK82" s="30">
        <f>IFERROR(IF(BI82=0,0,IF(DaB!CJ82&gt;0,DaB!CJ82-MAX(DaB!CG82:CI82),0)),0)</f>
        <v>0</v>
      </c>
      <c r="BL82" s="34">
        <f>IFERROR(IF(BN82=0,0,MIN(DaB!$CL82:$CM82)-SUM($C82:BK82)),0)</f>
        <v>5</v>
      </c>
      <c r="BM82" s="29">
        <f>IFERROR(IF(BN82=0,0,IF(DaB!CL82&gt;0,DaB!CM82-DaB!CL82,0)),0)</f>
        <v>0</v>
      </c>
      <c r="BN82" s="33">
        <f>IFERROR(IF(DaB!CN82&gt;0,DaB!CN82-DaB!CM82+1,0),0)</f>
        <v>2</v>
      </c>
      <c r="BO82" s="32">
        <f>IFERROR(IF(BN82=0,0,IF(DaB!CP82&gt;0,DaB!CP82-DaB!CO82+1,0)),0)</f>
        <v>0</v>
      </c>
      <c r="BP82" s="30">
        <f>IFERROR(IF(BN82=0,0,IF(DaB!CQ82&gt;0,DaB!CQ82-MAX(DaB!CN82:CP82),0)),0)</f>
        <v>0</v>
      </c>
      <c r="BQ82" s="34">
        <f>IFERROR(IF(BS82=0,0,MIN(DaB!$CS82:$CT82)-SUM($C82:BP82)),0)</f>
        <v>5</v>
      </c>
      <c r="BR82" s="29">
        <f>IFERROR(IF(BS82=0,0,IF(DaB!CS82&gt;0,DaB!CT82-DaB!CS82,0)),0)</f>
        <v>0</v>
      </c>
      <c r="BS82" s="33">
        <f>IFERROR(IF(DaB!CU82&gt;0,DaB!CU82-DaB!CT82+1,0),0)</f>
        <v>2</v>
      </c>
      <c r="BT82" s="32">
        <f>IFERROR(IF(BS82=0,0,IF(DaB!CW82&gt;0,DaB!CW82-DaB!CV82+1,0)),0)</f>
        <v>0</v>
      </c>
      <c r="BU82" s="30">
        <f>IFERROR(IF(BS82=0,0,IF(DaB!CX82&gt;0,DaB!CX82-MAX(DaB!CU82:CW82),0)),0)</f>
        <v>0</v>
      </c>
      <c r="BV82" s="34">
        <f>IFERROR(IF(BX82=0,0,MIN(DaB!$CZ82:$DA82)-SUM($C82:BU82)),0)</f>
        <v>5</v>
      </c>
      <c r="BW82" s="29">
        <f>IFERROR(IF(BX82=0,0,IF(DaB!CZ82&gt;0,DaB!DA82-DaB!CZ82,0)),0)</f>
        <v>0</v>
      </c>
      <c r="BX82" s="33">
        <f>IFERROR(IF(DaB!DB82&gt;0,DaB!DB82-DaB!DA82+1,0),0)</f>
        <v>2</v>
      </c>
      <c r="BY82" s="32">
        <f>IFERROR(IF(BX82=0,0,IF(DaB!DD82&gt;0,DaB!DD82-DaB!DC82+1,0)),0)</f>
        <v>0</v>
      </c>
      <c r="BZ82" s="30">
        <f>IFERROR(IF(BX82=0,0,IF(DaB!DE82&gt;0,DaB!DE82-MAX(DaB!DB82:DD82),0)),0)</f>
        <v>0</v>
      </c>
      <c r="CA82" s="34">
        <f>IFERROR(IF(CC82=0,0,MIN(DaB!$DG82:$DH82)-SUM($C82:BZ82)),0)</f>
        <v>5</v>
      </c>
      <c r="CB82" s="29">
        <f>IFERROR(IF(CC82=0,0,IF(DaB!DG82&gt;0,DaB!DH82-DaB!DG82,0)),0)</f>
        <v>0</v>
      </c>
      <c r="CC82" s="33">
        <f>IFERROR(IF(DaB!DI82&gt;0,DaB!DI82-DaB!DH82+1,0),0)</f>
        <v>2</v>
      </c>
      <c r="CD82" s="32">
        <f>IFERROR(IF(CC82=0,0,IF(DaB!DK82&gt;0,DaB!DK82-DaB!DJ82+1,0)),0)</f>
        <v>0</v>
      </c>
      <c r="CE82" s="30">
        <f>IFERROR(IF(CC82=0,0,IF(DaB!DL82&gt;0,DaB!DL82-MAX(DaB!DI82:DK82),0)),0)</f>
        <v>0</v>
      </c>
      <c r="CF82" s="34">
        <f>IFERROR(IF(CH82=0,0,MIN(DaB!$DN82:$DO82)-SUM($C82:CE82)),0)</f>
        <v>5</v>
      </c>
      <c r="CG82" s="29">
        <f>IFERROR(IF(CH82=0,0,IF(DaB!DN82&gt;0,DaB!DO82-DaB!DN82,0)),0)</f>
        <v>0</v>
      </c>
      <c r="CH82" s="33">
        <f>IFERROR(IF(DaB!DP82&gt;0,DaB!DP82-DaB!DO82+1,0),0)</f>
        <v>2</v>
      </c>
      <c r="CI82" s="32">
        <f>IFERROR(IF(CH82=0,0,IF(DaB!DR82&gt;0,DaB!DR82-DaB!DQ82+1,0)),0)</f>
        <v>0</v>
      </c>
      <c r="CJ82" s="30">
        <f>IFERROR(IF(CH82=0,0,IF(DaB!DS82&gt;0,DaB!DS82-MAX(DaB!DP82:DR82),0)),0)</f>
        <v>0</v>
      </c>
      <c r="CK82" s="34">
        <f>IFERROR(IF(CM82=0,0,MIN(DaB!$DU82:$DV82)-SUM($C82:CJ82)),0)</f>
        <v>5</v>
      </c>
      <c r="CL82" s="29">
        <f>IFERROR(IF(CM82=0,0,IF(DaB!DU82&gt;0,DaB!DV82-DaB!DU82,0)),0)</f>
        <v>0</v>
      </c>
      <c r="CM82" s="33">
        <f>IFERROR(IF(DaB!DW82&gt;0,DaB!DW82-DaB!DV82+1,0),0)</f>
        <v>2</v>
      </c>
      <c r="CN82" s="32">
        <f>IFERROR(IF(CM82=0,0,IF(DaB!DY82&gt;0,DaB!DY82-DaB!DX82+1,0)),0)</f>
        <v>0</v>
      </c>
      <c r="CO82" s="30">
        <f>IFERROR(IF(CM82=0,0,IF(DaB!DZ82&gt;0,DaB!DZ82-MAX(DaB!DW82:DY82),0)),0)</f>
        <v>0</v>
      </c>
      <c r="CP82" s="34">
        <f>IFERROR(IF(CR82=0,0,MIN(DaB!$EB82:$EC82)-SUM($C82:CO82)),0)</f>
        <v>5</v>
      </c>
      <c r="CQ82" s="29">
        <f>IFERROR(IF(CR82=0,0,IF(DaB!EB82&gt;0,DaB!EC82-DaB!EB82,0)),0)</f>
        <v>0</v>
      </c>
      <c r="CR82" s="33">
        <f>IFERROR(IF(DaB!ED82&gt;0,DaB!ED82-DaB!EC82+1,0),0)</f>
        <v>2</v>
      </c>
      <c r="CS82" s="32">
        <f>IFERROR(IF(CR82=0,0,IF(DaB!EF82&gt;0,DaB!EF82-DaB!EE82+1,0)),0)</f>
        <v>0</v>
      </c>
      <c r="CT82" s="30">
        <f>IFERROR(IF(CR82=0,0,IF(DaB!EG82&gt;0,DaB!EG82-MAX(DaB!ED82:EF82),0)),0)</f>
        <v>0</v>
      </c>
      <c r="CU82" s="34">
        <f>IFERROR(IF(CW82=0,0,MIN(DaB!$EI82:$EJ82)-SUM($C82:CT82)),0)</f>
        <v>5</v>
      </c>
      <c r="CV82" s="29">
        <f>IFERROR(IF(CW82=0,0,IF(DaB!EI82&gt;0,DaB!EJ82-DaB!EI82,0)),0)</f>
        <v>0</v>
      </c>
      <c r="CW82" s="33">
        <f>IFERROR(IF(DaB!EK82&gt;0,DaB!EK82-DaB!EJ82+1,0),0)</f>
        <v>2</v>
      </c>
      <c r="CX82" s="32">
        <f>IFERROR(IF(CW82=0,0,IF(DaB!EM82&gt;0,DaB!EM82-DaB!EL82+1,0)),0)</f>
        <v>0</v>
      </c>
      <c r="CY82" s="30">
        <f>IFERROR(IF(CW82=0,0,IF(DaB!EN82&gt;0,DaB!EN82-MAX(DaB!EK82:EM82),0)),0)</f>
        <v>0</v>
      </c>
      <c r="DD82" s="183">
        <f>DF82</f>
        <v>45474</v>
      </c>
      <c r="DF82" s="2">
        <f t="shared" si="5"/>
        <v>45474</v>
      </c>
      <c r="DG82" s="28">
        <f>IF(MIN(DaB!EU82:EV82)=DF82,0,
IF(MIN(DaB!EU82:EV82)&gt;DF82,MIN(DaB!EU82:EV82)-DF81,0))</f>
        <v>0</v>
      </c>
      <c r="DH82" s="29">
        <f>IF(ISNUMBER(DaB!EV82),DaB!EV82-SUM(DF82:DG82),"")</f>
        <v>0</v>
      </c>
      <c r="DI82" s="10">
        <f>IF(OR(DaB!EV82=0,DaB!EV82=""),"",$DF$1)</f>
        <v>1</v>
      </c>
      <c r="DJ82" s="10"/>
      <c r="DK82" s="11">
        <v>0</v>
      </c>
      <c r="DL82" s="11">
        <v>0</v>
      </c>
      <c r="DM82" s="30">
        <f>IF(OR(DaB!EZ82=0,DaB!EZ82=""),"",IFERROR(DaB!EZ82-DaB!EV82,0))</f>
        <v>0</v>
      </c>
      <c r="DN82" s="28">
        <f>(DaB!FC82)-(MAX(DaB!EU82:EW82))</f>
        <v>427</v>
      </c>
      <c r="DO82" s="29" t="str">
        <f>IF(OR(DaB!FB82=0,DaB!FB82=""),"",DaB!FC82-SUM(DF82:DN82))</f>
        <v/>
      </c>
      <c r="DP82" s="10">
        <f>IF(OR(DaB!FC82=0,DaB!FC82=""),"",$DF$1)</f>
        <v>1</v>
      </c>
      <c r="DQ82" s="10"/>
      <c r="DR82" s="11"/>
      <c r="DS82" s="11"/>
      <c r="DT82" s="30"/>
      <c r="DU82" s="28"/>
      <c r="DV82" s="29"/>
      <c r="DW82" s="10"/>
      <c r="DX82" s="10"/>
      <c r="DY82" s="11"/>
      <c r="DZ82" s="11"/>
      <c r="EA82" s="30"/>
      <c r="EB82" s="28"/>
      <c r="EC82" s="29"/>
      <c r="ED82" s="10"/>
      <c r="EE82" s="10"/>
      <c r="EF82" s="11"/>
      <c r="EG82" s="11"/>
      <c r="EH82" s="30"/>
      <c r="EI82" s="34"/>
      <c r="EJ82" s="29"/>
      <c r="EK82" s="10"/>
      <c r="EL82" s="10"/>
      <c r="EM82" s="30"/>
      <c r="EN82" s="34"/>
      <c r="EO82" s="29"/>
      <c r="EP82" s="47"/>
      <c r="EQ82" s="47"/>
      <c r="ER82" s="30"/>
      <c r="ES82" s="34"/>
      <c r="ET82" s="29"/>
      <c r="EU82" s="47"/>
      <c r="EV82" s="47"/>
      <c r="EW82" s="30"/>
    </row>
    <row r="83" spans="1:153" x14ac:dyDescent="0.2">
      <c r="A83" s="2" t="str">
        <f>DaB!A83</f>
        <v>SECONDARY</v>
      </c>
      <c r="B83" s="2" t="str">
        <f t="shared" si="6"/>
        <v>.</v>
      </c>
      <c r="C83" s="27">
        <f t="shared" si="7"/>
        <v>45474</v>
      </c>
      <c r="D83" s="34">
        <f>IFERROR(MIN(DaB!F83:K83)-C83,0)</f>
        <v>145</v>
      </c>
      <c r="E83" s="29">
        <f>IFERROR(IF(F83=0,0,IF(DaB!F83&gt;0,DaB!G83-DaB!F83,0)),0)</f>
        <v>0</v>
      </c>
      <c r="F83" s="33">
        <f>IFERROR(IF(DaB!G83&gt;0,DaB!H83-DaB!G83+1,0),0)</f>
        <v>2</v>
      </c>
      <c r="G83" s="32">
        <f>IFERROR(IF(F83=0,0,IF(DaB!J83&gt;0,DaB!J83-DaB!I83+1,0)),0)</f>
        <v>0</v>
      </c>
      <c r="H83" s="30">
        <f>IFERROR(IF(F83=0,0,IF(DaB!K83&gt;0,DaB!K83-MAX(DaB!H83:J83),0)),0)</f>
        <v>0</v>
      </c>
      <c r="I83" s="34">
        <f>IFERROR(IF(K83=0,0,MIN(DaB!$M83:$N83)-SUM($C83:H83)),0)</f>
        <v>5</v>
      </c>
      <c r="J83" s="29">
        <f>IFERROR(IF(K83=0,0,IF(DaB!M83&gt;0,DaB!N83-DaB!M83,0)),0)</f>
        <v>0</v>
      </c>
      <c r="K83" s="33">
        <f>IFERROR(IF(DaB!O83&gt;0,DaB!O83-DaB!N83+1,0),0)</f>
        <v>2</v>
      </c>
      <c r="L83" s="32">
        <f>IFERROR(IF(K83=0,0,IF(DaB!Q83&gt;0,DaB!Q83-DaB!P83+1,0)),0)</f>
        <v>0</v>
      </c>
      <c r="M83" s="30">
        <f>IFERROR(IF(K83=0,0,IF(DaB!R83&gt;0,DaB!R83-MAX(DaB!O83:Q83),0)),0)</f>
        <v>0</v>
      </c>
      <c r="N83" s="31">
        <f>IFERROR(IF(P83=0,0,MIN(DaB!$T83:$U83)-SUM($C83:M83)),0)</f>
        <v>5</v>
      </c>
      <c r="O83" s="29">
        <f>IFERROR(IF(P83=0,0,IF(DaB!T83&gt;0,DaB!U83-DaB!T83,0)),0)</f>
        <v>0</v>
      </c>
      <c r="P83" s="33">
        <f>IFERROR(IF(DaB!V83&gt;0,DaB!V83-DaB!U83+1,0),0)</f>
        <v>2</v>
      </c>
      <c r="Q83" s="32">
        <f>IFERROR(IF(P83=0,0,IF(DaB!X83&gt;0,DaB!X83-DaB!W83+1,0)),0)</f>
        <v>0</v>
      </c>
      <c r="R83" s="30">
        <f>IFERROR(IF(P83=0,0,IF(DaB!Y83&gt;0,DaB!Y83-MAX(DaB!V83:X83),0)),0)</f>
        <v>0</v>
      </c>
      <c r="S83" s="34">
        <f>IFERROR(IF(U83=0,0,MIN(DaB!$AA83:$AB83)-SUM($C83:R83)),0)</f>
        <v>5</v>
      </c>
      <c r="T83" s="29">
        <f>IFERROR(IF(U83=0,0,IF(DaB!AA83&gt;0,DaB!AB83-DaB!AA83,0)),0)</f>
        <v>0</v>
      </c>
      <c r="U83" s="33">
        <f>IFERROR(IF(DaB!AC83&gt;0,DaB!AC83-DaB!AB83+1,0),0)</f>
        <v>2</v>
      </c>
      <c r="V83" s="32">
        <f>IFERROR(IF(U83=0,0,IF(DaB!AE83&gt;0,DaB!AE83-DaB!AD83+1,0)),0)</f>
        <v>0</v>
      </c>
      <c r="W83" s="30">
        <f>IFERROR(IF(U83=0,0,IF(DaB!AF83&gt;0,DaB!AF83-MAX(DaB!AC83:AE83),0)),0)</f>
        <v>0</v>
      </c>
      <c r="X83" s="34">
        <f>IFERROR(IF(Z83=0,0,MIN(DaB!$AH83:$AI83)-SUM($C83:W83)),0)</f>
        <v>5</v>
      </c>
      <c r="Y83" s="29">
        <f>IFERROR(IF(Z83=0,0,IF(DaB!AH83&gt;0,DaB!AI83-DaB!AH83,0)),0)</f>
        <v>0</v>
      </c>
      <c r="Z83" s="33">
        <f>IFERROR(IF(DaB!AJ83&gt;0,DaB!AJ83-DaB!AI83+1,0),0)</f>
        <v>2</v>
      </c>
      <c r="AA83" s="32">
        <f>IFERROR(IF(Z83=0,0,IF(DaB!AL83&gt;0,DaB!AL83-DaB!AK83+1,0)),0)</f>
        <v>0</v>
      </c>
      <c r="AB83" s="30">
        <f>IFERROR(IF(Z83=0,0,IF(DaB!AM83&gt;0,DaB!AM83-MAX(DaB!AJ83:AL83),0)),0)</f>
        <v>0</v>
      </c>
      <c r="AC83" s="34">
        <f>IFERROR(IF(AE83=0,0,MIN(DaB!$AO83:$AP83)-SUM($C83:AB83)),0)</f>
        <v>5</v>
      </c>
      <c r="AD83" s="29">
        <f>IFERROR(IF(AE83=0,0,IF(DaB!AO83&gt;0,DaB!AP83-DaB!AO83,0)),0)</f>
        <v>0</v>
      </c>
      <c r="AE83" s="33">
        <f>IFERROR(IF(DaB!AQ83&gt;0,DaB!AQ83-DaB!AP83+1,0),0)</f>
        <v>2</v>
      </c>
      <c r="AF83" s="32">
        <f>IFERROR(IF(AE83=0,0,IF(DaB!AS83&gt;0,DaB!AS83-DaB!AR83+1,0)),0)</f>
        <v>0</v>
      </c>
      <c r="AG83" s="30">
        <f>IFERROR(IF(AE83=0,0,IF(DaB!AT83&gt;0,DaB!AT83-MAX(DaB!AQ83:AS83),0)),0)</f>
        <v>0</v>
      </c>
      <c r="AH83" s="34">
        <f>IFERROR(IF(AJ83=0,0,MIN(DaB!$AV83:$AW83)-SUM($C83:AG83)),0)</f>
        <v>5</v>
      </c>
      <c r="AI83" s="29">
        <f>IFERROR(IF(AJ83=0,0,IF(DaB!AV83&gt;0,DaB!AW83-DaB!AV83,0)),0)</f>
        <v>0</v>
      </c>
      <c r="AJ83" s="33">
        <f>IFERROR(IF(DaB!AX83&gt;0,DaB!AX83-DaB!AW83+1,0),0)</f>
        <v>2</v>
      </c>
      <c r="AK83" s="32">
        <f>IFERROR(IF(AJ83=0,0,IF(DaB!AZ83&gt;0,DaB!AZ83-DaB!AY83+1,0)),0)</f>
        <v>0</v>
      </c>
      <c r="AL83" s="30">
        <f>IFERROR(IF(AJ83=0,0,IF(DaB!BA83&gt;0,DaB!BA83-MAX(DaB!AX83:AZ83),0)),0)</f>
        <v>0</v>
      </c>
      <c r="AM83" s="34">
        <f>IFERROR(IF(AO83=0,0,MIN(DaB!$BC83:$BD83)-SUM($C83:AL83)),0)</f>
        <v>5</v>
      </c>
      <c r="AN83" s="29">
        <f>IFERROR(IF(AO83=0,0,IF(DaB!BC83&gt;0,DaB!BD83-DaB!BC83,0)),0)</f>
        <v>0</v>
      </c>
      <c r="AO83" s="33">
        <f>IFERROR(IF(DaB!BE83&gt;0,DaB!BE83-DaB!BD83+1,0),0)</f>
        <v>2</v>
      </c>
      <c r="AP83" s="32">
        <f>IFERROR(IF(AO83=0,0,IF(DaB!BG83&gt;0,DaB!BG83-DaB!BF83+1,0)),0)</f>
        <v>0</v>
      </c>
      <c r="AQ83" s="30">
        <f>IFERROR(IF(AO83=0,0,IF(DaB!BH83&gt;0,DaB!BH83-MAX(DaB!BE83:BG83),0)),0)</f>
        <v>0</v>
      </c>
      <c r="AR83" s="34">
        <f>IFERROR(IF(AT83=0,0,MIN(DaB!$BJ83:$BK83)-SUM($C83:AQ83)),0)</f>
        <v>5</v>
      </c>
      <c r="AS83" s="29">
        <f>IFERROR(IF(AT83=0,0,IF(DaB!BJ83&gt;0,DaB!BK83-DaB!BJ83,0)),0)</f>
        <v>0</v>
      </c>
      <c r="AT83" s="33">
        <f>IFERROR(IF(DaB!BL83&gt;0,DaB!BL83-DaB!BK83+1,0),0)</f>
        <v>2</v>
      </c>
      <c r="AU83" s="32">
        <f>IFERROR(IF(AT83=0,0,IF(DaB!BN83&gt;0,DaB!BN83-DaB!BM83+1,0)),0)</f>
        <v>0</v>
      </c>
      <c r="AV83" s="30">
        <f>IFERROR(IF(AT83=0,0,IF(DaB!BO83&gt;0,DaB!BO83-MAX(DaB!BL83:BN83),0)),0)</f>
        <v>0</v>
      </c>
      <c r="AW83" s="34">
        <f>IFERROR(IF(AY83=0,0,MIN(DaB!$BQ83:$BR83)-SUM($C83:AV83)),0)</f>
        <v>5</v>
      </c>
      <c r="AX83" s="29">
        <f>IFERROR(IF(AY83=0,0,IF(DaB!BQ83&gt;0,DaB!BR83-DaB!BQ83,0)),0)</f>
        <v>0</v>
      </c>
      <c r="AY83" s="33">
        <f>IFERROR(IF(DaB!BS83&gt;0,DaB!BS83-DaB!BR83+1,0),0)</f>
        <v>2</v>
      </c>
      <c r="AZ83" s="32">
        <f>IFERROR(IF(AY83=0,0,IF(DaB!BU83&gt;0,DaB!BU83-DaB!BT83+1,0)),0)</f>
        <v>0</v>
      </c>
      <c r="BA83" s="30">
        <f>IFERROR(IF(AY83=0,0,IF(DaB!BV83&gt;0,DaB!BV83-MAX(DaB!BS83:BU83),0)),0)</f>
        <v>0</v>
      </c>
      <c r="BB83" s="34">
        <f>IFERROR(IF(BD83=0,0,MIN(DaB!$BX83:$BY83)-SUM($C83:BA83)),0)</f>
        <v>5</v>
      </c>
      <c r="BC83" s="29">
        <f>IFERROR(IF(BD83=0,0,IF(DaB!BX83&gt;0,DaB!BY83-DaB!BX83,0)),0)</f>
        <v>0</v>
      </c>
      <c r="BD83" s="33">
        <f>IFERROR(IF(DaB!BZ83&gt;0,DaB!BZ83-DaB!BY83+1,0),0)</f>
        <v>2</v>
      </c>
      <c r="BE83" s="32">
        <f>IFERROR(IF(BD83=0,0,IF(DaB!CB83&gt;0,DaB!CB83-DaB!CA83+1,0)),0)</f>
        <v>0</v>
      </c>
      <c r="BF83" s="30">
        <f>IFERROR(IF(BD83=0,0,IF(DaB!CC83&gt;0,DaB!CC83-MAX(DaB!BZ83:CB83),0)),0)</f>
        <v>0</v>
      </c>
      <c r="BG83" s="34">
        <f>IFERROR(IF(BI83=0,0,MIN(DaB!$CE83:$CF83)-SUM($C83:BF83)),0)</f>
        <v>5</v>
      </c>
      <c r="BH83" s="29">
        <f>IFERROR(IF(BI83=0,0,IF(DaB!CE83&gt;0,DaB!CF83-DaB!CE83,0)),0)</f>
        <v>0</v>
      </c>
      <c r="BI83" s="33">
        <f>IFERROR(IF(DaB!CG83&gt;0,DaB!CG83-DaB!CF83+1,0),0)</f>
        <v>2</v>
      </c>
      <c r="BJ83" s="32">
        <f>IFERROR(IF(BI83=0,0,IF(DaB!CI83&gt;0,DaB!CI83-DaB!CH83+1,0)),0)</f>
        <v>0</v>
      </c>
      <c r="BK83" s="30">
        <f>IFERROR(IF(BI83=0,0,IF(DaB!CJ83&gt;0,DaB!CJ83-MAX(DaB!CG83:CI83),0)),0)</f>
        <v>0</v>
      </c>
      <c r="BL83" s="34">
        <f>IFERROR(IF(BN83=0,0,MIN(DaB!$CL83:$CM83)-SUM($C83:BK83)),0)</f>
        <v>5</v>
      </c>
      <c r="BM83" s="29">
        <f>IFERROR(IF(BN83=0,0,IF(DaB!CL83&gt;0,DaB!CM83-DaB!CL83,0)),0)</f>
        <v>0</v>
      </c>
      <c r="BN83" s="33">
        <f>IFERROR(IF(DaB!CN83&gt;0,DaB!CN83-DaB!CM83+1,0),0)</f>
        <v>2</v>
      </c>
      <c r="BO83" s="32">
        <f>IFERROR(IF(BN83=0,0,IF(DaB!CP83&gt;0,DaB!CP83-DaB!CO83+1,0)),0)</f>
        <v>0</v>
      </c>
      <c r="BP83" s="30">
        <f>IFERROR(IF(BN83=0,0,IF(DaB!CQ83&gt;0,DaB!CQ83-MAX(DaB!CN83:CP83),0)),0)</f>
        <v>0</v>
      </c>
      <c r="BQ83" s="34">
        <f>IFERROR(IF(BS83=0,0,MIN(DaB!$CS83:$CT83)-SUM($C83:BP83)),0)</f>
        <v>5</v>
      </c>
      <c r="BR83" s="29">
        <f>IFERROR(IF(BS83=0,0,IF(DaB!CS83&gt;0,DaB!CT83-DaB!CS83,0)),0)</f>
        <v>0</v>
      </c>
      <c r="BS83" s="33">
        <f>IFERROR(IF(DaB!CU83&gt;0,DaB!CU83-DaB!CT83+1,0),0)</f>
        <v>2</v>
      </c>
      <c r="BT83" s="32">
        <f>IFERROR(IF(BS83=0,0,IF(DaB!CW83&gt;0,DaB!CW83-DaB!CV83+1,0)),0)</f>
        <v>0</v>
      </c>
      <c r="BU83" s="30">
        <f>IFERROR(IF(BS83=0,0,IF(DaB!CX83&gt;0,DaB!CX83-MAX(DaB!CU83:CW83),0)),0)</f>
        <v>0</v>
      </c>
      <c r="BV83" s="34">
        <f>IFERROR(IF(BX83=0,0,MIN(DaB!$CZ83:$DA83)-SUM($C83:BU83)),0)</f>
        <v>5</v>
      </c>
      <c r="BW83" s="29">
        <f>IFERROR(IF(BX83=0,0,IF(DaB!CZ83&gt;0,DaB!DA83-DaB!CZ83,0)),0)</f>
        <v>0</v>
      </c>
      <c r="BX83" s="33">
        <f>IFERROR(IF(DaB!DB83&gt;0,DaB!DB83-DaB!DA83+1,0),0)</f>
        <v>2</v>
      </c>
      <c r="BY83" s="32">
        <f>IFERROR(IF(BX83=0,0,IF(DaB!DD83&gt;0,DaB!DD83-DaB!DC83+1,0)),0)</f>
        <v>0</v>
      </c>
      <c r="BZ83" s="30">
        <f>IFERROR(IF(BX83=0,0,IF(DaB!DE83&gt;0,DaB!DE83-MAX(DaB!DB83:DD83),0)),0)</f>
        <v>0</v>
      </c>
      <c r="CA83" s="34">
        <f>IFERROR(IF(CC83=0,0,MIN(DaB!$DG83:$DH83)-SUM($C83:BZ83)),0)</f>
        <v>5</v>
      </c>
      <c r="CB83" s="29">
        <f>IFERROR(IF(CC83=0,0,IF(DaB!DG83&gt;0,DaB!DH83-DaB!DG83,0)),0)</f>
        <v>0</v>
      </c>
      <c r="CC83" s="33">
        <f>IFERROR(IF(DaB!DI83&gt;0,DaB!DI83-DaB!DH83+1,0),0)</f>
        <v>2</v>
      </c>
      <c r="CD83" s="32">
        <f>IFERROR(IF(CC83=0,0,IF(DaB!DK83&gt;0,DaB!DK83-DaB!DJ83+1,0)),0)</f>
        <v>0</v>
      </c>
      <c r="CE83" s="30">
        <f>IFERROR(IF(CC83=0,0,IF(DaB!DL83&gt;0,DaB!DL83-MAX(DaB!DI83:DK83),0)),0)</f>
        <v>0</v>
      </c>
      <c r="CF83" s="34">
        <f>IFERROR(IF(CH83=0,0,MIN(DaB!$DN83:$DO83)-SUM($C83:CE83)),0)</f>
        <v>5</v>
      </c>
      <c r="CG83" s="29">
        <f>IFERROR(IF(CH83=0,0,IF(DaB!DN83&gt;0,DaB!DO83-DaB!DN83,0)),0)</f>
        <v>0</v>
      </c>
      <c r="CH83" s="33">
        <f>IFERROR(IF(DaB!DP83&gt;0,DaB!DP83-DaB!DO83+1,0),0)</f>
        <v>2</v>
      </c>
      <c r="CI83" s="32">
        <f>IFERROR(IF(CH83=0,0,IF(DaB!DR83&gt;0,DaB!DR83-DaB!DQ83+1,0)),0)</f>
        <v>0</v>
      </c>
      <c r="CJ83" s="30">
        <f>IFERROR(IF(CH83=0,0,IF(DaB!DS83&gt;0,DaB!DS83-MAX(DaB!DP83:DR83),0)),0)</f>
        <v>0</v>
      </c>
      <c r="CK83" s="34">
        <f>IFERROR(IF(CM83=0,0,MIN(DaB!$DU83:$DV83)-SUM($C83:CJ83)),0)</f>
        <v>5</v>
      </c>
      <c r="CL83" s="29">
        <f>IFERROR(IF(CM83=0,0,IF(DaB!DU83&gt;0,DaB!DV83-DaB!DU83,0)),0)</f>
        <v>0</v>
      </c>
      <c r="CM83" s="33">
        <f>IFERROR(IF(DaB!DW83&gt;0,DaB!DW83-DaB!DV83+1,0),0)</f>
        <v>2</v>
      </c>
      <c r="CN83" s="32">
        <f>IFERROR(IF(CM83=0,0,IF(DaB!DY83&gt;0,DaB!DY83-DaB!DX83+1,0)),0)</f>
        <v>0</v>
      </c>
      <c r="CO83" s="30">
        <f>IFERROR(IF(CM83=0,0,IF(DaB!DZ83&gt;0,DaB!DZ83-MAX(DaB!DW83:DY83),0)),0)</f>
        <v>0</v>
      </c>
      <c r="CP83" s="34">
        <f>IFERROR(IF(CR83=0,0,MIN(DaB!$EB83:$EC83)-SUM($C83:CO83)),0)</f>
        <v>5</v>
      </c>
      <c r="CQ83" s="29">
        <f>IFERROR(IF(CR83=0,0,IF(DaB!EB83&gt;0,DaB!EC83-DaB!EB83,0)),0)</f>
        <v>0</v>
      </c>
      <c r="CR83" s="33">
        <f>IFERROR(IF(DaB!ED83&gt;0,DaB!ED83-DaB!EC83+1,0),0)</f>
        <v>2</v>
      </c>
      <c r="CS83" s="32">
        <f>IFERROR(IF(CR83=0,0,IF(DaB!EF83&gt;0,DaB!EF83-DaB!EE83+1,0)),0)</f>
        <v>0</v>
      </c>
      <c r="CT83" s="30">
        <f>IFERROR(IF(CR83=0,0,IF(DaB!EG83&gt;0,DaB!EG83-MAX(DaB!ED83:EF83),0)),0)</f>
        <v>0</v>
      </c>
      <c r="CU83" s="34">
        <f>IFERROR(IF(CW83=0,0,MIN(DaB!$EI83:$EJ83)-SUM($C83:CT83)),0)</f>
        <v>5</v>
      </c>
      <c r="CV83" s="29">
        <f>IFERROR(IF(CW83=0,0,IF(DaB!EI83&gt;0,DaB!EJ83-DaB!EI83,0)),0)</f>
        <v>0</v>
      </c>
      <c r="CW83" s="33">
        <f>IFERROR(IF(DaB!EK83&gt;0,DaB!EK83-DaB!EJ83+1,0),0)</f>
        <v>2</v>
      </c>
      <c r="CX83" s="32">
        <f>IFERROR(IF(CW83=0,0,IF(DaB!EM83&gt;0,DaB!EM83-DaB!EL83+1,0)),0)</f>
        <v>0</v>
      </c>
      <c r="CY83" s="30">
        <f>IFERROR(IF(CW83=0,0,IF(DaB!EN83&gt;0,DaB!EN83-MAX(DaB!EK83:EM83),0)),0)</f>
        <v>0</v>
      </c>
      <c r="DD83" s="183">
        <f>DF83</f>
        <v>45474</v>
      </c>
      <c r="DF83" s="2">
        <f t="shared" si="5"/>
        <v>45474</v>
      </c>
      <c r="DG83" s="28">
        <f>IF(MIN(DaB!EU83:EV83)=DF83,0,
IF(MIN(DaB!EU83:EV83)&gt;DF83,MIN(DaB!EU83:EV83)-DF81,0))</f>
        <v>0</v>
      </c>
      <c r="DH83" s="29">
        <f>IF(ISNUMBER(DaB!EV83),DaB!EV83-SUM(DF83:DG83),"")</f>
        <v>0</v>
      </c>
      <c r="DI83" s="10">
        <f>IF(OR(DaB!EV83=0,DaB!EV83=""),"",$DF$1)</f>
        <v>1</v>
      </c>
      <c r="DJ83" s="10"/>
      <c r="DK83" s="11">
        <v>0</v>
      </c>
      <c r="DL83" s="11">
        <v>0</v>
      </c>
      <c r="DM83" s="30">
        <f>IF(OR(DaB!EZ83=0,DaB!EZ83=""),"",IFERROR(DaB!EZ83-DaB!EV83,0))</f>
        <v>0</v>
      </c>
      <c r="DN83" s="28">
        <f>(DaB!FC83)-(MAX(DaB!EU83:EW83))</f>
        <v>427</v>
      </c>
      <c r="DO83" s="29" t="str">
        <f>IF(OR(DaB!FB83=0,DaB!FB83=""),"",DaB!FC83-SUM(DF83:DN83))</f>
        <v/>
      </c>
      <c r="DP83" s="10">
        <f>IF(OR(DaB!FC83=0,DaB!FC83=""),"",$DF$1)</f>
        <v>1</v>
      </c>
      <c r="DQ83" s="10"/>
      <c r="DR83" s="11"/>
      <c r="DS83" s="11"/>
      <c r="DT83" s="30"/>
      <c r="DU83" s="28"/>
      <c r="DV83" s="29"/>
      <c r="DW83" s="10"/>
      <c r="DX83" s="10"/>
      <c r="DY83" s="11"/>
      <c r="DZ83" s="11"/>
      <c r="EA83" s="30"/>
      <c r="EB83" s="28"/>
      <c r="EC83" s="29"/>
      <c r="ED83" s="10"/>
      <c r="EE83" s="10"/>
      <c r="EF83" s="11"/>
      <c r="EG83" s="11"/>
      <c r="EH83" s="30"/>
      <c r="EI83" s="34"/>
      <c r="EJ83" s="29"/>
      <c r="EK83" s="10"/>
      <c r="EL83" s="10"/>
      <c r="EM83" s="30"/>
      <c r="EN83" s="34"/>
      <c r="EO83" s="29"/>
      <c r="EP83" s="47"/>
      <c r="EQ83" s="47"/>
      <c r="ER83" s="30"/>
      <c r="ES83" s="34"/>
      <c r="ET83" s="29"/>
      <c r="EU83" s="47"/>
      <c r="EV83" s="47"/>
      <c r="EW83" s="30"/>
    </row>
    <row r="87" spans="1:153" ht="13.5" x14ac:dyDescent="0.25">
      <c r="DD87" s="183">
        <f>DF80</f>
        <v>45474</v>
      </c>
      <c r="DE87" s="49">
        <f>DD87</f>
        <v>45474</v>
      </c>
      <c r="DF87" s="183">
        <f>DF80</f>
        <v>45474</v>
      </c>
      <c r="DH87" s="234">
        <f>DF87-DN80</f>
        <v>45322</v>
      </c>
    </row>
    <row r="88" spans="1:153" x14ac:dyDescent="0.2">
      <c r="DD88" s="183">
        <v>45838</v>
      </c>
      <c r="DE88" s="49">
        <f>DD88</f>
        <v>45838</v>
      </c>
      <c r="DF88" s="183"/>
    </row>
    <row r="89" spans="1:153" x14ac:dyDescent="0.2">
      <c r="DD89" s="183">
        <v>45931</v>
      </c>
      <c r="DE89" s="49">
        <f>DD89</f>
        <v>45931</v>
      </c>
      <c r="DF89" s="183"/>
    </row>
    <row r="90" spans="1:153" x14ac:dyDescent="0.2">
      <c r="DD90" s="183"/>
      <c r="DE90" s="49"/>
    </row>
    <row r="91" spans="1:153" x14ac:dyDescent="0.2">
      <c r="DD91" s="183"/>
      <c r="DE91" s="49"/>
    </row>
    <row r="92" spans="1:153" x14ac:dyDescent="0.2">
      <c r="DD92" s="183"/>
      <c r="DE92" s="49"/>
      <c r="DF92" s="49"/>
    </row>
    <row r="93" spans="1:153" x14ac:dyDescent="0.2">
      <c r="DD93" s="183"/>
      <c r="DE93" s="49"/>
    </row>
    <row r="94" spans="1:153" x14ac:dyDescent="0.2">
      <c r="DD94" s="183"/>
      <c r="DE94" s="49"/>
    </row>
    <row r="95" spans="1:153" x14ac:dyDescent="0.2">
      <c r="DD95" s="183"/>
      <c r="DE95" s="49"/>
    </row>
    <row r="96" spans="1:153" x14ac:dyDescent="0.2">
      <c r="DD96" s="183"/>
      <c r="DE96" s="49"/>
    </row>
    <row r="97" spans="108:109" x14ac:dyDescent="0.2">
      <c r="DD97" s="183"/>
      <c r="DE97" s="49"/>
    </row>
    <row r="98" spans="108:109" x14ac:dyDescent="0.2">
      <c r="DD98" s="183"/>
      <c r="DE98" s="49"/>
    </row>
    <row r="99" spans="108:109" x14ac:dyDescent="0.2">
      <c r="DD99" s="183"/>
      <c r="DE99" s="49"/>
    </row>
    <row r="100" spans="108:109" x14ac:dyDescent="0.2">
      <c r="DD100" s="183"/>
      <c r="DE100" s="49"/>
    </row>
    <row r="101" spans="108:109" x14ac:dyDescent="0.2">
      <c r="DD101" s="183"/>
    </row>
    <row r="102" spans="108:109" x14ac:dyDescent="0.2">
      <c r="DD102" s="183"/>
    </row>
    <row r="103" spans="108:109" x14ac:dyDescent="0.2">
      <c r="DD103" s="183"/>
    </row>
    <row r="104" spans="108:109" x14ac:dyDescent="0.2">
      <c r="DD104" s="183"/>
    </row>
  </sheetData>
  <customSheetViews>
    <customSheetView guid="{DDEB736A-B1E5-4264-A8F3-A2685B0B4EEB}">
      <selection activeCell="U8" sqref="U8"/>
      <pageMargins left="0" right="0" top="0" bottom="0" header="0" footer="0"/>
      <pageSetup paperSize="9" orientation="portrait" horizontalDpi="1200" verticalDpi="1200" r:id="rId1"/>
      <headerFooter alignWithMargins="0"/>
    </customSheetView>
    <customSheetView guid="{9A8FD2B6-2858-4C09-9320-6AA22D95851B}">
      <selection activeCell="U8" sqref="U8"/>
      <pageMargins left="0" right="0" top="0" bottom="0" header="0" footer="0"/>
      <pageSetup paperSize="9" orientation="portrait" horizontalDpi="1200" verticalDpi="1200" r:id="rId2"/>
      <headerFooter alignWithMargins="0"/>
    </customSheetView>
    <customSheetView guid="{D725C49D-9002-4D8B-BF6D-723EC3EF39E8}">
      <pane xSplit="3" ySplit="3" topLeftCell="D4" activePane="bottomRight"/>
      <selection pane="bottomRight" activeCell="Y7" sqref="Y7"/>
      <pageMargins left="0" right="0" top="0" bottom="0" header="0" footer="0"/>
      <pageSetup paperSize="9" orientation="portrait" horizontalDpi="1200" verticalDpi="1200" r:id="rId3"/>
      <headerFooter alignWithMargins="0"/>
    </customSheetView>
  </customSheetViews>
  <phoneticPr fontId="0" type="noConversion"/>
  <conditionalFormatting sqref="A1:C3">
    <cfRule type="cellIs" dxfId="89" priority="311" stopIfTrue="1" operator="lessThan">
      <formula>0</formula>
    </cfRule>
  </conditionalFormatting>
  <conditionalFormatting sqref="A4:C6 B7:B79 A81:B83">
    <cfRule type="cellIs" dxfId="88" priority="1432" stopIfTrue="1" operator="lessThan">
      <formula>0</formula>
    </cfRule>
  </conditionalFormatting>
  <conditionalFormatting sqref="B4:C6 B7:B79 B81:B83">
    <cfRule type="cellIs" dxfId="87" priority="1431" operator="lessThan">
      <formula>0</formula>
    </cfRule>
  </conditionalFormatting>
  <conditionalFormatting sqref="D1:I2">
    <cfRule type="cellIs" dxfId="86" priority="1162" stopIfTrue="1" operator="lessThan">
      <formula>0</formula>
    </cfRule>
  </conditionalFormatting>
  <conditionalFormatting sqref="D3:CY3">
    <cfRule type="cellIs" dxfId="85" priority="1011" stopIfTrue="1" operator="lessThan">
      <formula>0</formula>
    </cfRule>
  </conditionalFormatting>
  <conditionalFormatting sqref="D4:CY7 J12:CY13 G16:CY79 C82:CY83 C8:CY11 D80:CY81 DG4:EW11 C7 EN48:EO55 EI48:EM65 EN56:EW65 EI66:EW67 B80:C80 C81">
    <cfRule type="cellIs" dxfId="84" priority="1882" operator="lessThan">
      <formula>0</formula>
    </cfRule>
  </conditionalFormatting>
  <conditionalFormatting sqref="G12:I15 EI12:EO47 EP12:EW55 J14:CY15">
    <cfRule type="cellIs" dxfId="83" priority="409" stopIfTrue="1" operator="lessThan">
      <formula>0</formula>
    </cfRule>
  </conditionalFormatting>
  <conditionalFormatting sqref="J14:CY15 G12:I15 EI12:EO47 EP12:EW55">
    <cfRule type="cellIs" dxfId="82" priority="408" operator="lessThan">
      <formula>0</formula>
    </cfRule>
  </conditionalFormatting>
  <conditionalFormatting sqref="K1:S2">
    <cfRule type="cellIs" dxfId="81" priority="309" stopIfTrue="1" operator="lessThan">
      <formula>0</formula>
    </cfRule>
  </conditionalFormatting>
  <conditionalFormatting sqref="T8:CX9">
    <cfRule type="cellIs" dxfId="80" priority="117" operator="lessThan">
      <formula>0</formula>
    </cfRule>
    <cfRule type="cellIs" dxfId="79" priority="118" stopIfTrue="1" operator="lessThan">
      <formula>0</formula>
    </cfRule>
  </conditionalFormatting>
  <conditionalFormatting sqref="T10:CX11">
    <cfRule type="cellIs" dxfId="78" priority="37" operator="lessThan">
      <formula>0</formula>
    </cfRule>
    <cfRule type="cellIs" dxfId="77" priority="38" stopIfTrue="1" operator="lessThan">
      <formula>0</formula>
    </cfRule>
  </conditionalFormatting>
  <conditionalFormatting sqref="T16:CX17 T20:CX21 T24:CX25 T28:CX29 T32:CX33 T36:CX37 T40:CX41 T44:CX45 T48:CX49 T52:CX53">
    <cfRule type="cellIs" dxfId="76" priority="587" operator="lessThan">
      <formula>0</formula>
    </cfRule>
    <cfRule type="cellIs" dxfId="75" priority="588" stopIfTrue="1" operator="lessThan">
      <formula>0</formula>
    </cfRule>
  </conditionalFormatting>
  <conditionalFormatting sqref="T82:CX83">
    <cfRule type="cellIs" dxfId="74" priority="200" operator="lessThan">
      <formula>0</formula>
    </cfRule>
    <cfRule type="cellIs" dxfId="73" priority="201" stopIfTrue="1" operator="lessThan">
      <formula>0</formula>
    </cfRule>
  </conditionalFormatting>
  <conditionalFormatting sqref="U1:AC2 AE1:AM2 AO1:AW2 AY1:BG2">
    <cfRule type="cellIs" dxfId="72" priority="1161" stopIfTrue="1" operator="lessThan">
      <formula>0</formula>
    </cfRule>
  </conditionalFormatting>
  <conditionalFormatting sqref="X5:AA5">
    <cfRule type="cellIs" dxfId="71" priority="1837" stopIfTrue="1" operator="lessThan">
      <formula>0</formula>
    </cfRule>
  </conditionalFormatting>
  <conditionalFormatting sqref="X7:AA7">
    <cfRule type="cellIs" dxfId="70" priority="32" stopIfTrue="1" operator="lessThan">
      <formula>0</formula>
    </cfRule>
  </conditionalFormatting>
  <conditionalFormatting sqref="X9:AA9">
    <cfRule type="cellIs" dxfId="69" priority="189" stopIfTrue="1" operator="lessThan">
      <formula>0</formula>
    </cfRule>
  </conditionalFormatting>
  <conditionalFormatting sqref="X11:AA11">
    <cfRule type="cellIs" dxfId="68" priority="109" stopIfTrue="1" operator="lessThan">
      <formula>0</formula>
    </cfRule>
  </conditionalFormatting>
  <conditionalFormatting sqref="X13:AA13 X19:AA19 X23:AA23 X27:AA27 X31:AA31 X35:AA35 X39:AA39 X43:AA43 X47:AA47 X51:AA51 X55:AA55">
    <cfRule type="cellIs" dxfId="67" priority="663" stopIfTrue="1" operator="lessThan">
      <formula>0</formula>
    </cfRule>
  </conditionalFormatting>
  <conditionalFormatting sqref="X15:AA15">
    <cfRule type="cellIs" dxfId="66" priority="403" stopIfTrue="1" operator="lessThan">
      <formula>0</formula>
    </cfRule>
  </conditionalFormatting>
  <conditionalFormatting sqref="X17:AA17 X21:AA21 X25:AA25 X29:AA29 X33:AA33 X37:AA37 X41:AA41 X45:AA45 X49:AA49 X53:AA53">
    <cfRule type="cellIs" dxfId="65" priority="659" stopIfTrue="1" operator="lessThan">
      <formula>0</formula>
    </cfRule>
  </conditionalFormatting>
  <conditionalFormatting sqref="X57:AA57 X59:AA59 X61:AA61 X63:AA63 X65:AA65 X69:AA69 X71:AA71 X73:AA73 X75:AA75">
    <cfRule type="cellIs" dxfId="64" priority="566" stopIfTrue="1" operator="lessThan">
      <formula>0</formula>
    </cfRule>
  </conditionalFormatting>
  <conditionalFormatting sqref="X67:AA67">
    <cfRule type="cellIs" dxfId="63" priority="347" stopIfTrue="1" operator="lessThan">
      <formula>0</formula>
    </cfRule>
  </conditionalFormatting>
  <conditionalFormatting sqref="X77:AA77">
    <cfRule type="cellIs" dxfId="62" priority="528" stopIfTrue="1" operator="lessThan">
      <formula>0</formula>
    </cfRule>
  </conditionalFormatting>
  <conditionalFormatting sqref="X79:AA79">
    <cfRule type="cellIs" dxfId="61" priority="491" stopIfTrue="1" operator="lessThan">
      <formula>0</formula>
    </cfRule>
  </conditionalFormatting>
  <conditionalFormatting sqref="X81:AA81">
    <cfRule type="cellIs" dxfId="60" priority="31" stopIfTrue="1" operator="lessThan">
      <formula>0</formula>
    </cfRule>
  </conditionalFormatting>
  <conditionalFormatting sqref="X83:AA83">
    <cfRule type="cellIs" dxfId="59" priority="272" stopIfTrue="1" operator="lessThan">
      <formula>0</formula>
    </cfRule>
  </conditionalFormatting>
  <conditionalFormatting sqref="AG13">
    <cfRule type="cellIs" dxfId="58" priority="624" stopIfTrue="1" operator="lessThan">
      <formula>0</formula>
    </cfRule>
  </conditionalFormatting>
  <conditionalFormatting sqref="AG57:AL57 AG59:AL59 AG61:AL61 AG63:AL63 AG65:AL65 AG69:AL69 AG71:AL71 AG73:AL73 AG75:AL75">
    <cfRule type="cellIs" dxfId="57" priority="551" operator="lessThan">
      <formula>0</formula>
    </cfRule>
  </conditionalFormatting>
  <conditionalFormatting sqref="AG67:AL67">
    <cfRule type="cellIs" dxfId="56" priority="335" stopIfTrue="1" operator="lessThan">
      <formula>0</formula>
    </cfRule>
  </conditionalFormatting>
  <conditionalFormatting sqref="AG67:AQ67">
    <cfRule type="cellIs" dxfId="55" priority="334" operator="lessThan">
      <formula>0</formula>
    </cfRule>
  </conditionalFormatting>
  <conditionalFormatting sqref="AG57:BK57 AG59:BK59 AG61:BK61 AG63:BK63 AG65:BK65 AG69:BK69 AG71:BK71 AG73:BK73 AG75:BK75">
    <cfRule type="cellIs" dxfId="54" priority="552" stopIfTrue="1" operator="lessThan">
      <formula>0</formula>
    </cfRule>
  </conditionalFormatting>
  <conditionalFormatting sqref="AG5:CX5 AG7:CX7">
    <cfRule type="cellIs" dxfId="53" priority="994" stopIfTrue="1" operator="lessThan">
      <formula>0</formula>
    </cfRule>
    <cfRule type="cellIs" dxfId="52" priority="993" operator="lessThan">
      <formula>0</formula>
    </cfRule>
  </conditionalFormatting>
  <conditionalFormatting sqref="AG9:CX9">
    <cfRule type="cellIs" dxfId="51" priority="113" operator="lessThan">
      <formula>0</formula>
    </cfRule>
    <cfRule type="cellIs" dxfId="50" priority="114" stopIfTrue="1" operator="lessThan">
      <formula>0</formula>
    </cfRule>
  </conditionalFormatting>
  <conditionalFormatting sqref="AG11:CX11">
    <cfRule type="cellIs" dxfId="49" priority="34" stopIfTrue="1" operator="lessThan">
      <formula>0</formula>
    </cfRule>
    <cfRule type="cellIs" dxfId="48" priority="33" operator="lessThan">
      <formula>0</formula>
    </cfRule>
  </conditionalFormatting>
  <conditionalFormatting sqref="AG13:CX13 AG17:CX17 AG19:CX19 AG21:CX21 AG23:CX23 AG25:CX25 AG27:CX27 AG29:CX29 AG31:CX31 AG33:CX33 AG35:CX35 AG37:CX37 AG39:CX39 AG41:CX41 AG43:CX43 AG45:CX45 AG47:CX47 AG49:CX49 AG51:CX51 AG53:CX53 AG55:CX55">
    <cfRule type="cellIs" dxfId="47" priority="583" operator="lessThan">
      <formula>0</formula>
    </cfRule>
  </conditionalFormatting>
  <conditionalFormatting sqref="AG15:CX15">
    <cfRule type="cellIs" dxfId="46" priority="373" operator="lessThan">
      <formula>0</formula>
    </cfRule>
    <cfRule type="cellIs" dxfId="45" priority="374" stopIfTrue="1" operator="lessThan">
      <formula>0</formula>
    </cfRule>
  </conditionalFormatting>
  <conditionalFormatting sqref="AG77:CX77">
    <cfRule type="cellIs" dxfId="44" priority="498" operator="lessThan">
      <formula>0</formula>
    </cfRule>
    <cfRule type="cellIs" dxfId="43" priority="499" stopIfTrue="1" operator="lessThan">
      <formula>0</formula>
    </cfRule>
  </conditionalFormatting>
  <conditionalFormatting sqref="AG79:CX79">
    <cfRule type="cellIs" dxfId="42" priority="462" stopIfTrue="1" operator="lessThan">
      <formula>0</formula>
    </cfRule>
    <cfRule type="cellIs" dxfId="41" priority="461" operator="lessThan">
      <formula>0</formula>
    </cfRule>
  </conditionalFormatting>
  <conditionalFormatting sqref="AG81:CX81">
    <cfRule type="cellIs" dxfId="40" priority="1" operator="lessThan">
      <formula>0</formula>
    </cfRule>
    <cfRule type="cellIs" dxfId="39" priority="2" stopIfTrue="1" operator="lessThan">
      <formula>0</formula>
    </cfRule>
  </conditionalFormatting>
  <conditionalFormatting sqref="AG83:CX83">
    <cfRule type="cellIs" dxfId="38" priority="197" stopIfTrue="1" operator="lessThan">
      <formula>0</formula>
    </cfRule>
    <cfRule type="cellIs" dxfId="37" priority="196" operator="lessThan">
      <formula>0</formula>
    </cfRule>
  </conditionalFormatting>
  <conditionalFormatting sqref="AH12:AH13 AH13:AL13">
    <cfRule type="cellIs" dxfId="36" priority="636" stopIfTrue="1" operator="lessThan">
      <formula>0</formula>
    </cfRule>
  </conditionalFormatting>
  <conditionalFormatting sqref="AH12:AH13">
    <cfRule type="cellIs" dxfId="35" priority="635" operator="lessThan">
      <formula>0</formula>
    </cfRule>
    <cfRule type="cellIs" dxfId="34" priority="654" operator="lessThan">
      <formula>0</formula>
    </cfRule>
    <cfRule type="cellIs" dxfId="33" priority="656" stopIfTrue="1" operator="lessThan">
      <formula>0</formula>
    </cfRule>
  </conditionalFormatting>
  <conditionalFormatting sqref="AM57:AQ57 AM59:AQ59 AM61:AQ61 AM63:AQ63 AM65:AQ65 AM69:AQ69 AM71:AQ71 AM73:AQ73 AM75:AQ75">
    <cfRule type="cellIs" dxfId="32" priority="1886" operator="lessThan">
      <formula>0</formula>
    </cfRule>
  </conditionalFormatting>
  <conditionalFormatting sqref="AM67:BP67">
    <cfRule type="cellIs" dxfId="31" priority="333" stopIfTrue="1" operator="lessThan">
      <formula>0</formula>
    </cfRule>
  </conditionalFormatting>
  <conditionalFormatting sqref="AM13:CX13 AG17:CX17 AG19:CX19 AG21:CX21 AG23:CX23 AG25:CX25 AG27:CX27 AG29:CX29 AG31:CX31 AG33:CX33 AG35:CX35 AG37:CX37 AG39:CX39 AG41:CX41 AG43:CX43 AG45:CX45 AG47:CX47 AG49:CX49 AG51:CX51 AG53:CX53 AG55:CX55">
    <cfRule type="cellIs" dxfId="30" priority="584" stopIfTrue="1" operator="lessThan">
      <formula>0</formula>
    </cfRule>
  </conditionalFormatting>
  <conditionalFormatting sqref="AR57:BP57 AR59:BP59 AR61:BP61 AR63:BP63 AR65:BP65 AR69:BP69 AR71:BP71 AR73:BP73 AR75:BP75">
    <cfRule type="cellIs" dxfId="29" priority="549" operator="lessThan">
      <formula>0</formula>
    </cfRule>
  </conditionalFormatting>
  <conditionalFormatting sqref="AR67:BU67">
    <cfRule type="cellIs" dxfId="28" priority="332" operator="lessThan">
      <formula>0</formula>
    </cfRule>
  </conditionalFormatting>
  <conditionalFormatting sqref="BI1:BQ2">
    <cfRule type="cellIs" dxfId="27" priority="1159" stopIfTrue="1" operator="lessThan">
      <formula>0</formula>
    </cfRule>
  </conditionalFormatting>
  <conditionalFormatting sqref="BL57:BP57 BL59:BP59 BL61:BP61 BL63:BP63 BL65:BP65 BL69:BP69 BL71:BP71 BL73:BP73 BL75:BP75">
    <cfRule type="cellIs" dxfId="26" priority="550" stopIfTrue="1" operator="lessThan">
      <formula>0</formula>
    </cfRule>
  </conditionalFormatting>
  <conditionalFormatting sqref="BQ57:BU57 BQ59:BU59 BQ61:BU61 BQ63:BU63 BQ65:BU65 BQ69:BU69 BQ71:BU71 BQ73:BU73 BQ75:BU75">
    <cfRule type="cellIs" dxfId="25" priority="1887" operator="lessThan">
      <formula>0</formula>
    </cfRule>
  </conditionalFormatting>
  <conditionalFormatting sqref="BQ57:CO57 BQ59:CO59 BQ61:CO61 BQ63:CO63 BQ65:CO65 BQ69:CO69 BQ71:CO71 BQ73:CO73 BQ75:CO75">
    <cfRule type="cellIs" dxfId="24" priority="540" stopIfTrue="1" operator="lessThan">
      <formula>0</formula>
    </cfRule>
  </conditionalFormatting>
  <conditionalFormatting sqref="BQ67:CO67">
    <cfRule type="cellIs" dxfId="23" priority="324" stopIfTrue="1" operator="lessThan">
      <formula>0</formula>
    </cfRule>
  </conditionalFormatting>
  <conditionalFormatting sqref="BS1:CA2">
    <cfRule type="cellIs" dxfId="22" priority="1087" stopIfTrue="1" operator="lessThan">
      <formula>0</formula>
    </cfRule>
  </conditionalFormatting>
  <conditionalFormatting sqref="BV57:CO57 BV59:CO59 BV61:CO61 BV63:CO63 BV65:CO65 BV69:CO69 BV71:CO71 BV73:CO73 BV75:CO75">
    <cfRule type="cellIs" dxfId="21" priority="539" operator="lessThan">
      <formula>0</formula>
    </cfRule>
  </conditionalFormatting>
  <conditionalFormatting sqref="BV67:CT67">
    <cfRule type="cellIs" dxfId="20" priority="323" operator="lessThan">
      <formula>0</formula>
    </cfRule>
  </conditionalFormatting>
  <conditionalFormatting sqref="CC1:CK2">
    <cfRule type="cellIs" dxfId="19" priority="1018" stopIfTrue="1" operator="lessThan">
      <formula>0</formula>
    </cfRule>
  </conditionalFormatting>
  <conditionalFormatting sqref="CM1:CU2">
    <cfRule type="cellIs" dxfId="18" priority="949" stopIfTrue="1" operator="lessThan">
      <formula>0</formula>
    </cfRule>
  </conditionalFormatting>
  <conditionalFormatting sqref="CP57:CT57 CP59:CT59 CP61:CT61 CP63:CT63 CP65:CT65 CP69:CT69 CP71:CT71 CP73:CT73 CP75:CT75">
    <cfRule type="cellIs" dxfId="17" priority="1888" operator="lessThan">
      <formula>0</formula>
    </cfRule>
  </conditionalFormatting>
  <conditionalFormatting sqref="CP57:CX57 CP59:CX59 CP61:CX61 CP63:CX63 CP65:CX65 CP69:CX69 CP71:CX71 CP73:CX73 CP75:CX75">
    <cfRule type="cellIs" dxfId="16" priority="537" stopIfTrue="1" operator="lessThan">
      <formula>0</formula>
    </cfRule>
  </conditionalFormatting>
  <conditionalFormatting sqref="CP67:CX67">
    <cfRule type="cellIs" dxfId="15" priority="321" stopIfTrue="1" operator="lessThan">
      <formula>0</formula>
    </cfRule>
  </conditionalFormatting>
  <conditionalFormatting sqref="CU57:CX57 CU59:CX59 CU61:CX61 CU63:CX63 CU65:CX65 CU69:CX69 CU71:CX71 CU73:CX73 CU75:CX75">
    <cfRule type="cellIs" dxfId="14" priority="536" operator="lessThan">
      <formula>0</formula>
    </cfRule>
  </conditionalFormatting>
  <conditionalFormatting sqref="CU67:CX67">
    <cfRule type="cellIs" dxfId="13" priority="320" operator="lessThan">
      <formula>0</formula>
    </cfRule>
  </conditionalFormatting>
  <conditionalFormatting sqref="CW1:CY2">
    <cfRule type="cellIs" dxfId="12" priority="950" stopIfTrue="1" operator="lessThan">
      <formula>0</formula>
    </cfRule>
  </conditionalFormatting>
  <conditionalFormatting sqref="DG1:DM3">
    <cfRule type="cellIs" dxfId="11" priority="1157" stopIfTrue="1" operator="lessThan">
      <formula>0</formula>
    </cfRule>
  </conditionalFormatting>
  <conditionalFormatting sqref="DG12:EH67 C12:F79 A7:A79">
    <cfRule type="cellIs" dxfId="10" priority="353" stopIfTrue="1" operator="lessThan">
      <formula>0</formula>
    </cfRule>
  </conditionalFormatting>
  <conditionalFormatting sqref="DG12:EH67 C12:F79">
    <cfRule type="cellIs" dxfId="9" priority="352" operator="lessThan">
      <formula>0</formula>
    </cfRule>
  </conditionalFormatting>
  <conditionalFormatting sqref="DG68:EW83">
    <cfRule type="cellIs" dxfId="8" priority="496" operator="lessThan">
      <formula>0</formula>
    </cfRule>
    <cfRule type="cellIs" dxfId="7" priority="497" stopIfTrue="1" operator="lessThan">
      <formula>0</formula>
    </cfRule>
  </conditionalFormatting>
  <conditionalFormatting sqref="DN1:DN2">
    <cfRule type="cellIs" dxfId="6" priority="1156" stopIfTrue="1" operator="lessThan">
      <formula>0</formula>
    </cfRule>
  </conditionalFormatting>
  <conditionalFormatting sqref="DN3:EC3">
    <cfRule type="cellIs" dxfId="5" priority="194" stopIfTrue="1" operator="lessThan">
      <formula>0</formula>
    </cfRule>
  </conditionalFormatting>
  <conditionalFormatting sqref="DP1:EB2">
    <cfRule type="cellIs" dxfId="4" priority="307" stopIfTrue="1" operator="lessThan">
      <formula>0</formula>
    </cfRule>
  </conditionalFormatting>
  <conditionalFormatting sqref="ED1:EG3">
    <cfRule type="cellIs" dxfId="3" priority="193" stopIfTrue="1" operator="lessThan">
      <formula>0</formula>
    </cfRule>
  </conditionalFormatting>
  <conditionalFormatting sqref="EH1:EH5 DQ4:EG5 EI4:EW5 D4:CY7 DG4:DP11 DQ6:EW11 C7 C8:CY11 J12:CY13 G16:CY79 EN48:EO55 EI48:EM65 EN56:EW65 EI66:EW67 A80:C80 D80:CY81 C81 C82:CY83 DG84:EM86 A84:CY65368 DD87:EM87 DG88:DM88 DO88:EM88 DE88:DE100 DG89 DI89:EM89 DG90:EM65368">
    <cfRule type="cellIs" dxfId="2" priority="1885" stopIfTrue="1" operator="lessThan">
      <formula>0</formula>
    </cfRule>
  </conditionalFormatting>
  <conditionalFormatting sqref="EI1:EM3">
    <cfRule type="cellIs" dxfId="1" priority="680" stopIfTrue="1" operator="lessThan">
      <formula>0</formula>
    </cfRule>
  </conditionalFormatting>
  <conditionalFormatting sqref="EN3:EW3">
    <cfRule type="cellIs" dxfId="0" priority="579" stopIfTrue="1" operator="lessThan">
      <formula>0</formula>
    </cfRule>
  </conditionalFormatting>
  <pageMargins left="0.75" right="0.75" top="1" bottom="1" header="0.5" footer="0.5"/>
  <pageSetup paperSize="9" orientation="portrait" horizontalDpi="1200" verticalDpi="1200" r:id="rId4"/>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EQ86"/>
  <sheetViews>
    <sheetView workbookViewId="0">
      <selection activeCell="I13" sqref="I13"/>
    </sheetView>
  </sheetViews>
  <sheetFormatPr defaultColWidth="9.140625" defaultRowHeight="15" x14ac:dyDescent="0.2"/>
  <cols>
    <col min="1" max="2" width="50.85546875" style="55" customWidth="1"/>
    <col min="3" max="4" width="23.7109375" style="56" customWidth="1"/>
    <col min="5" max="5" width="19.7109375" style="56" customWidth="1"/>
    <col min="6" max="6" width="17.7109375" style="56" bestFit="1" customWidth="1"/>
    <col min="7" max="7" width="19.7109375" style="56" bestFit="1" customWidth="1"/>
    <col min="8" max="8" width="21.5703125" style="56" customWidth="1"/>
    <col min="9" max="9" width="18.7109375" style="56" bestFit="1" customWidth="1"/>
    <col min="10" max="10" width="20.7109375" style="56" bestFit="1" customWidth="1"/>
    <col min="11" max="11" width="11.5703125" style="56" bestFit="1" customWidth="1"/>
    <col min="12" max="12" width="18.7109375" style="56" bestFit="1" customWidth="1"/>
    <col min="13" max="13" width="20.7109375" style="56" bestFit="1" customWidth="1"/>
    <col min="14" max="14" width="23.28515625" style="56" customWidth="1"/>
    <col min="15" max="15" width="18.7109375" style="56" bestFit="1" customWidth="1"/>
    <col min="16" max="16" width="20.7109375" style="56" bestFit="1" customWidth="1"/>
    <col min="17" max="17" width="11.5703125" style="56" bestFit="1" customWidth="1"/>
    <col min="18" max="18" width="23.5703125" style="56" bestFit="1" customWidth="1"/>
    <col min="19" max="19" width="25.5703125" style="56" bestFit="1" customWidth="1"/>
    <col min="20" max="20" width="28" style="56" customWidth="1"/>
    <col min="21" max="21" width="24.5703125" style="56" bestFit="1" customWidth="1"/>
    <col min="22" max="22" width="26.5703125" style="56" bestFit="1" customWidth="1"/>
    <col min="23" max="23" width="11.5703125" style="56" bestFit="1" customWidth="1"/>
    <col min="24" max="24" width="24.5703125" style="56" bestFit="1" customWidth="1"/>
    <col min="25" max="25" width="26.5703125" style="56" bestFit="1" customWidth="1"/>
    <col min="26" max="26" width="21.42578125" style="56" customWidth="1"/>
    <col min="27" max="27" width="24.5703125" style="56" bestFit="1" customWidth="1"/>
    <col min="28" max="28" width="26.5703125" style="56" bestFit="1" customWidth="1"/>
    <col min="29" max="29" width="11.5703125" style="56" bestFit="1" customWidth="1"/>
    <col min="30" max="30" width="20.7109375" style="56" bestFit="1" customWidth="1"/>
    <col min="31" max="31" width="22.85546875" style="56" bestFit="1" customWidth="1"/>
    <col min="32" max="32" width="21.28515625" style="56" customWidth="1"/>
    <col min="33" max="33" width="20.7109375" style="56" bestFit="1" customWidth="1"/>
    <col min="34" max="34" width="23.85546875" style="56" bestFit="1" customWidth="1"/>
    <col min="35" max="35" width="11.5703125" style="56" bestFit="1" customWidth="1"/>
    <col min="36" max="36" width="21.85546875" style="56" bestFit="1" customWidth="1"/>
    <col min="37" max="37" width="23.85546875" style="56" bestFit="1" customWidth="1"/>
    <col min="38" max="38" width="22" style="56" customWidth="1"/>
    <col min="39" max="39" width="21.85546875" style="56" bestFit="1" customWidth="1"/>
    <col min="40" max="40" width="23.85546875" style="56" bestFit="1" customWidth="1"/>
    <col min="41" max="41" width="11.5703125" style="56" bestFit="1" customWidth="1"/>
    <col min="42" max="42" width="21.85546875" style="56" bestFit="1" customWidth="1"/>
    <col min="43" max="43" width="23.85546875" style="56" bestFit="1" customWidth="1"/>
    <col min="44" max="44" width="23.5703125" style="56" customWidth="1"/>
    <col min="45" max="45" width="23" style="56" bestFit="1" customWidth="1"/>
    <col min="46" max="46" width="25" style="56" bestFit="1" customWidth="1"/>
    <col min="47" max="47" width="11.5703125" style="56" bestFit="1" customWidth="1"/>
    <col min="48" max="48" width="24" style="56" bestFit="1" customWidth="1"/>
    <col min="49" max="49" width="26" style="56" bestFit="1" customWidth="1"/>
    <col min="50" max="50" width="23.28515625" style="56" customWidth="1"/>
    <col min="51" max="51" width="24" style="56" bestFit="1" customWidth="1"/>
    <col min="52" max="52" width="26" style="56" bestFit="1" customWidth="1"/>
    <col min="53" max="53" width="11.5703125" style="56" bestFit="1" customWidth="1"/>
    <col min="54" max="54" width="24" style="56" bestFit="1" customWidth="1"/>
    <col min="55" max="55" width="26" style="56" bestFit="1" customWidth="1"/>
    <col min="56" max="56" width="11.5703125" style="56" bestFit="1" customWidth="1"/>
    <col min="57" max="57" width="23.140625" style="56" bestFit="1" customWidth="1"/>
    <col min="58" max="58" width="25.140625" style="56" bestFit="1" customWidth="1"/>
    <col min="59" max="59" width="11.5703125" style="56" bestFit="1" customWidth="1"/>
    <col min="60" max="60" width="24.140625" style="56" bestFit="1" customWidth="1"/>
    <col min="61" max="61" width="26.140625" style="56" bestFit="1" customWidth="1"/>
    <col min="62" max="62" width="25.42578125" style="56" customWidth="1"/>
    <col min="63" max="63" width="24.140625" style="56" bestFit="1" customWidth="1"/>
    <col min="64" max="64" width="26.140625" style="56" bestFit="1" customWidth="1"/>
    <col min="65" max="65" width="11.5703125" style="56" bestFit="1" customWidth="1"/>
    <col min="66" max="66" width="24.140625" style="56" bestFit="1" customWidth="1"/>
    <col min="67" max="67" width="26.140625" style="56" bestFit="1" customWidth="1"/>
    <col min="68" max="68" width="19.5703125" style="56" customWidth="1"/>
    <col min="69" max="69" width="19.7109375" style="56" bestFit="1" customWidth="1"/>
    <col min="70" max="70" width="21.85546875" style="56" bestFit="1" customWidth="1"/>
    <col min="71" max="71" width="11.5703125" style="56" bestFit="1" customWidth="1"/>
    <col min="72" max="72" width="19.7109375" style="56" bestFit="1" customWidth="1"/>
    <col min="73" max="73" width="21.85546875" style="56" bestFit="1" customWidth="1"/>
    <col min="74" max="74" width="23.5703125" style="56" customWidth="1"/>
    <col min="75" max="75" width="20.7109375" style="56" bestFit="1" customWidth="1"/>
    <col min="76" max="76" width="22.85546875" style="56" bestFit="1" customWidth="1"/>
    <col min="77" max="77" width="11.5703125" style="56" bestFit="1" customWidth="1"/>
    <col min="78" max="78" width="20.7109375" style="56" bestFit="1" customWidth="1"/>
    <col min="79" max="79" width="22.85546875" style="56" bestFit="1" customWidth="1"/>
    <col min="80" max="80" width="20.5703125" style="56" customWidth="1"/>
    <col min="81" max="81" width="20.7109375" style="56" bestFit="1" customWidth="1"/>
    <col min="82" max="82" width="22.85546875" style="56" bestFit="1" customWidth="1"/>
    <col min="83" max="83" width="11.5703125" style="56" bestFit="1" customWidth="1"/>
    <col min="84" max="84" width="19.42578125" style="56" bestFit="1" customWidth="1"/>
    <col min="85" max="85" width="21.42578125" style="56" bestFit="1" customWidth="1"/>
    <col min="86" max="86" width="21.42578125" style="56" customWidth="1"/>
    <col min="87" max="87" width="20.42578125" style="56" bestFit="1" customWidth="1"/>
    <col min="88" max="88" width="22.5703125" style="56" bestFit="1" customWidth="1"/>
    <col min="89" max="89" width="11.5703125" style="56" bestFit="1" customWidth="1"/>
    <col min="90" max="90" width="20.42578125" style="56" bestFit="1" customWidth="1"/>
    <col min="91" max="91" width="22.5703125" style="56" bestFit="1" customWidth="1"/>
    <col min="92" max="92" width="15" style="56" customWidth="1"/>
    <col min="93" max="93" width="20.42578125" style="56" bestFit="1" customWidth="1"/>
    <col min="94" max="94" width="22.5703125" style="56" bestFit="1" customWidth="1"/>
    <col min="95" max="95" width="11.5703125" style="56" bestFit="1" customWidth="1"/>
    <col min="96" max="96" width="18.28515625" style="56" bestFit="1" customWidth="1"/>
    <col min="97" max="97" width="20.28515625" style="56" bestFit="1" customWidth="1"/>
    <col min="98" max="98" width="15.5703125" style="56" customWidth="1"/>
    <col min="99" max="99" width="19.28515625" style="56" bestFit="1" customWidth="1"/>
    <col min="100" max="100" width="21.28515625" style="56" bestFit="1" customWidth="1"/>
    <col min="101" max="101" width="11.5703125" style="56" bestFit="1" customWidth="1"/>
    <col min="102" max="102" width="19.28515625" style="56" bestFit="1" customWidth="1"/>
    <col min="103" max="103" width="21.28515625" style="56" bestFit="1" customWidth="1"/>
    <col min="104" max="104" width="19.28515625" style="56" customWidth="1"/>
    <col min="105" max="105" width="19.28515625" style="56" bestFit="1" customWidth="1"/>
    <col min="106" max="106" width="21.28515625" style="56" bestFit="1" customWidth="1"/>
    <col min="107" max="107" width="11.5703125" style="56" bestFit="1" customWidth="1"/>
    <col min="108" max="108" width="17.5703125" style="56" bestFit="1" customWidth="1"/>
    <col min="109" max="109" width="19.5703125" style="56" bestFit="1" customWidth="1"/>
    <col min="110" max="110" width="15.85546875" style="56" customWidth="1"/>
    <col min="111" max="111" width="17.5703125" style="56" bestFit="1" customWidth="1"/>
    <col min="112" max="112" width="20.5703125" style="56" bestFit="1" customWidth="1"/>
    <col min="113" max="113" width="11.5703125" style="56" bestFit="1" customWidth="1"/>
    <col min="114" max="114" width="18.5703125" style="56" bestFit="1" customWidth="1"/>
    <col min="115" max="115" width="20.5703125" style="56" bestFit="1" customWidth="1"/>
    <col min="116" max="116" width="15" style="56" customWidth="1"/>
    <col min="117" max="117" width="18.5703125" style="56" bestFit="1" customWidth="1"/>
    <col min="118" max="118" width="20.5703125" style="56" bestFit="1" customWidth="1"/>
    <col min="119" max="119" width="11.5703125" style="56" bestFit="1" customWidth="1"/>
    <col min="120" max="120" width="18.5703125" style="56" bestFit="1" customWidth="1"/>
    <col min="121" max="121" width="19.140625" style="56" bestFit="1" customWidth="1"/>
    <col min="122" max="122" width="20.7109375" style="56" customWidth="1"/>
    <col min="123" max="123" width="17.140625" style="56" bestFit="1" customWidth="1"/>
    <col min="124" max="124" width="19.140625" style="56" bestFit="1" customWidth="1"/>
    <col min="125" max="125" width="11.5703125" style="56" bestFit="1" customWidth="1"/>
    <col min="126" max="126" width="18.140625" style="56" bestFit="1" customWidth="1"/>
    <col min="127" max="127" width="20.140625" style="56" bestFit="1" customWidth="1"/>
    <col min="128" max="128" width="27.42578125" style="56" customWidth="1"/>
    <col min="129" max="129" width="18.140625" style="56" bestFit="1" customWidth="1"/>
    <col min="130" max="130" width="20.140625" style="56" bestFit="1" customWidth="1"/>
    <col min="131" max="131" width="18.140625" style="56" bestFit="1" customWidth="1"/>
    <col min="132" max="132" width="20.140625" style="56" bestFit="1" customWidth="1"/>
    <col min="133" max="133" width="18.140625" style="56" bestFit="1" customWidth="1"/>
    <col min="134" max="134" width="20.140625" style="56" bestFit="1" customWidth="1"/>
    <col min="135" max="135" width="18.140625" style="56" bestFit="1" customWidth="1"/>
    <col min="136" max="136" width="20.140625" style="56" bestFit="1" customWidth="1"/>
    <col min="137" max="137" width="18.140625" style="56" bestFit="1" customWidth="1"/>
    <col min="138" max="138" width="20.140625" style="56" bestFit="1" customWidth="1"/>
    <col min="139" max="139" width="18.140625" style="56" bestFit="1" customWidth="1"/>
    <col min="140" max="140" width="20.140625" style="56" bestFit="1" customWidth="1"/>
    <col min="141" max="141" width="18.140625" style="56" bestFit="1" customWidth="1"/>
    <col min="142" max="142" width="20.140625" style="56" bestFit="1" customWidth="1"/>
    <col min="143" max="143" width="18.140625" style="56" bestFit="1" customWidth="1"/>
    <col min="144" max="144" width="20.140625" style="56" bestFit="1" customWidth="1"/>
    <col min="145" max="145" width="18.140625" style="56" bestFit="1" customWidth="1"/>
    <col min="146" max="146" width="20.140625" style="56" bestFit="1" customWidth="1"/>
    <col min="147" max="16384" width="9.140625" style="56"/>
  </cols>
  <sheetData>
    <row r="1" spans="1:147" s="235" customFormat="1" ht="13.5" x14ac:dyDescent="0.25">
      <c r="C1" s="235">
        <v>45474</v>
      </c>
      <c r="F1" s="235">
        <f>C4+(SUM(E4:F4)-1)</f>
        <v>45479</v>
      </c>
      <c r="H1" s="235">
        <f>F1+(SUM(G4:H4))</f>
        <v>45486</v>
      </c>
      <c r="J1" s="235">
        <f>H1+(SUM(I4:J4))</f>
        <v>45493</v>
      </c>
      <c r="L1" s="235">
        <f>J1+(SUM(K4:L4))</f>
        <v>45500</v>
      </c>
      <c r="N1" s="235">
        <f>L1+(SUM(M4:N4))</f>
        <v>45507</v>
      </c>
      <c r="P1" s="235">
        <f>N1+(SUM(O4:P4))</f>
        <v>45514</v>
      </c>
      <c r="R1" s="235">
        <f>P1+(SUM(Q4:R4))</f>
        <v>45521</v>
      </c>
      <c r="T1" s="235">
        <f>R1+(SUM(S4:T4))</f>
        <v>45528</v>
      </c>
      <c r="V1" s="235">
        <f>T1+(SUM(U4:V4))</f>
        <v>45535</v>
      </c>
      <c r="X1" s="235">
        <f>V1+(SUM(W4:X4))</f>
        <v>45542</v>
      </c>
      <c r="Z1" s="235">
        <f>X1+(SUM(Y4:Z4))</f>
        <v>45549</v>
      </c>
      <c r="AB1" s="235">
        <f>Z1+(SUM(AA4:AB4))</f>
        <v>45556</v>
      </c>
      <c r="AD1" s="235">
        <f>AB1+(SUM(AC4:AD4))</f>
        <v>45563</v>
      </c>
      <c r="AF1" s="235">
        <f>AD1+(SUM(AE4:AF4))</f>
        <v>45570</v>
      </c>
      <c r="AH1" s="235">
        <f>AF1+(SUM(AG4:AH4))</f>
        <v>45577</v>
      </c>
      <c r="AJ1" s="235">
        <f>AH1+(SUM(AI4:AJ4))</f>
        <v>45584</v>
      </c>
      <c r="AL1" s="235">
        <f>AJ1+(SUM(AK4:AL4))</f>
        <v>45591</v>
      </c>
      <c r="AN1" s="235">
        <f>AL1+(SUM(AM4:AN4))</f>
        <v>45598</v>
      </c>
      <c r="AP1" s="235">
        <f>AN1+(SUM(AO4:AP4))</f>
        <v>45605</v>
      </c>
      <c r="AR1" s="235">
        <f>AP1+(SUM(AQ4:AR4))</f>
        <v>45612</v>
      </c>
      <c r="AT1" s="235">
        <f>AR1+(SUM(AS4:AT4))</f>
        <v>45619</v>
      </c>
      <c r="AV1" s="235">
        <f>AT1+(SUM(AU4:AV4))</f>
        <v>45626</v>
      </c>
      <c r="AX1" s="235">
        <f>AV1+(SUM(AW4:AX4))</f>
        <v>45633</v>
      </c>
      <c r="AZ1" s="235">
        <f>AX1+(SUM(AY4:AZ4))</f>
        <v>45640</v>
      </c>
      <c r="BB1" s="235">
        <f>AZ1+(SUM(BA4:BB4))</f>
        <v>45647</v>
      </c>
      <c r="BD1" s="235">
        <f>BB1+(SUM(BC4:BD4))</f>
        <v>45654</v>
      </c>
      <c r="BF1" s="235">
        <f>BD1+(SUM(BE4:BF4))</f>
        <v>45661</v>
      </c>
      <c r="BH1" s="235">
        <f>BF1+(SUM(BG4:BH4))</f>
        <v>45668</v>
      </c>
      <c r="BJ1" s="235">
        <f>BH1+(SUM(BI4:BJ4))</f>
        <v>45675</v>
      </c>
      <c r="BL1" s="235">
        <f>BJ1+(SUM(BK4:BL4))</f>
        <v>45682</v>
      </c>
      <c r="BN1" s="235">
        <f>BL1+(SUM(BM4:BN4))</f>
        <v>45689</v>
      </c>
      <c r="BP1" s="235">
        <f>BN1+(SUM(BO4:BP4))</f>
        <v>45696</v>
      </c>
      <c r="BR1" s="235">
        <f>BP1+(SUM(BQ4:BR4))</f>
        <v>45703</v>
      </c>
      <c r="BT1" s="235">
        <f>BR1+(SUM(BS4:BT4))</f>
        <v>45710</v>
      </c>
      <c r="BV1" s="235">
        <f>BT1+(SUM(BU4:BV4))</f>
        <v>45717</v>
      </c>
      <c r="BX1" s="235">
        <f>BV1+(SUM(BW4:BX4))</f>
        <v>45724</v>
      </c>
      <c r="BZ1" s="235">
        <f>BX1+(SUM(BY4:BZ4))</f>
        <v>45731</v>
      </c>
      <c r="CB1" s="235">
        <f>BZ1+(SUM(CA4:CB4))</f>
        <v>45738</v>
      </c>
      <c r="CD1" s="235">
        <f>CB1+(SUM(CC4:CD4))</f>
        <v>45745</v>
      </c>
      <c r="CF1" s="235">
        <f>CD1+(SUM(CE4:CF4))</f>
        <v>45752</v>
      </c>
      <c r="CH1" s="235">
        <f>CF1+(SUM(CG4:CH4))</f>
        <v>45759</v>
      </c>
      <c r="CJ1" s="235">
        <f>CH1+(SUM(CI4:CJ4))</f>
        <v>45766</v>
      </c>
      <c r="CL1" s="235">
        <f>CJ1+(SUM(CK4:CL4))</f>
        <v>45773</v>
      </c>
      <c r="CN1" s="235">
        <f>CL1+(SUM(CM4:CN4))</f>
        <v>45780</v>
      </c>
      <c r="CP1" s="235">
        <f>CN1+(SUM(CO4:CP4))</f>
        <v>45787</v>
      </c>
      <c r="CR1" s="235">
        <f>CP1+(SUM(CQ4:CR4))</f>
        <v>45794</v>
      </c>
      <c r="CT1" s="235">
        <f>CR1+(SUM(CS4:CT4))</f>
        <v>45801</v>
      </c>
      <c r="CV1" s="235">
        <f>CT1+(SUM(CU4:CV4))</f>
        <v>45808</v>
      </c>
      <c r="CX1" s="235">
        <f>CV1+(SUM(CW4:CX4))</f>
        <v>45815</v>
      </c>
      <c r="CZ1" s="235">
        <f>CX1+(SUM(CY4:CZ4))</f>
        <v>45822</v>
      </c>
      <c r="DB1" s="235">
        <f>CZ1+(SUM(DA4:DB4))</f>
        <v>45829</v>
      </c>
      <c r="DD1" s="235">
        <f>DB1+(SUM(DC4:DD4))</f>
        <v>45836</v>
      </c>
      <c r="DF1" s="235">
        <f>DD1+(SUM(DE4:DF4))</f>
        <v>45843</v>
      </c>
      <c r="DH1" s="235">
        <f>DF1+(SUM(DG4:DH4))</f>
        <v>45850</v>
      </c>
      <c r="DJ1" s="235">
        <f>DH1+(SUM(DI4:DJ4))</f>
        <v>45857</v>
      </c>
      <c r="DL1" s="235">
        <f>DJ1+(SUM(DK4:DL4))</f>
        <v>45864</v>
      </c>
      <c r="DN1" s="235">
        <f>DL1+(SUM(DM4:DN4))</f>
        <v>45871</v>
      </c>
      <c r="DP1" s="235">
        <f>DN1+(SUM(DO4:DP4))</f>
        <v>45878</v>
      </c>
      <c r="DR1" s="235">
        <f>DP1+(SUM(DQ4:DR4))</f>
        <v>45885</v>
      </c>
      <c r="DT1" s="235">
        <f>DR1+(SUM(DS4:DT4))</f>
        <v>45892</v>
      </c>
      <c r="DV1" s="235">
        <f>DT1+(SUM(DU4:DV4))</f>
        <v>45899</v>
      </c>
      <c r="DX1" s="235">
        <f>DV1+(SUM(DW4:DX4))</f>
        <v>45906</v>
      </c>
      <c r="DZ1" s="235">
        <f>DX1+(SUM(DY4:DZ4))</f>
        <v>45913</v>
      </c>
      <c r="EB1" s="235">
        <f>DZ1+(SUM(EA4:EB4))</f>
        <v>45920</v>
      </c>
      <c r="ED1" s="235">
        <f>EB1+(SUM(EC4:ED4))</f>
        <v>45927</v>
      </c>
      <c r="EF1" s="235">
        <f>ED1+(SUM(EE4:EF4))</f>
        <v>45934</v>
      </c>
      <c r="EH1" s="235">
        <f>EF1+(SUM(EG4:EH4))</f>
        <v>45941</v>
      </c>
      <c r="EJ1" s="235">
        <f>EH1+(SUM(EI4:EJ4))</f>
        <v>45948</v>
      </c>
      <c r="EL1" s="235">
        <f>EJ1+(SUM(EK4:EL4))</f>
        <v>45955</v>
      </c>
      <c r="EN1" s="235">
        <f>EL1+(SUM(EM4:EN4))</f>
        <v>45962</v>
      </c>
      <c r="EO1" s="235">
        <v>45231</v>
      </c>
      <c r="EP1" s="235">
        <f>EN1+(SUM(EO4:EP4))</f>
        <v>45966</v>
      </c>
    </row>
    <row r="2" spans="1:147" s="53" customFormat="1" ht="15.75" x14ac:dyDescent="0.25">
      <c r="A2" s="52"/>
      <c r="B2" s="52"/>
      <c r="C2" s="52" t="s">
        <v>231</v>
      </c>
      <c r="D2" s="54">
        <v>1</v>
      </c>
      <c r="E2" s="53">
        <v>4</v>
      </c>
      <c r="F2" s="57">
        <v>1</v>
      </c>
      <c r="H2" s="57">
        <f>F2+1</f>
        <v>2</v>
      </c>
      <c r="J2" s="57">
        <f>H2+1</f>
        <v>3</v>
      </c>
      <c r="L2" s="57">
        <f>J2+1</f>
        <v>4</v>
      </c>
      <c r="N2" s="57">
        <f>L2+1</f>
        <v>5</v>
      </c>
      <c r="P2" s="57">
        <f>N2+1</f>
        <v>6</v>
      </c>
      <c r="R2" s="57">
        <f>P2+1</f>
        <v>7</v>
      </c>
      <c r="T2" s="57">
        <f>R2+1</f>
        <v>8</v>
      </c>
      <c r="V2" s="57">
        <f>T2+1</f>
        <v>9</v>
      </c>
      <c r="X2" s="57">
        <f>V2+1</f>
        <v>10</v>
      </c>
      <c r="Z2" s="57">
        <f>X2+1</f>
        <v>11</v>
      </c>
      <c r="AB2" s="57">
        <f>Z2+1</f>
        <v>12</v>
      </c>
      <c r="AD2" s="57">
        <f>AB2+1</f>
        <v>13</v>
      </c>
      <c r="AF2" s="57">
        <f>AD2+1</f>
        <v>14</v>
      </c>
      <c r="AH2" s="57">
        <f>AF2+1</f>
        <v>15</v>
      </c>
      <c r="AJ2" s="57">
        <f>AH2+1</f>
        <v>16</v>
      </c>
      <c r="AL2" s="57">
        <f>AJ2+1</f>
        <v>17</v>
      </c>
      <c r="AN2" s="57">
        <f>AL2+1</f>
        <v>18</v>
      </c>
      <c r="AP2" s="57">
        <f>AN2+1</f>
        <v>19</v>
      </c>
      <c r="AR2" s="57">
        <f>AP2+1</f>
        <v>20</v>
      </c>
      <c r="AT2" s="57">
        <f>AR2+1</f>
        <v>21</v>
      </c>
      <c r="AV2" s="57">
        <f>AT2+1</f>
        <v>22</v>
      </c>
      <c r="AX2" s="57">
        <f>AV2+1</f>
        <v>23</v>
      </c>
      <c r="AZ2" s="57">
        <f>AX2+1</f>
        <v>24</v>
      </c>
      <c r="BB2" s="57">
        <f>AZ2+1</f>
        <v>25</v>
      </c>
      <c r="BD2" s="57">
        <f>BB2+1</f>
        <v>26</v>
      </c>
      <c r="BF2" s="57">
        <f>BD2+1</f>
        <v>27</v>
      </c>
      <c r="BH2" s="57">
        <f>BF2+1</f>
        <v>28</v>
      </c>
      <c r="BJ2" s="57">
        <f>BH2+1</f>
        <v>29</v>
      </c>
      <c r="BL2" s="57">
        <f>BJ2+1</f>
        <v>30</v>
      </c>
      <c r="BN2" s="57">
        <f>BL2+1</f>
        <v>31</v>
      </c>
      <c r="BP2" s="57">
        <f>BN2+1</f>
        <v>32</v>
      </c>
      <c r="BR2" s="57">
        <f>BP2+1</f>
        <v>33</v>
      </c>
      <c r="BT2" s="57">
        <f>BR2+1</f>
        <v>34</v>
      </c>
      <c r="BV2" s="57">
        <f>BT2+1</f>
        <v>35</v>
      </c>
      <c r="BX2" s="57">
        <f>BV2+1</f>
        <v>36</v>
      </c>
      <c r="BZ2" s="57">
        <f>BX2+1</f>
        <v>37</v>
      </c>
      <c r="CB2" s="57">
        <f>BZ2+1</f>
        <v>38</v>
      </c>
      <c r="CD2" s="57">
        <f>CB2+1</f>
        <v>39</v>
      </c>
      <c r="CF2" s="57">
        <f>CD2+1</f>
        <v>40</v>
      </c>
      <c r="CH2" s="57">
        <f>CF2+1</f>
        <v>41</v>
      </c>
      <c r="CJ2" s="57">
        <f>CH2+1</f>
        <v>42</v>
      </c>
      <c r="CL2" s="57">
        <f>CJ2+1</f>
        <v>43</v>
      </c>
      <c r="CN2" s="57">
        <f>CL2+1</f>
        <v>44</v>
      </c>
      <c r="CP2" s="57">
        <f>CN2+1</f>
        <v>45</v>
      </c>
      <c r="CR2" s="57">
        <f>CP2+1</f>
        <v>46</v>
      </c>
      <c r="CT2" s="57">
        <f>CR2+1</f>
        <v>47</v>
      </c>
      <c r="CV2" s="57">
        <f>CT2+1</f>
        <v>48</v>
      </c>
      <c r="CX2" s="57">
        <f>CV2+1</f>
        <v>49</v>
      </c>
      <c r="CZ2" s="57">
        <f>CX2+1</f>
        <v>50</v>
      </c>
      <c r="DB2" s="57">
        <f>CZ2+1</f>
        <v>51</v>
      </c>
      <c r="DD2" s="57">
        <f>DB2+1</f>
        <v>52</v>
      </c>
      <c r="DF2" s="57">
        <f>DD2+1</f>
        <v>53</v>
      </c>
      <c r="DH2" s="57">
        <f>DF2+1</f>
        <v>54</v>
      </c>
      <c r="DJ2" s="57">
        <f>DH2+1</f>
        <v>55</v>
      </c>
      <c r="DL2" s="57">
        <f>DJ2+1</f>
        <v>56</v>
      </c>
      <c r="DN2" s="57">
        <f>DL2+1</f>
        <v>57</v>
      </c>
      <c r="DP2" s="57">
        <f>DN2+1</f>
        <v>58</v>
      </c>
      <c r="DR2" s="57">
        <f>DP2+1</f>
        <v>59</v>
      </c>
      <c r="DT2" s="57">
        <f>DR2+1</f>
        <v>60</v>
      </c>
      <c r="DV2" s="57">
        <f>DT2+1</f>
        <v>61</v>
      </c>
      <c r="DX2" s="57">
        <f>DV2+1</f>
        <v>62</v>
      </c>
      <c r="DZ2" s="57">
        <f>DX2+1</f>
        <v>63</v>
      </c>
      <c r="EB2" s="57">
        <f>DZ2+1</f>
        <v>64</v>
      </c>
      <c r="ED2" s="57">
        <f>EB2+1</f>
        <v>65</v>
      </c>
      <c r="EF2" s="57">
        <f>ED2+1</f>
        <v>66</v>
      </c>
      <c r="EH2" s="57">
        <f>EF2+1</f>
        <v>67</v>
      </c>
      <c r="EJ2" s="57">
        <f>EH2+1</f>
        <v>68</v>
      </c>
      <c r="EL2" s="57">
        <f>EJ2+1</f>
        <v>69</v>
      </c>
      <c r="EN2" s="57">
        <f>EL2+1</f>
        <v>70</v>
      </c>
      <c r="EP2" s="57">
        <f>EN2+1</f>
        <v>71</v>
      </c>
    </row>
    <row r="3" spans="1:147" s="53" customFormat="1" ht="13.5" x14ac:dyDescent="0.25">
      <c r="A3" s="52"/>
      <c r="B3" s="52"/>
      <c r="C3" s="52" t="s">
        <v>231</v>
      </c>
      <c r="D3" s="52"/>
      <c r="F3" s="57">
        <v>1</v>
      </c>
      <c r="H3" s="57">
        <v>2</v>
      </c>
      <c r="J3" s="57">
        <v>3</v>
      </c>
      <c r="L3" s="57">
        <v>4</v>
      </c>
      <c r="N3" s="57">
        <v>5</v>
      </c>
      <c r="P3" s="57">
        <v>6</v>
      </c>
      <c r="R3" s="57">
        <v>7</v>
      </c>
      <c r="T3" s="57">
        <v>8</v>
      </c>
      <c r="V3" s="57">
        <v>9</v>
      </c>
      <c r="X3" s="57">
        <v>10</v>
      </c>
      <c r="Z3" s="57">
        <v>11</v>
      </c>
      <c r="AB3" s="57">
        <v>12</v>
      </c>
      <c r="AD3" s="57">
        <v>13</v>
      </c>
      <c r="AF3" s="57">
        <v>14</v>
      </c>
      <c r="AH3" s="57">
        <v>15</v>
      </c>
      <c r="AJ3" s="57">
        <v>16</v>
      </c>
      <c r="AL3" s="57">
        <v>17</v>
      </c>
      <c r="AN3" s="57">
        <v>18</v>
      </c>
      <c r="AP3" s="57">
        <v>19</v>
      </c>
      <c r="AR3" s="57">
        <v>20</v>
      </c>
      <c r="AT3" s="57">
        <v>21</v>
      </c>
      <c r="AV3" s="57">
        <v>22</v>
      </c>
      <c r="AX3" s="57">
        <v>23</v>
      </c>
      <c r="AZ3" s="57">
        <v>24</v>
      </c>
      <c r="BB3" s="57">
        <v>25</v>
      </c>
      <c r="BD3" s="57">
        <v>26</v>
      </c>
      <c r="BF3" s="57">
        <v>27</v>
      </c>
      <c r="BH3" s="57">
        <v>28</v>
      </c>
      <c r="BJ3" s="57">
        <v>29</v>
      </c>
      <c r="BL3" s="57">
        <v>30</v>
      </c>
      <c r="BN3" s="57">
        <v>31</v>
      </c>
      <c r="BP3" s="57">
        <v>32</v>
      </c>
      <c r="BR3" s="57">
        <v>33</v>
      </c>
      <c r="BT3" s="57">
        <v>34</v>
      </c>
      <c r="BV3" s="57">
        <v>35</v>
      </c>
      <c r="BX3" s="57">
        <v>36</v>
      </c>
      <c r="BZ3" s="57">
        <v>37</v>
      </c>
      <c r="CB3" s="57">
        <v>38</v>
      </c>
      <c r="CD3" s="57">
        <v>39</v>
      </c>
      <c r="CF3" s="57">
        <v>40</v>
      </c>
      <c r="CH3" s="57">
        <v>41</v>
      </c>
      <c r="CJ3" s="57">
        <v>42</v>
      </c>
      <c r="CL3" s="57">
        <v>43</v>
      </c>
      <c r="CN3" s="57">
        <v>44</v>
      </c>
      <c r="CP3" s="57">
        <v>45</v>
      </c>
      <c r="CR3" s="57">
        <v>46</v>
      </c>
      <c r="CT3" s="57">
        <v>47</v>
      </c>
      <c r="CV3" s="57">
        <v>48</v>
      </c>
      <c r="CX3" s="57">
        <v>49</v>
      </c>
      <c r="CZ3" s="57">
        <v>50</v>
      </c>
      <c r="DB3" s="57">
        <v>51</v>
      </c>
      <c r="DD3" s="57">
        <v>52</v>
      </c>
      <c r="DF3" s="57">
        <v>53</v>
      </c>
      <c r="DH3" s="57">
        <v>54</v>
      </c>
      <c r="DJ3" s="57">
        <v>55</v>
      </c>
      <c r="DL3" s="57">
        <v>56</v>
      </c>
      <c r="DN3" s="57">
        <v>57</v>
      </c>
      <c r="DP3" s="57">
        <v>58</v>
      </c>
      <c r="DR3" s="57">
        <v>59</v>
      </c>
      <c r="DT3" s="57">
        <v>60</v>
      </c>
      <c r="DV3" s="57">
        <v>61</v>
      </c>
      <c r="DX3" s="57">
        <v>62</v>
      </c>
      <c r="DZ3" s="57">
        <v>63</v>
      </c>
      <c r="EB3" s="57">
        <v>63</v>
      </c>
      <c r="ED3" s="57">
        <v>63</v>
      </c>
      <c r="EF3" s="57">
        <v>63</v>
      </c>
      <c r="EH3" s="57">
        <v>63</v>
      </c>
      <c r="EJ3" s="57">
        <v>63</v>
      </c>
      <c r="EL3" s="57">
        <v>63</v>
      </c>
      <c r="EN3" s="57">
        <v>63</v>
      </c>
      <c r="EP3" s="57">
        <v>63</v>
      </c>
    </row>
    <row r="4" spans="1:147" s="54" customFormat="1" ht="15.75" x14ac:dyDescent="0.25">
      <c r="B4" t="s">
        <v>230</v>
      </c>
      <c r="C4" s="54">
        <f>C1</f>
        <v>45474</v>
      </c>
      <c r="D4" s="54">
        <f>$D$2</f>
        <v>1</v>
      </c>
      <c r="E4" s="53">
        <f>$E$2</f>
        <v>4</v>
      </c>
      <c r="F4" s="53">
        <v>2</v>
      </c>
      <c r="G4" s="53">
        <v>5</v>
      </c>
      <c r="H4" s="53">
        <v>2</v>
      </c>
      <c r="I4" s="53">
        <v>5</v>
      </c>
      <c r="J4" s="53">
        <v>2</v>
      </c>
      <c r="K4" s="53">
        <v>5</v>
      </c>
      <c r="L4" s="53">
        <v>2</v>
      </c>
      <c r="M4" s="53">
        <v>5</v>
      </c>
      <c r="N4" s="53">
        <v>2</v>
      </c>
      <c r="O4" s="53">
        <v>5</v>
      </c>
      <c r="P4" s="53">
        <v>2</v>
      </c>
      <c r="Q4" s="53">
        <v>5</v>
      </c>
      <c r="R4" s="53">
        <v>2</v>
      </c>
      <c r="S4" s="53">
        <v>5</v>
      </c>
      <c r="T4" s="53">
        <v>2</v>
      </c>
      <c r="U4" s="53">
        <v>5</v>
      </c>
      <c r="V4" s="53">
        <v>2</v>
      </c>
      <c r="W4" s="53">
        <v>5</v>
      </c>
      <c r="X4" s="53">
        <v>2</v>
      </c>
      <c r="Y4" s="53">
        <v>5</v>
      </c>
      <c r="Z4" s="53">
        <v>2</v>
      </c>
      <c r="AA4" s="53">
        <v>5</v>
      </c>
      <c r="AB4" s="53">
        <v>2</v>
      </c>
      <c r="AC4" s="53">
        <v>5</v>
      </c>
      <c r="AD4" s="53">
        <v>2</v>
      </c>
      <c r="AE4" s="53">
        <v>5</v>
      </c>
      <c r="AF4" s="53">
        <v>2</v>
      </c>
      <c r="AG4" s="53">
        <v>5</v>
      </c>
      <c r="AH4" s="53">
        <v>2</v>
      </c>
      <c r="AI4" s="53">
        <v>5</v>
      </c>
      <c r="AJ4" s="53">
        <v>2</v>
      </c>
      <c r="AK4" s="53">
        <v>5</v>
      </c>
      <c r="AL4" s="53">
        <v>2</v>
      </c>
      <c r="AM4" s="53">
        <v>5</v>
      </c>
      <c r="AN4" s="53">
        <v>2</v>
      </c>
      <c r="AO4" s="53">
        <v>5</v>
      </c>
      <c r="AP4" s="53">
        <v>2</v>
      </c>
      <c r="AQ4" s="53">
        <v>5</v>
      </c>
      <c r="AR4" s="53">
        <v>2</v>
      </c>
      <c r="AS4" s="53">
        <v>5</v>
      </c>
      <c r="AT4" s="53">
        <v>2</v>
      </c>
      <c r="AU4" s="53">
        <v>5</v>
      </c>
      <c r="AV4" s="53">
        <v>2</v>
      </c>
      <c r="AW4" s="53">
        <v>5</v>
      </c>
      <c r="AX4" s="53">
        <v>2</v>
      </c>
      <c r="AY4" s="53">
        <v>5</v>
      </c>
      <c r="AZ4" s="53">
        <v>2</v>
      </c>
      <c r="BA4" s="53">
        <v>5</v>
      </c>
      <c r="BB4" s="53">
        <v>2</v>
      </c>
      <c r="BC4" s="53">
        <v>5</v>
      </c>
      <c r="BD4" s="53">
        <v>2</v>
      </c>
      <c r="BE4" s="53">
        <v>5</v>
      </c>
      <c r="BF4" s="53">
        <v>2</v>
      </c>
      <c r="BG4" s="53">
        <v>5</v>
      </c>
      <c r="BH4" s="53">
        <v>2</v>
      </c>
      <c r="BI4" s="53">
        <v>5</v>
      </c>
      <c r="BJ4" s="53">
        <v>2</v>
      </c>
      <c r="BK4" s="53">
        <v>5</v>
      </c>
      <c r="BL4" s="53">
        <v>2</v>
      </c>
      <c r="BM4" s="53">
        <v>5</v>
      </c>
      <c r="BN4" s="53">
        <v>2</v>
      </c>
      <c r="BO4" s="53">
        <v>5</v>
      </c>
      <c r="BP4" s="53">
        <v>2</v>
      </c>
      <c r="BQ4" s="53">
        <v>5</v>
      </c>
      <c r="BR4" s="53">
        <v>2</v>
      </c>
      <c r="BS4" s="53">
        <v>5</v>
      </c>
      <c r="BT4" s="53">
        <v>2</v>
      </c>
      <c r="BU4" s="53">
        <v>5</v>
      </c>
      <c r="BV4" s="53">
        <v>2</v>
      </c>
      <c r="BW4" s="53">
        <v>5</v>
      </c>
      <c r="BX4" s="53">
        <v>2</v>
      </c>
      <c r="BY4" s="53">
        <v>5</v>
      </c>
      <c r="BZ4" s="53">
        <v>2</v>
      </c>
      <c r="CA4" s="53">
        <v>5</v>
      </c>
      <c r="CB4" s="53">
        <v>2</v>
      </c>
      <c r="CC4" s="53">
        <v>5</v>
      </c>
      <c r="CD4" s="53">
        <v>2</v>
      </c>
      <c r="CE4" s="53">
        <v>5</v>
      </c>
      <c r="CF4" s="53">
        <v>2</v>
      </c>
      <c r="CG4" s="53">
        <v>5</v>
      </c>
      <c r="CH4" s="53">
        <v>2</v>
      </c>
      <c r="CI4" s="53">
        <v>5</v>
      </c>
      <c r="CJ4" s="53">
        <v>2</v>
      </c>
      <c r="CK4" s="53">
        <v>5</v>
      </c>
      <c r="CL4" s="53">
        <v>2</v>
      </c>
      <c r="CM4" s="53">
        <v>5</v>
      </c>
      <c r="CN4" s="53">
        <v>2</v>
      </c>
      <c r="CO4" s="53">
        <v>5</v>
      </c>
      <c r="CP4" s="53">
        <v>2</v>
      </c>
      <c r="CQ4" s="53">
        <v>5</v>
      </c>
      <c r="CR4" s="53">
        <v>2</v>
      </c>
      <c r="CS4" s="53">
        <v>5</v>
      </c>
      <c r="CT4" s="53">
        <v>2</v>
      </c>
      <c r="CU4" s="53">
        <v>5</v>
      </c>
      <c r="CV4" s="53">
        <v>2</v>
      </c>
      <c r="CW4" s="53">
        <v>5</v>
      </c>
      <c r="CX4" s="53">
        <v>2</v>
      </c>
      <c r="CY4" s="53">
        <v>5</v>
      </c>
      <c r="CZ4" s="53">
        <v>2</v>
      </c>
      <c r="DA4" s="53">
        <v>5</v>
      </c>
      <c r="DB4" s="53">
        <v>2</v>
      </c>
      <c r="DC4" s="53">
        <v>5</v>
      </c>
      <c r="DD4" s="53">
        <v>2</v>
      </c>
      <c r="DE4" s="53">
        <v>5</v>
      </c>
      <c r="DF4" s="53">
        <v>2</v>
      </c>
      <c r="DG4" s="53">
        <v>5</v>
      </c>
      <c r="DH4" s="53">
        <v>2</v>
      </c>
      <c r="DI4" s="53">
        <v>5</v>
      </c>
      <c r="DJ4" s="53">
        <v>2</v>
      </c>
      <c r="DK4" s="53">
        <v>5</v>
      </c>
      <c r="DL4" s="53">
        <v>2</v>
      </c>
      <c r="DM4" s="53">
        <v>5</v>
      </c>
      <c r="DN4" s="53">
        <v>2</v>
      </c>
      <c r="DO4" s="53">
        <v>5</v>
      </c>
      <c r="DP4" s="53">
        <v>2</v>
      </c>
      <c r="DQ4" s="53">
        <v>5</v>
      </c>
      <c r="DR4" s="53">
        <v>2</v>
      </c>
      <c r="DS4" s="53">
        <v>5</v>
      </c>
      <c r="DT4" s="53">
        <v>2</v>
      </c>
      <c r="DU4" s="53">
        <v>5</v>
      </c>
      <c r="DV4" s="53">
        <v>2</v>
      </c>
      <c r="DW4" s="53">
        <v>5</v>
      </c>
      <c r="DX4" s="53">
        <v>2</v>
      </c>
      <c r="DY4" s="53">
        <v>5</v>
      </c>
      <c r="DZ4" s="53">
        <v>2</v>
      </c>
      <c r="EA4" s="53">
        <v>5</v>
      </c>
      <c r="EB4" s="53">
        <v>2</v>
      </c>
      <c r="EC4" s="53">
        <v>5</v>
      </c>
      <c r="ED4" s="53">
        <v>2</v>
      </c>
      <c r="EE4" s="53">
        <v>5</v>
      </c>
      <c r="EF4" s="53">
        <v>2</v>
      </c>
      <c r="EG4" s="53">
        <v>5</v>
      </c>
      <c r="EH4" s="53">
        <v>2</v>
      </c>
      <c r="EI4" s="53">
        <v>5</v>
      </c>
      <c r="EJ4" s="53">
        <v>2</v>
      </c>
      <c r="EK4" s="53">
        <v>5</v>
      </c>
      <c r="EL4" s="53">
        <v>2</v>
      </c>
      <c r="EM4" s="53">
        <v>5</v>
      </c>
      <c r="EN4" s="53">
        <v>2</v>
      </c>
      <c r="EO4" s="53">
        <v>2</v>
      </c>
      <c r="EP4" s="53">
        <v>2</v>
      </c>
      <c r="EQ4" s="54">
        <f>SUM(C4:EG4)</f>
        <v>45941</v>
      </c>
    </row>
    <row r="5" spans="1:147" x14ac:dyDescent="0.2">
      <c r="B5" t="s">
        <v>230</v>
      </c>
      <c r="C5" s="54">
        <f t="shared" ref="C5:AI5" si="0">C4</f>
        <v>45474</v>
      </c>
      <c r="D5" s="54">
        <f t="shared" ref="D5:D68" si="1">$D$2</f>
        <v>1</v>
      </c>
      <c r="E5" s="54">
        <f t="shared" si="0"/>
        <v>4</v>
      </c>
      <c r="F5" s="54">
        <f t="shared" si="0"/>
        <v>2</v>
      </c>
      <c r="G5" s="54">
        <f t="shared" si="0"/>
        <v>5</v>
      </c>
      <c r="H5" s="54">
        <f t="shared" si="0"/>
        <v>2</v>
      </c>
      <c r="I5" s="54">
        <f t="shared" si="0"/>
        <v>5</v>
      </c>
      <c r="J5" s="54">
        <f t="shared" si="0"/>
        <v>2</v>
      </c>
      <c r="K5" s="54">
        <f t="shared" si="0"/>
        <v>5</v>
      </c>
      <c r="L5" s="54">
        <f t="shared" si="0"/>
        <v>2</v>
      </c>
      <c r="M5" s="54">
        <f t="shared" si="0"/>
        <v>5</v>
      </c>
      <c r="N5" s="54">
        <f t="shared" si="0"/>
        <v>2</v>
      </c>
      <c r="O5" s="54">
        <f t="shared" si="0"/>
        <v>5</v>
      </c>
      <c r="P5" s="54">
        <f t="shared" si="0"/>
        <v>2</v>
      </c>
      <c r="Q5" s="54">
        <f t="shared" si="0"/>
        <v>5</v>
      </c>
      <c r="R5" s="54">
        <f t="shared" si="0"/>
        <v>2</v>
      </c>
      <c r="S5" s="54">
        <f t="shared" si="0"/>
        <v>5</v>
      </c>
      <c r="T5" s="54">
        <f t="shared" si="0"/>
        <v>2</v>
      </c>
      <c r="U5" s="54">
        <f t="shared" si="0"/>
        <v>5</v>
      </c>
      <c r="V5" s="54">
        <f t="shared" si="0"/>
        <v>2</v>
      </c>
      <c r="W5" s="54">
        <f t="shared" si="0"/>
        <v>5</v>
      </c>
      <c r="X5" s="54">
        <f t="shared" si="0"/>
        <v>2</v>
      </c>
      <c r="Y5" s="54">
        <f t="shared" si="0"/>
        <v>5</v>
      </c>
      <c r="Z5" s="54">
        <f t="shared" si="0"/>
        <v>2</v>
      </c>
      <c r="AA5" s="54">
        <f t="shared" si="0"/>
        <v>5</v>
      </c>
      <c r="AB5" s="54">
        <f t="shared" si="0"/>
        <v>2</v>
      </c>
      <c r="AC5" s="54">
        <f t="shared" si="0"/>
        <v>5</v>
      </c>
      <c r="AD5" s="54">
        <f t="shared" si="0"/>
        <v>2</v>
      </c>
      <c r="AE5" s="54">
        <f t="shared" si="0"/>
        <v>5</v>
      </c>
      <c r="AF5" s="54">
        <f t="shared" si="0"/>
        <v>2</v>
      </c>
      <c r="AG5" s="54">
        <f t="shared" si="0"/>
        <v>5</v>
      </c>
      <c r="AH5" s="54">
        <f t="shared" si="0"/>
        <v>2</v>
      </c>
      <c r="AI5" s="54">
        <f t="shared" si="0"/>
        <v>5</v>
      </c>
      <c r="AJ5" s="54">
        <f t="shared" ref="AJ5:BO5" si="2">AJ4</f>
        <v>2</v>
      </c>
      <c r="AK5" s="54">
        <f t="shared" si="2"/>
        <v>5</v>
      </c>
      <c r="AL5" s="54">
        <f t="shared" si="2"/>
        <v>2</v>
      </c>
      <c r="AM5" s="54">
        <f t="shared" si="2"/>
        <v>5</v>
      </c>
      <c r="AN5" s="54">
        <f t="shared" si="2"/>
        <v>2</v>
      </c>
      <c r="AO5" s="54">
        <f t="shared" si="2"/>
        <v>5</v>
      </c>
      <c r="AP5" s="54">
        <f t="shared" si="2"/>
        <v>2</v>
      </c>
      <c r="AQ5" s="54">
        <f t="shared" si="2"/>
        <v>5</v>
      </c>
      <c r="AR5" s="54">
        <f t="shared" si="2"/>
        <v>2</v>
      </c>
      <c r="AS5" s="54">
        <f t="shared" si="2"/>
        <v>5</v>
      </c>
      <c r="AT5" s="54">
        <f t="shared" si="2"/>
        <v>2</v>
      </c>
      <c r="AU5" s="54">
        <f t="shared" si="2"/>
        <v>5</v>
      </c>
      <c r="AV5" s="54">
        <f t="shared" si="2"/>
        <v>2</v>
      </c>
      <c r="AW5" s="54">
        <f t="shared" si="2"/>
        <v>5</v>
      </c>
      <c r="AX5" s="54">
        <f t="shared" si="2"/>
        <v>2</v>
      </c>
      <c r="AY5" s="54">
        <f t="shared" si="2"/>
        <v>5</v>
      </c>
      <c r="AZ5" s="54">
        <f t="shared" si="2"/>
        <v>2</v>
      </c>
      <c r="BA5" s="54">
        <f t="shared" si="2"/>
        <v>5</v>
      </c>
      <c r="BB5" s="54">
        <f t="shared" si="2"/>
        <v>2</v>
      </c>
      <c r="BC5" s="54">
        <f t="shared" si="2"/>
        <v>5</v>
      </c>
      <c r="BD5" s="54">
        <f t="shared" si="2"/>
        <v>2</v>
      </c>
      <c r="BE5" s="54">
        <f t="shared" si="2"/>
        <v>5</v>
      </c>
      <c r="BF5" s="54">
        <f t="shared" si="2"/>
        <v>2</v>
      </c>
      <c r="BG5" s="54">
        <f t="shared" si="2"/>
        <v>5</v>
      </c>
      <c r="BH5" s="54">
        <f t="shared" si="2"/>
        <v>2</v>
      </c>
      <c r="BI5" s="54">
        <f t="shared" si="2"/>
        <v>5</v>
      </c>
      <c r="BJ5" s="54">
        <f t="shared" si="2"/>
        <v>2</v>
      </c>
      <c r="BK5" s="54">
        <f t="shared" si="2"/>
        <v>5</v>
      </c>
      <c r="BL5" s="54">
        <f t="shared" si="2"/>
        <v>2</v>
      </c>
      <c r="BM5" s="54">
        <f t="shared" si="2"/>
        <v>5</v>
      </c>
      <c r="BN5" s="54">
        <f t="shared" si="2"/>
        <v>2</v>
      </c>
      <c r="BO5" s="54">
        <f t="shared" si="2"/>
        <v>5</v>
      </c>
      <c r="BP5" s="54">
        <f t="shared" ref="BP5:CU5" si="3">BP4</f>
        <v>2</v>
      </c>
      <c r="BQ5" s="54">
        <f t="shared" si="3"/>
        <v>5</v>
      </c>
      <c r="BR5" s="54">
        <f t="shared" si="3"/>
        <v>2</v>
      </c>
      <c r="BS5" s="54">
        <f t="shared" si="3"/>
        <v>5</v>
      </c>
      <c r="BT5" s="54">
        <f t="shared" si="3"/>
        <v>2</v>
      </c>
      <c r="BU5" s="54">
        <f t="shared" si="3"/>
        <v>5</v>
      </c>
      <c r="BV5" s="54">
        <f t="shared" si="3"/>
        <v>2</v>
      </c>
      <c r="BW5" s="54">
        <f t="shared" si="3"/>
        <v>5</v>
      </c>
      <c r="BX5" s="54">
        <f t="shared" si="3"/>
        <v>2</v>
      </c>
      <c r="BY5" s="54">
        <f t="shared" si="3"/>
        <v>5</v>
      </c>
      <c r="BZ5" s="54">
        <f t="shared" si="3"/>
        <v>2</v>
      </c>
      <c r="CA5" s="54">
        <f t="shared" si="3"/>
        <v>5</v>
      </c>
      <c r="CB5" s="54">
        <f t="shared" si="3"/>
        <v>2</v>
      </c>
      <c r="CC5" s="54">
        <f t="shared" si="3"/>
        <v>5</v>
      </c>
      <c r="CD5" s="54">
        <f t="shared" si="3"/>
        <v>2</v>
      </c>
      <c r="CE5" s="54">
        <f t="shared" si="3"/>
        <v>5</v>
      </c>
      <c r="CF5" s="54">
        <f t="shared" si="3"/>
        <v>2</v>
      </c>
      <c r="CG5" s="54">
        <f t="shared" si="3"/>
        <v>5</v>
      </c>
      <c r="CH5" s="54">
        <f t="shared" si="3"/>
        <v>2</v>
      </c>
      <c r="CI5" s="54">
        <f t="shared" si="3"/>
        <v>5</v>
      </c>
      <c r="CJ5" s="54">
        <f t="shared" si="3"/>
        <v>2</v>
      </c>
      <c r="CK5" s="54">
        <f t="shared" si="3"/>
        <v>5</v>
      </c>
      <c r="CL5" s="54">
        <f t="shared" si="3"/>
        <v>2</v>
      </c>
      <c r="CM5" s="54">
        <f t="shared" si="3"/>
        <v>5</v>
      </c>
      <c r="CN5" s="54">
        <f t="shared" si="3"/>
        <v>2</v>
      </c>
      <c r="CO5" s="54">
        <f t="shared" si="3"/>
        <v>5</v>
      </c>
      <c r="CP5" s="54">
        <f t="shared" si="3"/>
        <v>2</v>
      </c>
      <c r="CQ5" s="54">
        <f t="shared" si="3"/>
        <v>5</v>
      </c>
      <c r="CR5" s="54">
        <f t="shared" si="3"/>
        <v>2</v>
      </c>
      <c r="CS5" s="54">
        <f t="shared" si="3"/>
        <v>5</v>
      </c>
      <c r="CT5" s="54">
        <f t="shared" si="3"/>
        <v>2</v>
      </c>
      <c r="CU5" s="54">
        <f t="shared" si="3"/>
        <v>5</v>
      </c>
      <c r="CV5" s="54">
        <f t="shared" ref="CV5:DZ5" si="4">CV4</f>
        <v>2</v>
      </c>
      <c r="CW5" s="54">
        <f t="shared" si="4"/>
        <v>5</v>
      </c>
      <c r="CX5" s="54">
        <f t="shared" si="4"/>
        <v>2</v>
      </c>
      <c r="CY5" s="54">
        <f t="shared" si="4"/>
        <v>5</v>
      </c>
      <c r="CZ5" s="54">
        <f t="shared" si="4"/>
        <v>2</v>
      </c>
      <c r="DA5" s="54">
        <f t="shared" si="4"/>
        <v>5</v>
      </c>
      <c r="DB5" s="54">
        <f t="shared" si="4"/>
        <v>2</v>
      </c>
      <c r="DC5" s="54">
        <f t="shared" si="4"/>
        <v>5</v>
      </c>
      <c r="DD5" s="54">
        <f t="shared" si="4"/>
        <v>2</v>
      </c>
      <c r="DE5" s="54">
        <f t="shared" si="4"/>
        <v>5</v>
      </c>
      <c r="DF5" s="54">
        <f t="shared" si="4"/>
        <v>2</v>
      </c>
      <c r="DG5" s="54">
        <f t="shared" si="4"/>
        <v>5</v>
      </c>
      <c r="DH5" s="54">
        <f t="shared" si="4"/>
        <v>2</v>
      </c>
      <c r="DI5" s="54">
        <f t="shared" si="4"/>
        <v>5</v>
      </c>
      <c r="DJ5" s="54">
        <f t="shared" si="4"/>
        <v>2</v>
      </c>
      <c r="DK5" s="54">
        <f t="shared" si="4"/>
        <v>5</v>
      </c>
      <c r="DL5" s="54">
        <f t="shared" si="4"/>
        <v>2</v>
      </c>
      <c r="DM5" s="54">
        <f t="shared" si="4"/>
        <v>5</v>
      </c>
      <c r="DN5" s="54">
        <f t="shared" si="4"/>
        <v>2</v>
      </c>
      <c r="DO5" s="54">
        <f t="shared" si="4"/>
        <v>5</v>
      </c>
      <c r="DP5" s="54">
        <f t="shared" si="4"/>
        <v>2</v>
      </c>
      <c r="DQ5" s="54">
        <f t="shared" si="4"/>
        <v>5</v>
      </c>
      <c r="DR5" s="54">
        <f t="shared" si="4"/>
        <v>2</v>
      </c>
      <c r="DS5" s="54">
        <f t="shared" si="4"/>
        <v>5</v>
      </c>
      <c r="DT5" s="54">
        <f t="shared" si="4"/>
        <v>2</v>
      </c>
      <c r="DU5" s="54">
        <f t="shared" si="4"/>
        <v>5</v>
      </c>
      <c r="DV5" s="54">
        <f t="shared" si="4"/>
        <v>2</v>
      </c>
      <c r="DW5" s="54">
        <f t="shared" si="4"/>
        <v>5</v>
      </c>
      <c r="DX5" s="54">
        <f t="shared" si="4"/>
        <v>2</v>
      </c>
      <c r="DY5" s="54">
        <f t="shared" si="4"/>
        <v>5</v>
      </c>
      <c r="DZ5" s="54">
        <f t="shared" si="4"/>
        <v>2</v>
      </c>
      <c r="EA5" s="54">
        <f t="shared" ref="EA5:EF5" si="5">EA4</f>
        <v>5</v>
      </c>
      <c r="EB5" s="54">
        <f t="shared" si="5"/>
        <v>2</v>
      </c>
      <c r="EC5" s="54">
        <f t="shared" si="5"/>
        <v>5</v>
      </c>
      <c r="ED5" s="54">
        <f t="shared" si="5"/>
        <v>2</v>
      </c>
      <c r="EE5" s="54">
        <f t="shared" si="5"/>
        <v>5</v>
      </c>
      <c r="EF5" s="54">
        <f t="shared" si="5"/>
        <v>2</v>
      </c>
      <c r="EG5" s="54">
        <f t="shared" ref="EG5:EN5" si="6">EG4</f>
        <v>5</v>
      </c>
      <c r="EH5" s="54">
        <f t="shared" si="6"/>
        <v>2</v>
      </c>
      <c r="EI5" s="54">
        <f t="shared" si="6"/>
        <v>5</v>
      </c>
      <c r="EJ5" s="54">
        <f t="shared" si="6"/>
        <v>2</v>
      </c>
      <c r="EK5" s="54">
        <f t="shared" si="6"/>
        <v>5</v>
      </c>
      <c r="EL5" s="54">
        <f t="shared" si="6"/>
        <v>2</v>
      </c>
      <c r="EM5" s="54">
        <f t="shared" si="6"/>
        <v>5</v>
      </c>
      <c r="EN5" s="54">
        <f t="shared" si="6"/>
        <v>2</v>
      </c>
      <c r="EO5" s="54">
        <f t="shared" ref="EO5:EO36" si="7">EO4</f>
        <v>2</v>
      </c>
      <c r="EP5" s="54">
        <f t="shared" ref="EP5:EP36" si="8">EP4</f>
        <v>2</v>
      </c>
    </row>
    <row r="6" spans="1:147" x14ac:dyDescent="0.2">
      <c r="B6" t="s">
        <v>230</v>
      </c>
      <c r="C6" s="54">
        <f t="shared" ref="C6:C69" si="9">C5</f>
        <v>45474</v>
      </c>
      <c r="D6" s="54">
        <f t="shared" si="1"/>
        <v>1</v>
      </c>
      <c r="E6" s="54">
        <f t="shared" ref="E6:E69" si="10">E5</f>
        <v>4</v>
      </c>
      <c r="F6" s="54">
        <f t="shared" ref="F6:F69" si="11">F5</f>
        <v>2</v>
      </c>
      <c r="G6" s="54">
        <f t="shared" ref="G6:G69" si="12">G5</f>
        <v>5</v>
      </c>
      <c r="H6" s="54">
        <f t="shared" ref="H6:H69" si="13">H5</f>
        <v>2</v>
      </c>
      <c r="I6" s="54">
        <f t="shared" ref="I6:I69" si="14">I5</f>
        <v>5</v>
      </c>
      <c r="J6" s="54">
        <f t="shared" ref="J6:J69" si="15">J5</f>
        <v>2</v>
      </c>
      <c r="K6" s="54">
        <f t="shared" ref="K6:K69" si="16">K5</f>
        <v>5</v>
      </c>
      <c r="L6" s="54">
        <f t="shared" ref="L6:L69" si="17">L5</f>
        <v>2</v>
      </c>
      <c r="M6" s="54">
        <f t="shared" ref="M6:M69" si="18">M5</f>
        <v>5</v>
      </c>
      <c r="N6" s="54">
        <f t="shared" ref="N6:N69" si="19">N5</f>
        <v>2</v>
      </c>
      <c r="O6" s="54">
        <f t="shared" ref="O6:O69" si="20">O5</f>
        <v>5</v>
      </c>
      <c r="P6" s="54">
        <f t="shared" ref="P6:P69" si="21">P5</f>
        <v>2</v>
      </c>
      <c r="Q6" s="54">
        <f t="shared" ref="Q6:Q69" si="22">Q5</f>
        <v>5</v>
      </c>
      <c r="R6" s="54">
        <f t="shared" ref="R6:R69" si="23">R5</f>
        <v>2</v>
      </c>
      <c r="S6" s="54">
        <f t="shared" ref="S6:S69" si="24">S5</f>
        <v>5</v>
      </c>
      <c r="T6" s="54">
        <f t="shared" ref="T6:T69" si="25">T5</f>
        <v>2</v>
      </c>
      <c r="U6" s="54">
        <f t="shared" ref="U6:U69" si="26">U5</f>
        <v>5</v>
      </c>
      <c r="V6" s="54">
        <f t="shared" ref="V6:V69" si="27">V5</f>
        <v>2</v>
      </c>
      <c r="W6" s="54">
        <f t="shared" ref="W6:W69" si="28">W5</f>
        <v>5</v>
      </c>
      <c r="X6" s="54">
        <f t="shared" ref="X6:X69" si="29">X5</f>
        <v>2</v>
      </c>
      <c r="Y6" s="54">
        <f t="shared" ref="Y6:Y69" si="30">Y5</f>
        <v>5</v>
      </c>
      <c r="Z6" s="54">
        <f t="shared" ref="Z6:Z69" si="31">Z5</f>
        <v>2</v>
      </c>
      <c r="AA6" s="54">
        <f t="shared" ref="AA6:AA69" si="32">AA5</f>
        <v>5</v>
      </c>
      <c r="AB6" s="54">
        <f t="shared" ref="AB6:AB69" si="33">AB5</f>
        <v>2</v>
      </c>
      <c r="AC6" s="54">
        <f t="shared" ref="AC6:AC69" si="34">AC5</f>
        <v>5</v>
      </c>
      <c r="AD6" s="54">
        <f t="shared" ref="AD6:AD69" si="35">AD5</f>
        <v>2</v>
      </c>
      <c r="AE6" s="54">
        <f t="shared" ref="AE6:AE69" si="36">AE5</f>
        <v>5</v>
      </c>
      <c r="AF6" s="54">
        <f t="shared" ref="AF6:AF69" si="37">AF5</f>
        <v>2</v>
      </c>
      <c r="AG6" s="54">
        <f t="shared" ref="AG6:AG69" si="38">AG5</f>
        <v>5</v>
      </c>
      <c r="AH6" s="54">
        <f t="shared" ref="AH6:AH69" si="39">AH5</f>
        <v>2</v>
      </c>
      <c r="AI6" s="54">
        <f t="shared" ref="AI6:AI69" si="40">AI5</f>
        <v>5</v>
      </c>
      <c r="AJ6" s="54">
        <f t="shared" ref="AJ6:AJ69" si="41">AJ5</f>
        <v>2</v>
      </c>
      <c r="AK6" s="54">
        <f t="shared" ref="AK6:AK69" si="42">AK5</f>
        <v>5</v>
      </c>
      <c r="AL6" s="54">
        <f t="shared" ref="AL6:AL69" si="43">AL5</f>
        <v>2</v>
      </c>
      <c r="AM6" s="54">
        <f t="shared" ref="AM6:AM69" si="44">AM5</f>
        <v>5</v>
      </c>
      <c r="AN6" s="54">
        <f t="shared" ref="AN6:AN69" si="45">AN5</f>
        <v>2</v>
      </c>
      <c r="AO6" s="54">
        <f t="shared" ref="AO6:AO69" si="46">AO5</f>
        <v>5</v>
      </c>
      <c r="AP6" s="54">
        <f t="shared" ref="AP6:AP69" si="47">AP5</f>
        <v>2</v>
      </c>
      <c r="AQ6" s="54">
        <f t="shared" ref="AQ6:AQ69" si="48">AQ5</f>
        <v>5</v>
      </c>
      <c r="AR6" s="54">
        <f t="shared" ref="AR6:AR69" si="49">AR5</f>
        <v>2</v>
      </c>
      <c r="AS6" s="54">
        <f t="shared" ref="AS6:AS69" si="50">AS5</f>
        <v>5</v>
      </c>
      <c r="AT6" s="54">
        <f t="shared" ref="AT6:AT69" si="51">AT5</f>
        <v>2</v>
      </c>
      <c r="AU6" s="54">
        <f t="shared" ref="AU6:AU69" si="52">AU5</f>
        <v>5</v>
      </c>
      <c r="AV6" s="54">
        <f t="shared" ref="AV6:AV69" si="53">AV5</f>
        <v>2</v>
      </c>
      <c r="AW6" s="54">
        <f t="shared" ref="AW6:AW69" si="54">AW5</f>
        <v>5</v>
      </c>
      <c r="AX6" s="54">
        <f t="shared" ref="AX6:AX69" si="55">AX5</f>
        <v>2</v>
      </c>
      <c r="AY6" s="54">
        <f t="shared" ref="AY6:AY69" si="56">AY5</f>
        <v>5</v>
      </c>
      <c r="AZ6" s="54">
        <f t="shared" ref="AZ6:AZ69" si="57">AZ5</f>
        <v>2</v>
      </c>
      <c r="BA6" s="54">
        <f t="shared" ref="BA6:BA69" si="58">BA5</f>
        <v>5</v>
      </c>
      <c r="BB6" s="54">
        <f t="shared" ref="BB6:BB69" si="59">BB5</f>
        <v>2</v>
      </c>
      <c r="BC6" s="54">
        <f t="shared" ref="BC6:BC69" si="60">BC5</f>
        <v>5</v>
      </c>
      <c r="BD6" s="54">
        <f t="shared" ref="BD6:BD69" si="61">BD5</f>
        <v>2</v>
      </c>
      <c r="BE6" s="54">
        <f t="shared" ref="BE6:BE69" si="62">BE5</f>
        <v>5</v>
      </c>
      <c r="BF6" s="54">
        <f t="shared" ref="BF6:BF69" si="63">BF5</f>
        <v>2</v>
      </c>
      <c r="BG6" s="54">
        <f t="shared" ref="BG6:BG69" si="64">BG5</f>
        <v>5</v>
      </c>
      <c r="BH6" s="54">
        <f t="shared" ref="BH6:BH69" si="65">BH5</f>
        <v>2</v>
      </c>
      <c r="BI6" s="54">
        <f t="shared" ref="BI6:BI69" si="66">BI5</f>
        <v>5</v>
      </c>
      <c r="BJ6" s="54">
        <f t="shared" ref="BJ6:BJ69" si="67">BJ5</f>
        <v>2</v>
      </c>
      <c r="BK6" s="54">
        <f t="shared" ref="BK6:BK69" si="68">BK5</f>
        <v>5</v>
      </c>
      <c r="BL6" s="54">
        <f t="shared" ref="BL6:BL69" si="69">BL5</f>
        <v>2</v>
      </c>
      <c r="BM6" s="54">
        <f t="shared" ref="BM6:BM69" si="70">BM5</f>
        <v>5</v>
      </c>
      <c r="BN6" s="54">
        <f t="shared" ref="BN6:BN69" si="71">BN5</f>
        <v>2</v>
      </c>
      <c r="BO6" s="54">
        <f t="shared" ref="BO6:BO69" si="72">BO5</f>
        <v>5</v>
      </c>
      <c r="BP6" s="54">
        <f t="shared" ref="BP6:BP69" si="73">BP5</f>
        <v>2</v>
      </c>
      <c r="BQ6" s="54">
        <f t="shared" ref="BQ6:BQ69" si="74">BQ5</f>
        <v>5</v>
      </c>
      <c r="BR6" s="54">
        <f t="shared" ref="BR6:BR69" si="75">BR5</f>
        <v>2</v>
      </c>
      <c r="BS6" s="54">
        <f t="shared" ref="BS6:BS69" si="76">BS5</f>
        <v>5</v>
      </c>
      <c r="BT6" s="54">
        <f t="shared" ref="BT6:BT69" si="77">BT5</f>
        <v>2</v>
      </c>
      <c r="BU6" s="54">
        <f t="shared" ref="BU6:BU69" si="78">BU5</f>
        <v>5</v>
      </c>
      <c r="BV6" s="54">
        <f t="shared" ref="BV6:BV69" si="79">BV5</f>
        <v>2</v>
      </c>
      <c r="BW6" s="54">
        <f t="shared" ref="BW6:BW69" si="80">BW5</f>
        <v>5</v>
      </c>
      <c r="BX6" s="54">
        <f t="shared" ref="BX6:BX69" si="81">BX5</f>
        <v>2</v>
      </c>
      <c r="BY6" s="54">
        <f t="shared" ref="BY6:BY69" si="82">BY5</f>
        <v>5</v>
      </c>
      <c r="BZ6" s="54">
        <f t="shared" ref="BZ6:BZ69" si="83">BZ5</f>
        <v>2</v>
      </c>
      <c r="CA6" s="54">
        <f t="shared" ref="CA6:CA69" si="84">CA5</f>
        <v>5</v>
      </c>
      <c r="CB6" s="54">
        <f t="shared" ref="CB6:CB69" si="85">CB5</f>
        <v>2</v>
      </c>
      <c r="CC6" s="54">
        <f t="shared" ref="CC6:CC69" si="86">CC5</f>
        <v>5</v>
      </c>
      <c r="CD6" s="54">
        <f t="shared" ref="CD6:CD69" si="87">CD5</f>
        <v>2</v>
      </c>
      <c r="CE6" s="54">
        <f t="shared" ref="CE6:CE69" si="88">CE5</f>
        <v>5</v>
      </c>
      <c r="CF6" s="54">
        <f t="shared" ref="CF6:CF69" si="89">CF5</f>
        <v>2</v>
      </c>
      <c r="CG6" s="54">
        <f t="shared" ref="CG6:CG69" si="90">CG5</f>
        <v>5</v>
      </c>
      <c r="CH6" s="54">
        <f t="shared" ref="CH6:CH69" si="91">CH5</f>
        <v>2</v>
      </c>
      <c r="CI6" s="54">
        <f t="shared" ref="CI6:CI69" si="92">CI5</f>
        <v>5</v>
      </c>
      <c r="CJ6" s="54">
        <f t="shared" ref="CJ6:CJ69" si="93">CJ5</f>
        <v>2</v>
      </c>
      <c r="CK6" s="54">
        <f t="shared" ref="CK6:CK69" si="94">CK5</f>
        <v>5</v>
      </c>
      <c r="CL6" s="54">
        <f t="shared" ref="CL6:CL69" si="95">CL5</f>
        <v>2</v>
      </c>
      <c r="CM6" s="54">
        <f t="shared" ref="CM6:CM69" si="96">CM5</f>
        <v>5</v>
      </c>
      <c r="CN6" s="54">
        <f t="shared" ref="CN6:CN69" si="97">CN5</f>
        <v>2</v>
      </c>
      <c r="CO6" s="54">
        <f t="shared" ref="CO6:CO69" si="98">CO5</f>
        <v>5</v>
      </c>
      <c r="CP6" s="54">
        <f t="shared" ref="CP6:CP69" si="99">CP5</f>
        <v>2</v>
      </c>
      <c r="CQ6" s="54">
        <f t="shared" ref="CQ6:CQ69" si="100">CQ5</f>
        <v>5</v>
      </c>
      <c r="CR6" s="54">
        <f t="shared" ref="CR6:CR69" si="101">CR5</f>
        <v>2</v>
      </c>
      <c r="CS6" s="54">
        <f t="shared" ref="CS6:CS69" si="102">CS5</f>
        <v>5</v>
      </c>
      <c r="CT6" s="54">
        <f t="shared" ref="CT6:CT69" si="103">CT5</f>
        <v>2</v>
      </c>
      <c r="CU6" s="54">
        <f t="shared" ref="CU6:CU69" si="104">CU5</f>
        <v>5</v>
      </c>
      <c r="CV6" s="54">
        <f t="shared" ref="CV6:CV69" si="105">CV5</f>
        <v>2</v>
      </c>
      <c r="CW6" s="54">
        <f t="shared" ref="CW6:CW69" si="106">CW5</f>
        <v>5</v>
      </c>
      <c r="CX6" s="54">
        <f t="shared" ref="CX6:CX69" si="107">CX5</f>
        <v>2</v>
      </c>
      <c r="CY6" s="54">
        <f t="shared" ref="CY6:CY69" si="108">CY5</f>
        <v>5</v>
      </c>
      <c r="CZ6" s="54">
        <f t="shared" ref="CZ6:CZ69" si="109">CZ5</f>
        <v>2</v>
      </c>
      <c r="DA6" s="54">
        <f t="shared" ref="DA6:DA69" si="110">DA5</f>
        <v>5</v>
      </c>
      <c r="DB6" s="54">
        <f t="shared" ref="DB6:DB69" si="111">DB5</f>
        <v>2</v>
      </c>
      <c r="DC6" s="54">
        <f t="shared" ref="DC6:DC69" si="112">DC5</f>
        <v>5</v>
      </c>
      <c r="DD6" s="54">
        <f t="shared" ref="DD6:DD69" si="113">DD5</f>
        <v>2</v>
      </c>
      <c r="DE6" s="54">
        <f t="shared" ref="DE6:DE69" si="114">DE5</f>
        <v>5</v>
      </c>
      <c r="DF6" s="54">
        <f t="shared" ref="DF6:DF69" si="115">DF5</f>
        <v>2</v>
      </c>
      <c r="DG6" s="54">
        <f t="shared" ref="DG6:DG69" si="116">DG5</f>
        <v>5</v>
      </c>
      <c r="DH6" s="54">
        <f t="shared" ref="DH6:DH69" si="117">DH5</f>
        <v>2</v>
      </c>
      <c r="DI6" s="54">
        <f t="shared" ref="DI6:DI69" si="118">DI5</f>
        <v>5</v>
      </c>
      <c r="DJ6" s="54">
        <f t="shared" ref="DJ6:DJ69" si="119">DJ5</f>
        <v>2</v>
      </c>
      <c r="DK6" s="54">
        <f t="shared" ref="DK6:DK69" si="120">DK5</f>
        <v>5</v>
      </c>
      <c r="DL6" s="54">
        <f t="shared" ref="DL6:DL69" si="121">DL5</f>
        <v>2</v>
      </c>
      <c r="DM6" s="54">
        <f t="shared" ref="DM6:DM69" si="122">DM5</f>
        <v>5</v>
      </c>
      <c r="DN6" s="54">
        <f t="shared" ref="DN6:DN69" si="123">DN5</f>
        <v>2</v>
      </c>
      <c r="DO6" s="54">
        <f t="shared" ref="DO6:DO69" si="124">DO5</f>
        <v>5</v>
      </c>
      <c r="DP6" s="54">
        <f t="shared" ref="DP6:DP69" si="125">DP5</f>
        <v>2</v>
      </c>
      <c r="DQ6" s="54">
        <f t="shared" ref="DQ6:DQ69" si="126">DQ5</f>
        <v>5</v>
      </c>
      <c r="DR6" s="54">
        <f t="shared" ref="DR6:DR69" si="127">DR5</f>
        <v>2</v>
      </c>
      <c r="DS6" s="54">
        <f t="shared" ref="DS6:DS69" si="128">DS5</f>
        <v>5</v>
      </c>
      <c r="DT6" s="54">
        <f t="shared" ref="DT6:DT69" si="129">DT5</f>
        <v>2</v>
      </c>
      <c r="DU6" s="54">
        <f t="shared" ref="DU6:DU69" si="130">DU5</f>
        <v>5</v>
      </c>
      <c r="DV6" s="54">
        <f t="shared" ref="DV6:DV69" si="131">DV5</f>
        <v>2</v>
      </c>
      <c r="DW6" s="54">
        <f t="shared" ref="DW6:DW69" si="132">DW5</f>
        <v>5</v>
      </c>
      <c r="DX6" s="54">
        <f t="shared" ref="DX6:DX69" si="133">DX5</f>
        <v>2</v>
      </c>
      <c r="DY6" s="54">
        <f t="shared" ref="DY6:EA69" si="134">DY5</f>
        <v>5</v>
      </c>
      <c r="DZ6" s="54">
        <f t="shared" ref="DZ6:EC69" si="135">DZ5</f>
        <v>2</v>
      </c>
      <c r="EA6" s="54">
        <f t="shared" si="134"/>
        <v>5</v>
      </c>
      <c r="EB6" s="54">
        <f t="shared" si="135"/>
        <v>2</v>
      </c>
      <c r="EC6" s="54">
        <f t="shared" si="135"/>
        <v>5</v>
      </c>
      <c r="ED6" s="54">
        <f t="shared" ref="ED6:ED37" si="136">ED5</f>
        <v>2</v>
      </c>
      <c r="EE6" s="54">
        <f t="shared" ref="EE6:EE37" si="137">EE5</f>
        <v>5</v>
      </c>
      <c r="EF6" s="54">
        <f t="shared" ref="EF6:EF37" si="138">EF5</f>
        <v>2</v>
      </c>
      <c r="EG6" s="54">
        <f t="shared" ref="EG6:EN6" si="139">EG5</f>
        <v>5</v>
      </c>
      <c r="EH6" s="54">
        <f t="shared" si="139"/>
        <v>2</v>
      </c>
      <c r="EI6" s="54">
        <f t="shared" si="139"/>
        <v>5</v>
      </c>
      <c r="EJ6" s="54">
        <f t="shared" si="139"/>
        <v>2</v>
      </c>
      <c r="EK6" s="54">
        <f t="shared" si="139"/>
        <v>5</v>
      </c>
      <c r="EL6" s="54">
        <f t="shared" si="139"/>
        <v>2</v>
      </c>
      <c r="EM6" s="54">
        <f t="shared" si="139"/>
        <v>5</v>
      </c>
      <c r="EN6" s="54">
        <f t="shared" si="139"/>
        <v>2</v>
      </c>
      <c r="EO6" s="54">
        <f t="shared" si="7"/>
        <v>2</v>
      </c>
      <c r="EP6" s="54">
        <f t="shared" si="8"/>
        <v>2</v>
      </c>
    </row>
    <row r="7" spans="1:147" x14ac:dyDescent="0.2">
      <c r="B7" t="s">
        <v>230</v>
      </c>
      <c r="C7" s="54">
        <f t="shared" si="9"/>
        <v>45474</v>
      </c>
      <c r="D7" s="54">
        <f t="shared" si="1"/>
        <v>1</v>
      </c>
      <c r="E7" s="54">
        <f t="shared" si="10"/>
        <v>4</v>
      </c>
      <c r="F7" s="54">
        <f t="shared" si="11"/>
        <v>2</v>
      </c>
      <c r="G7" s="54">
        <f t="shared" si="12"/>
        <v>5</v>
      </c>
      <c r="H7" s="54">
        <f t="shared" si="13"/>
        <v>2</v>
      </c>
      <c r="I7" s="54">
        <f t="shared" si="14"/>
        <v>5</v>
      </c>
      <c r="J7" s="54">
        <f t="shared" si="15"/>
        <v>2</v>
      </c>
      <c r="K7" s="54">
        <f t="shared" si="16"/>
        <v>5</v>
      </c>
      <c r="L7" s="54">
        <f t="shared" si="17"/>
        <v>2</v>
      </c>
      <c r="M7" s="54">
        <f t="shared" si="18"/>
        <v>5</v>
      </c>
      <c r="N7" s="54">
        <f t="shared" si="19"/>
        <v>2</v>
      </c>
      <c r="O7" s="54">
        <f t="shared" si="20"/>
        <v>5</v>
      </c>
      <c r="P7" s="54">
        <f t="shared" si="21"/>
        <v>2</v>
      </c>
      <c r="Q7" s="54">
        <f t="shared" si="22"/>
        <v>5</v>
      </c>
      <c r="R7" s="54">
        <f t="shared" si="23"/>
        <v>2</v>
      </c>
      <c r="S7" s="54">
        <f t="shared" si="24"/>
        <v>5</v>
      </c>
      <c r="T7" s="54">
        <f t="shared" si="25"/>
        <v>2</v>
      </c>
      <c r="U7" s="54">
        <f t="shared" si="26"/>
        <v>5</v>
      </c>
      <c r="V7" s="54">
        <f t="shared" si="27"/>
        <v>2</v>
      </c>
      <c r="W7" s="54">
        <f t="shared" si="28"/>
        <v>5</v>
      </c>
      <c r="X7" s="54">
        <f t="shared" si="29"/>
        <v>2</v>
      </c>
      <c r="Y7" s="54">
        <f t="shared" si="30"/>
        <v>5</v>
      </c>
      <c r="Z7" s="54">
        <f t="shared" si="31"/>
        <v>2</v>
      </c>
      <c r="AA7" s="54">
        <f t="shared" si="32"/>
        <v>5</v>
      </c>
      <c r="AB7" s="54">
        <f t="shared" si="33"/>
        <v>2</v>
      </c>
      <c r="AC7" s="54">
        <f t="shared" si="34"/>
        <v>5</v>
      </c>
      <c r="AD7" s="54">
        <f t="shared" si="35"/>
        <v>2</v>
      </c>
      <c r="AE7" s="54">
        <f t="shared" si="36"/>
        <v>5</v>
      </c>
      <c r="AF7" s="54">
        <f t="shared" si="37"/>
        <v>2</v>
      </c>
      <c r="AG7" s="54">
        <f t="shared" si="38"/>
        <v>5</v>
      </c>
      <c r="AH7" s="54">
        <f t="shared" si="39"/>
        <v>2</v>
      </c>
      <c r="AI7" s="54">
        <f t="shared" si="40"/>
        <v>5</v>
      </c>
      <c r="AJ7" s="54">
        <f t="shared" si="41"/>
        <v>2</v>
      </c>
      <c r="AK7" s="54">
        <f t="shared" si="42"/>
        <v>5</v>
      </c>
      <c r="AL7" s="54">
        <f t="shared" si="43"/>
        <v>2</v>
      </c>
      <c r="AM7" s="54">
        <f t="shared" si="44"/>
        <v>5</v>
      </c>
      <c r="AN7" s="54">
        <f t="shared" si="45"/>
        <v>2</v>
      </c>
      <c r="AO7" s="54">
        <f t="shared" si="46"/>
        <v>5</v>
      </c>
      <c r="AP7" s="54">
        <f t="shared" si="47"/>
        <v>2</v>
      </c>
      <c r="AQ7" s="54">
        <f t="shared" si="48"/>
        <v>5</v>
      </c>
      <c r="AR7" s="54">
        <f t="shared" si="49"/>
        <v>2</v>
      </c>
      <c r="AS7" s="54">
        <f t="shared" si="50"/>
        <v>5</v>
      </c>
      <c r="AT7" s="54">
        <f t="shared" si="51"/>
        <v>2</v>
      </c>
      <c r="AU7" s="54">
        <f t="shared" si="52"/>
        <v>5</v>
      </c>
      <c r="AV7" s="54">
        <f t="shared" si="53"/>
        <v>2</v>
      </c>
      <c r="AW7" s="54">
        <f t="shared" si="54"/>
        <v>5</v>
      </c>
      <c r="AX7" s="54">
        <f t="shared" si="55"/>
        <v>2</v>
      </c>
      <c r="AY7" s="54">
        <f t="shared" si="56"/>
        <v>5</v>
      </c>
      <c r="AZ7" s="54">
        <f t="shared" si="57"/>
        <v>2</v>
      </c>
      <c r="BA7" s="54">
        <f t="shared" si="58"/>
        <v>5</v>
      </c>
      <c r="BB7" s="54">
        <f t="shared" si="59"/>
        <v>2</v>
      </c>
      <c r="BC7" s="54">
        <f t="shared" si="60"/>
        <v>5</v>
      </c>
      <c r="BD7" s="54">
        <f t="shared" si="61"/>
        <v>2</v>
      </c>
      <c r="BE7" s="54">
        <f t="shared" si="62"/>
        <v>5</v>
      </c>
      <c r="BF7" s="54">
        <f t="shared" si="63"/>
        <v>2</v>
      </c>
      <c r="BG7" s="54">
        <f t="shared" si="64"/>
        <v>5</v>
      </c>
      <c r="BH7" s="54">
        <f t="shared" si="65"/>
        <v>2</v>
      </c>
      <c r="BI7" s="54">
        <f t="shared" si="66"/>
        <v>5</v>
      </c>
      <c r="BJ7" s="54">
        <f t="shared" si="67"/>
        <v>2</v>
      </c>
      <c r="BK7" s="54">
        <f t="shared" si="68"/>
        <v>5</v>
      </c>
      <c r="BL7" s="54">
        <f t="shared" si="69"/>
        <v>2</v>
      </c>
      <c r="BM7" s="54">
        <f t="shared" si="70"/>
        <v>5</v>
      </c>
      <c r="BN7" s="54">
        <f t="shared" si="71"/>
        <v>2</v>
      </c>
      <c r="BO7" s="54">
        <f t="shared" si="72"/>
        <v>5</v>
      </c>
      <c r="BP7" s="54">
        <f t="shared" si="73"/>
        <v>2</v>
      </c>
      <c r="BQ7" s="54">
        <f t="shared" si="74"/>
        <v>5</v>
      </c>
      <c r="BR7" s="54">
        <f t="shared" si="75"/>
        <v>2</v>
      </c>
      <c r="BS7" s="54">
        <f t="shared" si="76"/>
        <v>5</v>
      </c>
      <c r="BT7" s="54">
        <f t="shared" si="77"/>
        <v>2</v>
      </c>
      <c r="BU7" s="54">
        <f t="shared" si="78"/>
        <v>5</v>
      </c>
      <c r="BV7" s="54">
        <f t="shared" si="79"/>
        <v>2</v>
      </c>
      <c r="BW7" s="54">
        <f t="shared" si="80"/>
        <v>5</v>
      </c>
      <c r="BX7" s="54">
        <f t="shared" si="81"/>
        <v>2</v>
      </c>
      <c r="BY7" s="54">
        <f t="shared" si="82"/>
        <v>5</v>
      </c>
      <c r="BZ7" s="54">
        <f t="shared" si="83"/>
        <v>2</v>
      </c>
      <c r="CA7" s="54">
        <f t="shared" si="84"/>
        <v>5</v>
      </c>
      <c r="CB7" s="54">
        <f t="shared" si="85"/>
        <v>2</v>
      </c>
      <c r="CC7" s="54">
        <f t="shared" si="86"/>
        <v>5</v>
      </c>
      <c r="CD7" s="54">
        <f t="shared" si="87"/>
        <v>2</v>
      </c>
      <c r="CE7" s="54">
        <f t="shared" si="88"/>
        <v>5</v>
      </c>
      <c r="CF7" s="54">
        <f t="shared" si="89"/>
        <v>2</v>
      </c>
      <c r="CG7" s="54">
        <f t="shared" si="90"/>
        <v>5</v>
      </c>
      <c r="CH7" s="54">
        <f t="shared" si="91"/>
        <v>2</v>
      </c>
      <c r="CI7" s="54">
        <f t="shared" si="92"/>
        <v>5</v>
      </c>
      <c r="CJ7" s="54">
        <f t="shared" si="93"/>
        <v>2</v>
      </c>
      <c r="CK7" s="54">
        <f t="shared" si="94"/>
        <v>5</v>
      </c>
      <c r="CL7" s="54">
        <f t="shared" si="95"/>
        <v>2</v>
      </c>
      <c r="CM7" s="54">
        <f t="shared" si="96"/>
        <v>5</v>
      </c>
      <c r="CN7" s="54">
        <f t="shared" si="97"/>
        <v>2</v>
      </c>
      <c r="CO7" s="54">
        <f t="shared" si="98"/>
        <v>5</v>
      </c>
      <c r="CP7" s="54">
        <f t="shared" si="99"/>
        <v>2</v>
      </c>
      <c r="CQ7" s="54">
        <f t="shared" si="100"/>
        <v>5</v>
      </c>
      <c r="CR7" s="54">
        <f t="shared" si="101"/>
        <v>2</v>
      </c>
      <c r="CS7" s="54">
        <f t="shared" si="102"/>
        <v>5</v>
      </c>
      <c r="CT7" s="54">
        <f t="shared" si="103"/>
        <v>2</v>
      </c>
      <c r="CU7" s="54">
        <f t="shared" si="104"/>
        <v>5</v>
      </c>
      <c r="CV7" s="54">
        <f t="shared" si="105"/>
        <v>2</v>
      </c>
      <c r="CW7" s="54">
        <f t="shared" si="106"/>
        <v>5</v>
      </c>
      <c r="CX7" s="54">
        <f t="shared" si="107"/>
        <v>2</v>
      </c>
      <c r="CY7" s="54">
        <f t="shared" si="108"/>
        <v>5</v>
      </c>
      <c r="CZ7" s="54">
        <f t="shared" si="109"/>
        <v>2</v>
      </c>
      <c r="DA7" s="54">
        <f t="shared" si="110"/>
        <v>5</v>
      </c>
      <c r="DB7" s="54">
        <f t="shared" si="111"/>
        <v>2</v>
      </c>
      <c r="DC7" s="54">
        <f t="shared" si="112"/>
        <v>5</v>
      </c>
      <c r="DD7" s="54">
        <f t="shared" si="113"/>
        <v>2</v>
      </c>
      <c r="DE7" s="54">
        <f t="shared" si="114"/>
        <v>5</v>
      </c>
      <c r="DF7" s="54">
        <f t="shared" si="115"/>
        <v>2</v>
      </c>
      <c r="DG7" s="54">
        <f t="shared" si="116"/>
        <v>5</v>
      </c>
      <c r="DH7" s="54">
        <f t="shared" si="117"/>
        <v>2</v>
      </c>
      <c r="DI7" s="54">
        <f t="shared" si="118"/>
        <v>5</v>
      </c>
      <c r="DJ7" s="54">
        <f t="shared" si="119"/>
        <v>2</v>
      </c>
      <c r="DK7" s="54">
        <f t="shared" si="120"/>
        <v>5</v>
      </c>
      <c r="DL7" s="54">
        <f t="shared" si="121"/>
        <v>2</v>
      </c>
      <c r="DM7" s="54">
        <f t="shared" si="122"/>
        <v>5</v>
      </c>
      <c r="DN7" s="54">
        <f t="shared" si="123"/>
        <v>2</v>
      </c>
      <c r="DO7" s="54">
        <f t="shared" si="124"/>
        <v>5</v>
      </c>
      <c r="DP7" s="54">
        <f t="shared" si="125"/>
        <v>2</v>
      </c>
      <c r="DQ7" s="54">
        <f t="shared" si="126"/>
        <v>5</v>
      </c>
      <c r="DR7" s="54">
        <f t="shared" si="127"/>
        <v>2</v>
      </c>
      <c r="DS7" s="54">
        <f t="shared" si="128"/>
        <v>5</v>
      </c>
      <c r="DT7" s="54">
        <f t="shared" si="129"/>
        <v>2</v>
      </c>
      <c r="DU7" s="54">
        <f t="shared" si="130"/>
        <v>5</v>
      </c>
      <c r="DV7" s="54">
        <f t="shared" si="131"/>
        <v>2</v>
      </c>
      <c r="DW7" s="54">
        <f t="shared" si="132"/>
        <v>5</v>
      </c>
      <c r="DX7" s="54">
        <f t="shared" si="133"/>
        <v>2</v>
      </c>
      <c r="DY7" s="54">
        <f t="shared" si="134"/>
        <v>5</v>
      </c>
      <c r="DZ7" s="54">
        <f t="shared" si="135"/>
        <v>2</v>
      </c>
      <c r="EA7" s="54">
        <f t="shared" si="134"/>
        <v>5</v>
      </c>
      <c r="EB7" s="54">
        <f t="shared" si="135"/>
        <v>2</v>
      </c>
      <c r="EC7" s="54">
        <f t="shared" si="135"/>
        <v>5</v>
      </c>
      <c r="ED7" s="54">
        <f t="shared" si="136"/>
        <v>2</v>
      </c>
      <c r="EE7" s="54">
        <f t="shared" si="137"/>
        <v>5</v>
      </c>
      <c r="EF7" s="54">
        <f t="shared" si="138"/>
        <v>2</v>
      </c>
      <c r="EG7" s="54">
        <f t="shared" ref="EG7:EN7" si="140">EG6</f>
        <v>5</v>
      </c>
      <c r="EH7" s="54">
        <f t="shared" si="140"/>
        <v>2</v>
      </c>
      <c r="EI7" s="54">
        <f t="shared" si="140"/>
        <v>5</v>
      </c>
      <c r="EJ7" s="54">
        <f t="shared" si="140"/>
        <v>2</v>
      </c>
      <c r="EK7" s="54">
        <f t="shared" si="140"/>
        <v>5</v>
      </c>
      <c r="EL7" s="54">
        <f t="shared" si="140"/>
        <v>2</v>
      </c>
      <c r="EM7" s="54">
        <f t="shared" si="140"/>
        <v>5</v>
      </c>
      <c r="EN7" s="54">
        <f t="shared" si="140"/>
        <v>2</v>
      </c>
      <c r="EO7" s="54">
        <f t="shared" si="7"/>
        <v>2</v>
      </c>
      <c r="EP7" s="54">
        <f t="shared" si="8"/>
        <v>2</v>
      </c>
    </row>
    <row r="8" spans="1:147" x14ac:dyDescent="0.2">
      <c r="B8" t="s">
        <v>230</v>
      </c>
      <c r="C8" s="54">
        <f t="shared" si="9"/>
        <v>45474</v>
      </c>
      <c r="D8" s="54">
        <f t="shared" si="1"/>
        <v>1</v>
      </c>
      <c r="E8" s="54">
        <f t="shared" si="10"/>
        <v>4</v>
      </c>
      <c r="F8" s="54">
        <f t="shared" si="11"/>
        <v>2</v>
      </c>
      <c r="G8" s="54">
        <f t="shared" si="12"/>
        <v>5</v>
      </c>
      <c r="H8" s="54">
        <f t="shared" si="13"/>
        <v>2</v>
      </c>
      <c r="I8" s="54">
        <f t="shared" si="14"/>
        <v>5</v>
      </c>
      <c r="J8" s="54">
        <f t="shared" si="15"/>
        <v>2</v>
      </c>
      <c r="K8" s="54">
        <f t="shared" si="16"/>
        <v>5</v>
      </c>
      <c r="L8" s="54">
        <f t="shared" si="17"/>
        <v>2</v>
      </c>
      <c r="M8" s="54">
        <f t="shared" si="18"/>
        <v>5</v>
      </c>
      <c r="N8" s="54">
        <f t="shared" si="19"/>
        <v>2</v>
      </c>
      <c r="O8" s="54">
        <f t="shared" si="20"/>
        <v>5</v>
      </c>
      <c r="P8" s="54">
        <f t="shared" si="21"/>
        <v>2</v>
      </c>
      <c r="Q8" s="54">
        <f t="shared" si="22"/>
        <v>5</v>
      </c>
      <c r="R8" s="54">
        <f t="shared" si="23"/>
        <v>2</v>
      </c>
      <c r="S8" s="54">
        <f t="shared" si="24"/>
        <v>5</v>
      </c>
      <c r="T8" s="54">
        <f t="shared" si="25"/>
        <v>2</v>
      </c>
      <c r="U8" s="54">
        <f t="shared" si="26"/>
        <v>5</v>
      </c>
      <c r="V8" s="54">
        <f t="shared" si="27"/>
        <v>2</v>
      </c>
      <c r="W8" s="54">
        <f t="shared" si="28"/>
        <v>5</v>
      </c>
      <c r="X8" s="54">
        <f t="shared" si="29"/>
        <v>2</v>
      </c>
      <c r="Y8" s="54">
        <f t="shared" si="30"/>
        <v>5</v>
      </c>
      <c r="Z8" s="54">
        <f t="shared" si="31"/>
        <v>2</v>
      </c>
      <c r="AA8" s="54">
        <f t="shared" si="32"/>
        <v>5</v>
      </c>
      <c r="AB8" s="54">
        <f t="shared" si="33"/>
        <v>2</v>
      </c>
      <c r="AC8" s="54">
        <f t="shared" si="34"/>
        <v>5</v>
      </c>
      <c r="AD8" s="54">
        <f t="shared" si="35"/>
        <v>2</v>
      </c>
      <c r="AE8" s="54">
        <f t="shared" si="36"/>
        <v>5</v>
      </c>
      <c r="AF8" s="54">
        <f t="shared" si="37"/>
        <v>2</v>
      </c>
      <c r="AG8" s="54">
        <f t="shared" si="38"/>
        <v>5</v>
      </c>
      <c r="AH8" s="54">
        <f t="shared" si="39"/>
        <v>2</v>
      </c>
      <c r="AI8" s="54">
        <f t="shared" si="40"/>
        <v>5</v>
      </c>
      <c r="AJ8" s="54">
        <f t="shared" si="41"/>
        <v>2</v>
      </c>
      <c r="AK8" s="54">
        <f t="shared" si="42"/>
        <v>5</v>
      </c>
      <c r="AL8" s="54">
        <f t="shared" si="43"/>
        <v>2</v>
      </c>
      <c r="AM8" s="54">
        <f t="shared" si="44"/>
        <v>5</v>
      </c>
      <c r="AN8" s="54">
        <f t="shared" si="45"/>
        <v>2</v>
      </c>
      <c r="AO8" s="54">
        <f t="shared" si="46"/>
        <v>5</v>
      </c>
      <c r="AP8" s="54">
        <f t="shared" si="47"/>
        <v>2</v>
      </c>
      <c r="AQ8" s="54">
        <f t="shared" si="48"/>
        <v>5</v>
      </c>
      <c r="AR8" s="54">
        <f t="shared" si="49"/>
        <v>2</v>
      </c>
      <c r="AS8" s="54">
        <f t="shared" si="50"/>
        <v>5</v>
      </c>
      <c r="AT8" s="54">
        <f t="shared" si="51"/>
        <v>2</v>
      </c>
      <c r="AU8" s="54">
        <f t="shared" si="52"/>
        <v>5</v>
      </c>
      <c r="AV8" s="54">
        <f t="shared" si="53"/>
        <v>2</v>
      </c>
      <c r="AW8" s="54">
        <f t="shared" si="54"/>
        <v>5</v>
      </c>
      <c r="AX8" s="54">
        <f t="shared" si="55"/>
        <v>2</v>
      </c>
      <c r="AY8" s="54">
        <f t="shared" si="56"/>
        <v>5</v>
      </c>
      <c r="AZ8" s="54">
        <f t="shared" si="57"/>
        <v>2</v>
      </c>
      <c r="BA8" s="54">
        <f t="shared" si="58"/>
        <v>5</v>
      </c>
      <c r="BB8" s="54">
        <f t="shared" si="59"/>
        <v>2</v>
      </c>
      <c r="BC8" s="54">
        <f t="shared" si="60"/>
        <v>5</v>
      </c>
      <c r="BD8" s="54">
        <f t="shared" si="61"/>
        <v>2</v>
      </c>
      <c r="BE8" s="54">
        <f t="shared" si="62"/>
        <v>5</v>
      </c>
      <c r="BF8" s="54">
        <f t="shared" si="63"/>
        <v>2</v>
      </c>
      <c r="BG8" s="54">
        <f t="shared" si="64"/>
        <v>5</v>
      </c>
      <c r="BH8" s="54">
        <f t="shared" si="65"/>
        <v>2</v>
      </c>
      <c r="BI8" s="54">
        <f t="shared" si="66"/>
        <v>5</v>
      </c>
      <c r="BJ8" s="54">
        <f t="shared" si="67"/>
        <v>2</v>
      </c>
      <c r="BK8" s="54">
        <f t="shared" si="68"/>
        <v>5</v>
      </c>
      <c r="BL8" s="54">
        <f t="shared" si="69"/>
        <v>2</v>
      </c>
      <c r="BM8" s="54">
        <f t="shared" si="70"/>
        <v>5</v>
      </c>
      <c r="BN8" s="54">
        <f t="shared" si="71"/>
        <v>2</v>
      </c>
      <c r="BO8" s="54">
        <f t="shared" si="72"/>
        <v>5</v>
      </c>
      <c r="BP8" s="54">
        <f t="shared" si="73"/>
        <v>2</v>
      </c>
      <c r="BQ8" s="54">
        <f t="shared" si="74"/>
        <v>5</v>
      </c>
      <c r="BR8" s="54">
        <f t="shared" si="75"/>
        <v>2</v>
      </c>
      <c r="BS8" s="54">
        <f t="shared" si="76"/>
        <v>5</v>
      </c>
      <c r="BT8" s="54">
        <f t="shared" si="77"/>
        <v>2</v>
      </c>
      <c r="BU8" s="54">
        <f t="shared" si="78"/>
        <v>5</v>
      </c>
      <c r="BV8" s="54">
        <f t="shared" si="79"/>
        <v>2</v>
      </c>
      <c r="BW8" s="54">
        <f t="shared" si="80"/>
        <v>5</v>
      </c>
      <c r="BX8" s="54">
        <f t="shared" si="81"/>
        <v>2</v>
      </c>
      <c r="BY8" s="54">
        <f t="shared" si="82"/>
        <v>5</v>
      </c>
      <c r="BZ8" s="54">
        <f t="shared" si="83"/>
        <v>2</v>
      </c>
      <c r="CA8" s="54">
        <f t="shared" si="84"/>
        <v>5</v>
      </c>
      <c r="CB8" s="54">
        <f t="shared" si="85"/>
        <v>2</v>
      </c>
      <c r="CC8" s="54">
        <f t="shared" si="86"/>
        <v>5</v>
      </c>
      <c r="CD8" s="54">
        <f t="shared" si="87"/>
        <v>2</v>
      </c>
      <c r="CE8" s="54">
        <f t="shared" si="88"/>
        <v>5</v>
      </c>
      <c r="CF8" s="54">
        <f t="shared" si="89"/>
        <v>2</v>
      </c>
      <c r="CG8" s="54">
        <f t="shared" si="90"/>
        <v>5</v>
      </c>
      <c r="CH8" s="54">
        <f t="shared" si="91"/>
        <v>2</v>
      </c>
      <c r="CI8" s="54">
        <f t="shared" si="92"/>
        <v>5</v>
      </c>
      <c r="CJ8" s="54">
        <f t="shared" si="93"/>
        <v>2</v>
      </c>
      <c r="CK8" s="54">
        <f t="shared" si="94"/>
        <v>5</v>
      </c>
      <c r="CL8" s="54">
        <f t="shared" si="95"/>
        <v>2</v>
      </c>
      <c r="CM8" s="54">
        <f t="shared" si="96"/>
        <v>5</v>
      </c>
      <c r="CN8" s="54">
        <f t="shared" si="97"/>
        <v>2</v>
      </c>
      <c r="CO8" s="54">
        <f t="shared" si="98"/>
        <v>5</v>
      </c>
      <c r="CP8" s="54">
        <f t="shared" si="99"/>
        <v>2</v>
      </c>
      <c r="CQ8" s="54">
        <f t="shared" si="100"/>
        <v>5</v>
      </c>
      <c r="CR8" s="54">
        <f t="shared" si="101"/>
        <v>2</v>
      </c>
      <c r="CS8" s="54">
        <f t="shared" si="102"/>
        <v>5</v>
      </c>
      <c r="CT8" s="54">
        <f t="shared" si="103"/>
        <v>2</v>
      </c>
      <c r="CU8" s="54">
        <f t="shared" si="104"/>
        <v>5</v>
      </c>
      <c r="CV8" s="54">
        <f t="shared" si="105"/>
        <v>2</v>
      </c>
      <c r="CW8" s="54">
        <f t="shared" si="106"/>
        <v>5</v>
      </c>
      <c r="CX8" s="54">
        <f t="shared" si="107"/>
        <v>2</v>
      </c>
      <c r="CY8" s="54">
        <f t="shared" si="108"/>
        <v>5</v>
      </c>
      <c r="CZ8" s="54">
        <f t="shared" si="109"/>
        <v>2</v>
      </c>
      <c r="DA8" s="54">
        <f t="shared" si="110"/>
        <v>5</v>
      </c>
      <c r="DB8" s="54">
        <f t="shared" si="111"/>
        <v>2</v>
      </c>
      <c r="DC8" s="54">
        <f t="shared" si="112"/>
        <v>5</v>
      </c>
      <c r="DD8" s="54">
        <f t="shared" si="113"/>
        <v>2</v>
      </c>
      <c r="DE8" s="54">
        <f t="shared" si="114"/>
        <v>5</v>
      </c>
      <c r="DF8" s="54">
        <f t="shared" si="115"/>
        <v>2</v>
      </c>
      <c r="DG8" s="54">
        <f t="shared" si="116"/>
        <v>5</v>
      </c>
      <c r="DH8" s="54">
        <f t="shared" si="117"/>
        <v>2</v>
      </c>
      <c r="DI8" s="54">
        <f t="shared" si="118"/>
        <v>5</v>
      </c>
      <c r="DJ8" s="54">
        <f t="shared" si="119"/>
        <v>2</v>
      </c>
      <c r="DK8" s="54">
        <f t="shared" si="120"/>
        <v>5</v>
      </c>
      <c r="DL8" s="54">
        <f t="shared" si="121"/>
        <v>2</v>
      </c>
      <c r="DM8" s="54">
        <f t="shared" si="122"/>
        <v>5</v>
      </c>
      <c r="DN8" s="54">
        <f t="shared" si="123"/>
        <v>2</v>
      </c>
      <c r="DO8" s="54">
        <f t="shared" si="124"/>
        <v>5</v>
      </c>
      <c r="DP8" s="54">
        <f t="shared" si="125"/>
        <v>2</v>
      </c>
      <c r="DQ8" s="54">
        <f t="shared" si="126"/>
        <v>5</v>
      </c>
      <c r="DR8" s="54">
        <f t="shared" si="127"/>
        <v>2</v>
      </c>
      <c r="DS8" s="54">
        <f t="shared" si="128"/>
        <v>5</v>
      </c>
      <c r="DT8" s="54">
        <f t="shared" si="129"/>
        <v>2</v>
      </c>
      <c r="DU8" s="54">
        <f t="shared" si="130"/>
        <v>5</v>
      </c>
      <c r="DV8" s="54">
        <f t="shared" si="131"/>
        <v>2</v>
      </c>
      <c r="DW8" s="54">
        <f t="shared" si="132"/>
        <v>5</v>
      </c>
      <c r="DX8" s="54">
        <f t="shared" si="133"/>
        <v>2</v>
      </c>
      <c r="DY8" s="54">
        <f t="shared" si="134"/>
        <v>5</v>
      </c>
      <c r="DZ8" s="54">
        <f t="shared" si="135"/>
        <v>2</v>
      </c>
      <c r="EA8" s="54">
        <f t="shared" si="134"/>
        <v>5</v>
      </c>
      <c r="EB8" s="54">
        <f t="shared" si="135"/>
        <v>2</v>
      </c>
      <c r="EC8" s="54">
        <f t="shared" si="135"/>
        <v>5</v>
      </c>
      <c r="ED8" s="54">
        <f t="shared" si="136"/>
        <v>2</v>
      </c>
      <c r="EE8" s="54">
        <f t="shared" si="137"/>
        <v>5</v>
      </c>
      <c r="EF8" s="54">
        <f t="shared" si="138"/>
        <v>2</v>
      </c>
      <c r="EG8" s="54">
        <f t="shared" ref="EG8:EN8" si="141">EG7</f>
        <v>5</v>
      </c>
      <c r="EH8" s="54">
        <f t="shared" si="141"/>
        <v>2</v>
      </c>
      <c r="EI8" s="54">
        <f t="shared" si="141"/>
        <v>5</v>
      </c>
      <c r="EJ8" s="54">
        <f t="shared" si="141"/>
        <v>2</v>
      </c>
      <c r="EK8" s="54">
        <f t="shared" si="141"/>
        <v>5</v>
      </c>
      <c r="EL8" s="54">
        <f t="shared" si="141"/>
        <v>2</v>
      </c>
      <c r="EM8" s="54">
        <f t="shared" si="141"/>
        <v>5</v>
      </c>
      <c r="EN8" s="54">
        <f t="shared" si="141"/>
        <v>2</v>
      </c>
      <c r="EO8" s="54">
        <f t="shared" si="7"/>
        <v>2</v>
      </c>
      <c r="EP8" s="54">
        <f t="shared" si="8"/>
        <v>2</v>
      </c>
    </row>
    <row r="9" spans="1:147" x14ac:dyDescent="0.2">
      <c r="B9" t="s">
        <v>230</v>
      </c>
      <c r="C9" s="54">
        <f t="shared" si="9"/>
        <v>45474</v>
      </c>
      <c r="D9" s="54">
        <f t="shared" si="1"/>
        <v>1</v>
      </c>
      <c r="E9" s="54">
        <f t="shared" si="10"/>
        <v>4</v>
      </c>
      <c r="F9" s="54">
        <f t="shared" si="11"/>
        <v>2</v>
      </c>
      <c r="G9" s="54">
        <f t="shared" si="12"/>
        <v>5</v>
      </c>
      <c r="H9" s="54">
        <f t="shared" si="13"/>
        <v>2</v>
      </c>
      <c r="I9" s="54">
        <f t="shared" si="14"/>
        <v>5</v>
      </c>
      <c r="J9" s="54">
        <f t="shared" si="15"/>
        <v>2</v>
      </c>
      <c r="K9" s="54">
        <f t="shared" si="16"/>
        <v>5</v>
      </c>
      <c r="L9" s="54">
        <f t="shared" si="17"/>
        <v>2</v>
      </c>
      <c r="M9" s="54">
        <f t="shared" si="18"/>
        <v>5</v>
      </c>
      <c r="N9" s="54">
        <f t="shared" si="19"/>
        <v>2</v>
      </c>
      <c r="O9" s="54">
        <f t="shared" si="20"/>
        <v>5</v>
      </c>
      <c r="P9" s="54">
        <f t="shared" si="21"/>
        <v>2</v>
      </c>
      <c r="Q9" s="54">
        <f t="shared" si="22"/>
        <v>5</v>
      </c>
      <c r="R9" s="54">
        <f t="shared" si="23"/>
        <v>2</v>
      </c>
      <c r="S9" s="54">
        <f t="shared" si="24"/>
        <v>5</v>
      </c>
      <c r="T9" s="54">
        <f t="shared" si="25"/>
        <v>2</v>
      </c>
      <c r="U9" s="54">
        <f t="shared" si="26"/>
        <v>5</v>
      </c>
      <c r="V9" s="54">
        <f t="shared" si="27"/>
        <v>2</v>
      </c>
      <c r="W9" s="54">
        <f t="shared" si="28"/>
        <v>5</v>
      </c>
      <c r="X9" s="54">
        <f t="shared" si="29"/>
        <v>2</v>
      </c>
      <c r="Y9" s="54">
        <f t="shared" si="30"/>
        <v>5</v>
      </c>
      <c r="Z9" s="54">
        <f t="shared" si="31"/>
        <v>2</v>
      </c>
      <c r="AA9" s="54">
        <f t="shared" si="32"/>
        <v>5</v>
      </c>
      <c r="AB9" s="54">
        <f t="shared" si="33"/>
        <v>2</v>
      </c>
      <c r="AC9" s="54">
        <f t="shared" si="34"/>
        <v>5</v>
      </c>
      <c r="AD9" s="54">
        <f t="shared" si="35"/>
        <v>2</v>
      </c>
      <c r="AE9" s="54">
        <f t="shared" si="36"/>
        <v>5</v>
      </c>
      <c r="AF9" s="54">
        <f t="shared" si="37"/>
        <v>2</v>
      </c>
      <c r="AG9" s="54">
        <f t="shared" si="38"/>
        <v>5</v>
      </c>
      <c r="AH9" s="54">
        <f t="shared" si="39"/>
        <v>2</v>
      </c>
      <c r="AI9" s="54">
        <f t="shared" si="40"/>
        <v>5</v>
      </c>
      <c r="AJ9" s="54">
        <f t="shared" si="41"/>
        <v>2</v>
      </c>
      <c r="AK9" s="54">
        <f t="shared" si="42"/>
        <v>5</v>
      </c>
      <c r="AL9" s="54">
        <f t="shared" si="43"/>
        <v>2</v>
      </c>
      <c r="AM9" s="54">
        <f t="shared" si="44"/>
        <v>5</v>
      </c>
      <c r="AN9" s="54">
        <f t="shared" si="45"/>
        <v>2</v>
      </c>
      <c r="AO9" s="54">
        <f t="shared" si="46"/>
        <v>5</v>
      </c>
      <c r="AP9" s="54">
        <f t="shared" si="47"/>
        <v>2</v>
      </c>
      <c r="AQ9" s="54">
        <f t="shared" si="48"/>
        <v>5</v>
      </c>
      <c r="AR9" s="54">
        <f t="shared" si="49"/>
        <v>2</v>
      </c>
      <c r="AS9" s="54">
        <f t="shared" si="50"/>
        <v>5</v>
      </c>
      <c r="AT9" s="54">
        <f t="shared" si="51"/>
        <v>2</v>
      </c>
      <c r="AU9" s="54">
        <f t="shared" si="52"/>
        <v>5</v>
      </c>
      <c r="AV9" s="54">
        <f t="shared" si="53"/>
        <v>2</v>
      </c>
      <c r="AW9" s="54">
        <f t="shared" si="54"/>
        <v>5</v>
      </c>
      <c r="AX9" s="54">
        <f t="shared" si="55"/>
        <v>2</v>
      </c>
      <c r="AY9" s="54">
        <f t="shared" si="56"/>
        <v>5</v>
      </c>
      <c r="AZ9" s="54">
        <f t="shared" si="57"/>
        <v>2</v>
      </c>
      <c r="BA9" s="54">
        <f t="shared" si="58"/>
        <v>5</v>
      </c>
      <c r="BB9" s="54">
        <f t="shared" si="59"/>
        <v>2</v>
      </c>
      <c r="BC9" s="54">
        <f t="shared" si="60"/>
        <v>5</v>
      </c>
      <c r="BD9" s="54">
        <f t="shared" si="61"/>
        <v>2</v>
      </c>
      <c r="BE9" s="54">
        <f t="shared" si="62"/>
        <v>5</v>
      </c>
      <c r="BF9" s="54">
        <f t="shared" si="63"/>
        <v>2</v>
      </c>
      <c r="BG9" s="54">
        <f t="shared" si="64"/>
        <v>5</v>
      </c>
      <c r="BH9" s="54">
        <f t="shared" si="65"/>
        <v>2</v>
      </c>
      <c r="BI9" s="54">
        <f t="shared" si="66"/>
        <v>5</v>
      </c>
      <c r="BJ9" s="54">
        <f t="shared" si="67"/>
        <v>2</v>
      </c>
      <c r="BK9" s="54">
        <f t="shared" si="68"/>
        <v>5</v>
      </c>
      <c r="BL9" s="54">
        <f t="shared" si="69"/>
        <v>2</v>
      </c>
      <c r="BM9" s="54">
        <f t="shared" si="70"/>
        <v>5</v>
      </c>
      <c r="BN9" s="54">
        <f t="shared" si="71"/>
        <v>2</v>
      </c>
      <c r="BO9" s="54">
        <f t="shared" si="72"/>
        <v>5</v>
      </c>
      <c r="BP9" s="54">
        <f t="shared" si="73"/>
        <v>2</v>
      </c>
      <c r="BQ9" s="54">
        <f t="shared" si="74"/>
        <v>5</v>
      </c>
      <c r="BR9" s="54">
        <f t="shared" si="75"/>
        <v>2</v>
      </c>
      <c r="BS9" s="54">
        <f t="shared" si="76"/>
        <v>5</v>
      </c>
      <c r="BT9" s="54">
        <f t="shared" si="77"/>
        <v>2</v>
      </c>
      <c r="BU9" s="54">
        <f t="shared" si="78"/>
        <v>5</v>
      </c>
      <c r="BV9" s="54">
        <f t="shared" si="79"/>
        <v>2</v>
      </c>
      <c r="BW9" s="54">
        <f t="shared" si="80"/>
        <v>5</v>
      </c>
      <c r="BX9" s="54">
        <f t="shared" si="81"/>
        <v>2</v>
      </c>
      <c r="BY9" s="54">
        <f t="shared" si="82"/>
        <v>5</v>
      </c>
      <c r="BZ9" s="54">
        <f t="shared" si="83"/>
        <v>2</v>
      </c>
      <c r="CA9" s="54">
        <f t="shared" si="84"/>
        <v>5</v>
      </c>
      <c r="CB9" s="54">
        <f t="shared" si="85"/>
        <v>2</v>
      </c>
      <c r="CC9" s="54">
        <f t="shared" si="86"/>
        <v>5</v>
      </c>
      <c r="CD9" s="54">
        <f t="shared" si="87"/>
        <v>2</v>
      </c>
      <c r="CE9" s="54">
        <f t="shared" si="88"/>
        <v>5</v>
      </c>
      <c r="CF9" s="54">
        <f t="shared" si="89"/>
        <v>2</v>
      </c>
      <c r="CG9" s="54">
        <f t="shared" si="90"/>
        <v>5</v>
      </c>
      <c r="CH9" s="54">
        <f t="shared" si="91"/>
        <v>2</v>
      </c>
      <c r="CI9" s="54">
        <f t="shared" si="92"/>
        <v>5</v>
      </c>
      <c r="CJ9" s="54">
        <f t="shared" si="93"/>
        <v>2</v>
      </c>
      <c r="CK9" s="54">
        <f t="shared" si="94"/>
        <v>5</v>
      </c>
      <c r="CL9" s="54">
        <f t="shared" si="95"/>
        <v>2</v>
      </c>
      <c r="CM9" s="54">
        <f t="shared" si="96"/>
        <v>5</v>
      </c>
      <c r="CN9" s="54">
        <f t="shared" si="97"/>
        <v>2</v>
      </c>
      <c r="CO9" s="54">
        <f t="shared" si="98"/>
        <v>5</v>
      </c>
      <c r="CP9" s="54">
        <f t="shared" si="99"/>
        <v>2</v>
      </c>
      <c r="CQ9" s="54">
        <f t="shared" si="100"/>
        <v>5</v>
      </c>
      <c r="CR9" s="54">
        <f t="shared" si="101"/>
        <v>2</v>
      </c>
      <c r="CS9" s="54">
        <f t="shared" si="102"/>
        <v>5</v>
      </c>
      <c r="CT9" s="54">
        <f t="shared" si="103"/>
        <v>2</v>
      </c>
      <c r="CU9" s="54">
        <f t="shared" si="104"/>
        <v>5</v>
      </c>
      <c r="CV9" s="54">
        <f t="shared" si="105"/>
        <v>2</v>
      </c>
      <c r="CW9" s="54">
        <f t="shared" si="106"/>
        <v>5</v>
      </c>
      <c r="CX9" s="54">
        <f t="shared" si="107"/>
        <v>2</v>
      </c>
      <c r="CY9" s="54">
        <f t="shared" si="108"/>
        <v>5</v>
      </c>
      <c r="CZ9" s="54">
        <f t="shared" si="109"/>
        <v>2</v>
      </c>
      <c r="DA9" s="54">
        <f t="shared" si="110"/>
        <v>5</v>
      </c>
      <c r="DB9" s="54">
        <f t="shared" si="111"/>
        <v>2</v>
      </c>
      <c r="DC9" s="54">
        <f t="shared" si="112"/>
        <v>5</v>
      </c>
      <c r="DD9" s="54">
        <f t="shared" si="113"/>
        <v>2</v>
      </c>
      <c r="DE9" s="54">
        <f t="shared" si="114"/>
        <v>5</v>
      </c>
      <c r="DF9" s="54">
        <f t="shared" si="115"/>
        <v>2</v>
      </c>
      <c r="DG9" s="54">
        <f t="shared" si="116"/>
        <v>5</v>
      </c>
      <c r="DH9" s="54">
        <f t="shared" si="117"/>
        <v>2</v>
      </c>
      <c r="DI9" s="54">
        <f t="shared" si="118"/>
        <v>5</v>
      </c>
      <c r="DJ9" s="54">
        <f t="shared" si="119"/>
        <v>2</v>
      </c>
      <c r="DK9" s="54">
        <f t="shared" si="120"/>
        <v>5</v>
      </c>
      <c r="DL9" s="54">
        <f t="shared" si="121"/>
        <v>2</v>
      </c>
      <c r="DM9" s="54">
        <f t="shared" si="122"/>
        <v>5</v>
      </c>
      <c r="DN9" s="54">
        <f t="shared" si="123"/>
        <v>2</v>
      </c>
      <c r="DO9" s="54">
        <f t="shared" si="124"/>
        <v>5</v>
      </c>
      <c r="DP9" s="54">
        <f t="shared" si="125"/>
        <v>2</v>
      </c>
      <c r="DQ9" s="54">
        <f t="shared" si="126"/>
        <v>5</v>
      </c>
      <c r="DR9" s="54">
        <f t="shared" si="127"/>
        <v>2</v>
      </c>
      <c r="DS9" s="54">
        <f t="shared" si="128"/>
        <v>5</v>
      </c>
      <c r="DT9" s="54">
        <f t="shared" si="129"/>
        <v>2</v>
      </c>
      <c r="DU9" s="54">
        <f t="shared" si="130"/>
        <v>5</v>
      </c>
      <c r="DV9" s="54">
        <f t="shared" si="131"/>
        <v>2</v>
      </c>
      <c r="DW9" s="54">
        <f t="shared" si="132"/>
        <v>5</v>
      </c>
      <c r="DX9" s="54">
        <f t="shared" si="133"/>
        <v>2</v>
      </c>
      <c r="DY9" s="54">
        <f t="shared" si="134"/>
        <v>5</v>
      </c>
      <c r="DZ9" s="54">
        <f t="shared" si="135"/>
        <v>2</v>
      </c>
      <c r="EA9" s="54">
        <f t="shared" si="134"/>
        <v>5</v>
      </c>
      <c r="EB9" s="54">
        <f t="shared" si="135"/>
        <v>2</v>
      </c>
      <c r="EC9" s="54">
        <f t="shared" si="135"/>
        <v>5</v>
      </c>
      <c r="ED9" s="54">
        <f t="shared" si="136"/>
        <v>2</v>
      </c>
      <c r="EE9" s="54">
        <f t="shared" si="137"/>
        <v>5</v>
      </c>
      <c r="EF9" s="54">
        <f t="shared" si="138"/>
        <v>2</v>
      </c>
      <c r="EG9" s="54">
        <f t="shared" ref="EG9:EN9" si="142">EG8</f>
        <v>5</v>
      </c>
      <c r="EH9" s="54">
        <f t="shared" si="142"/>
        <v>2</v>
      </c>
      <c r="EI9" s="54">
        <f t="shared" si="142"/>
        <v>5</v>
      </c>
      <c r="EJ9" s="54">
        <f t="shared" si="142"/>
        <v>2</v>
      </c>
      <c r="EK9" s="54">
        <f t="shared" si="142"/>
        <v>5</v>
      </c>
      <c r="EL9" s="54">
        <f t="shared" si="142"/>
        <v>2</v>
      </c>
      <c r="EM9" s="54">
        <f t="shared" si="142"/>
        <v>5</v>
      </c>
      <c r="EN9" s="54">
        <f t="shared" si="142"/>
        <v>2</v>
      </c>
      <c r="EO9" s="54">
        <f t="shared" si="7"/>
        <v>2</v>
      </c>
      <c r="EP9" s="54">
        <f t="shared" si="8"/>
        <v>2</v>
      </c>
    </row>
    <row r="10" spans="1:147" x14ac:dyDescent="0.2">
      <c r="B10" t="s">
        <v>230</v>
      </c>
      <c r="C10" s="54">
        <f t="shared" si="9"/>
        <v>45474</v>
      </c>
      <c r="D10" s="54">
        <f t="shared" si="1"/>
        <v>1</v>
      </c>
      <c r="E10" s="54">
        <f t="shared" si="10"/>
        <v>4</v>
      </c>
      <c r="F10" s="54">
        <f t="shared" si="11"/>
        <v>2</v>
      </c>
      <c r="G10" s="54">
        <f t="shared" si="12"/>
        <v>5</v>
      </c>
      <c r="H10" s="54">
        <f t="shared" si="13"/>
        <v>2</v>
      </c>
      <c r="I10" s="54">
        <f t="shared" si="14"/>
        <v>5</v>
      </c>
      <c r="J10" s="54">
        <f t="shared" si="15"/>
        <v>2</v>
      </c>
      <c r="K10" s="54">
        <f t="shared" si="16"/>
        <v>5</v>
      </c>
      <c r="L10" s="54">
        <f t="shared" si="17"/>
        <v>2</v>
      </c>
      <c r="M10" s="54">
        <f t="shared" si="18"/>
        <v>5</v>
      </c>
      <c r="N10" s="54">
        <f t="shared" si="19"/>
        <v>2</v>
      </c>
      <c r="O10" s="54">
        <f t="shared" si="20"/>
        <v>5</v>
      </c>
      <c r="P10" s="54">
        <f t="shared" si="21"/>
        <v>2</v>
      </c>
      <c r="Q10" s="54">
        <f t="shared" si="22"/>
        <v>5</v>
      </c>
      <c r="R10" s="54">
        <f t="shared" si="23"/>
        <v>2</v>
      </c>
      <c r="S10" s="54">
        <f t="shared" si="24"/>
        <v>5</v>
      </c>
      <c r="T10" s="54">
        <f t="shared" si="25"/>
        <v>2</v>
      </c>
      <c r="U10" s="54">
        <f t="shared" si="26"/>
        <v>5</v>
      </c>
      <c r="V10" s="54">
        <f t="shared" si="27"/>
        <v>2</v>
      </c>
      <c r="W10" s="54">
        <f t="shared" si="28"/>
        <v>5</v>
      </c>
      <c r="X10" s="54">
        <f t="shared" si="29"/>
        <v>2</v>
      </c>
      <c r="Y10" s="54">
        <f t="shared" si="30"/>
        <v>5</v>
      </c>
      <c r="Z10" s="54">
        <f t="shared" si="31"/>
        <v>2</v>
      </c>
      <c r="AA10" s="54">
        <f t="shared" si="32"/>
        <v>5</v>
      </c>
      <c r="AB10" s="54">
        <f t="shared" si="33"/>
        <v>2</v>
      </c>
      <c r="AC10" s="54">
        <f t="shared" si="34"/>
        <v>5</v>
      </c>
      <c r="AD10" s="54">
        <f t="shared" si="35"/>
        <v>2</v>
      </c>
      <c r="AE10" s="54">
        <f t="shared" si="36"/>
        <v>5</v>
      </c>
      <c r="AF10" s="54">
        <f t="shared" si="37"/>
        <v>2</v>
      </c>
      <c r="AG10" s="54">
        <f t="shared" si="38"/>
        <v>5</v>
      </c>
      <c r="AH10" s="54">
        <f t="shared" si="39"/>
        <v>2</v>
      </c>
      <c r="AI10" s="54">
        <f t="shared" si="40"/>
        <v>5</v>
      </c>
      <c r="AJ10" s="54">
        <f t="shared" si="41"/>
        <v>2</v>
      </c>
      <c r="AK10" s="54">
        <f t="shared" si="42"/>
        <v>5</v>
      </c>
      <c r="AL10" s="54">
        <f t="shared" si="43"/>
        <v>2</v>
      </c>
      <c r="AM10" s="54">
        <f t="shared" si="44"/>
        <v>5</v>
      </c>
      <c r="AN10" s="54">
        <f t="shared" si="45"/>
        <v>2</v>
      </c>
      <c r="AO10" s="54">
        <f t="shared" si="46"/>
        <v>5</v>
      </c>
      <c r="AP10" s="54">
        <f t="shared" si="47"/>
        <v>2</v>
      </c>
      <c r="AQ10" s="54">
        <f t="shared" si="48"/>
        <v>5</v>
      </c>
      <c r="AR10" s="54">
        <f t="shared" si="49"/>
        <v>2</v>
      </c>
      <c r="AS10" s="54">
        <f t="shared" si="50"/>
        <v>5</v>
      </c>
      <c r="AT10" s="54">
        <f t="shared" si="51"/>
        <v>2</v>
      </c>
      <c r="AU10" s="54">
        <f t="shared" si="52"/>
        <v>5</v>
      </c>
      <c r="AV10" s="54">
        <f t="shared" si="53"/>
        <v>2</v>
      </c>
      <c r="AW10" s="54">
        <f t="shared" si="54"/>
        <v>5</v>
      </c>
      <c r="AX10" s="54">
        <f t="shared" si="55"/>
        <v>2</v>
      </c>
      <c r="AY10" s="54">
        <f t="shared" si="56"/>
        <v>5</v>
      </c>
      <c r="AZ10" s="54">
        <f t="shared" si="57"/>
        <v>2</v>
      </c>
      <c r="BA10" s="54">
        <f t="shared" si="58"/>
        <v>5</v>
      </c>
      <c r="BB10" s="54">
        <f t="shared" si="59"/>
        <v>2</v>
      </c>
      <c r="BC10" s="54">
        <f t="shared" si="60"/>
        <v>5</v>
      </c>
      <c r="BD10" s="54">
        <f t="shared" si="61"/>
        <v>2</v>
      </c>
      <c r="BE10" s="54">
        <f t="shared" si="62"/>
        <v>5</v>
      </c>
      <c r="BF10" s="54">
        <f t="shared" si="63"/>
        <v>2</v>
      </c>
      <c r="BG10" s="54">
        <f t="shared" si="64"/>
        <v>5</v>
      </c>
      <c r="BH10" s="54">
        <f t="shared" si="65"/>
        <v>2</v>
      </c>
      <c r="BI10" s="54">
        <f t="shared" si="66"/>
        <v>5</v>
      </c>
      <c r="BJ10" s="54">
        <f t="shared" si="67"/>
        <v>2</v>
      </c>
      <c r="BK10" s="54">
        <f t="shared" si="68"/>
        <v>5</v>
      </c>
      <c r="BL10" s="54">
        <f t="shared" si="69"/>
        <v>2</v>
      </c>
      <c r="BM10" s="54">
        <f t="shared" si="70"/>
        <v>5</v>
      </c>
      <c r="BN10" s="54">
        <f t="shared" si="71"/>
        <v>2</v>
      </c>
      <c r="BO10" s="54">
        <f t="shared" si="72"/>
        <v>5</v>
      </c>
      <c r="BP10" s="54">
        <f t="shared" si="73"/>
        <v>2</v>
      </c>
      <c r="BQ10" s="54">
        <f t="shared" si="74"/>
        <v>5</v>
      </c>
      <c r="BR10" s="54">
        <f t="shared" si="75"/>
        <v>2</v>
      </c>
      <c r="BS10" s="54">
        <f t="shared" si="76"/>
        <v>5</v>
      </c>
      <c r="BT10" s="54">
        <f t="shared" si="77"/>
        <v>2</v>
      </c>
      <c r="BU10" s="54">
        <f t="shared" si="78"/>
        <v>5</v>
      </c>
      <c r="BV10" s="54">
        <f t="shared" si="79"/>
        <v>2</v>
      </c>
      <c r="BW10" s="54">
        <f t="shared" si="80"/>
        <v>5</v>
      </c>
      <c r="BX10" s="54">
        <f t="shared" si="81"/>
        <v>2</v>
      </c>
      <c r="BY10" s="54">
        <f t="shared" si="82"/>
        <v>5</v>
      </c>
      <c r="BZ10" s="54">
        <f t="shared" si="83"/>
        <v>2</v>
      </c>
      <c r="CA10" s="54">
        <f t="shared" si="84"/>
        <v>5</v>
      </c>
      <c r="CB10" s="54">
        <f t="shared" si="85"/>
        <v>2</v>
      </c>
      <c r="CC10" s="54">
        <f t="shared" si="86"/>
        <v>5</v>
      </c>
      <c r="CD10" s="54">
        <f t="shared" si="87"/>
        <v>2</v>
      </c>
      <c r="CE10" s="54">
        <f t="shared" si="88"/>
        <v>5</v>
      </c>
      <c r="CF10" s="54">
        <f t="shared" si="89"/>
        <v>2</v>
      </c>
      <c r="CG10" s="54">
        <f t="shared" si="90"/>
        <v>5</v>
      </c>
      <c r="CH10" s="54">
        <f t="shared" si="91"/>
        <v>2</v>
      </c>
      <c r="CI10" s="54">
        <f t="shared" si="92"/>
        <v>5</v>
      </c>
      <c r="CJ10" s="54">
        <f t="shared" si="93"/>
        <v>2</v>
      </c>
      <c r="CK10" s="54">
        <f t="shared" si="94"/>
        <v>5</v>
      </c>
      <c r="CL10" s="54">
        <f t="shared" si="95"/>
        <v>2</v>
      </c>
      <c r="CM10" s="54">
        <f t="shared" si="96"/>
        <v>5</v>
      </c>
      <c r="CN10" s="54">
        <f t="shared" si="97"/>
        <v>2</v>
      </c>
      <c r="CO10" s="54">
        <f t="shared" si="98"/>
        <v>5</v>
      </c>
      <c r="CP10" s="54">
        <f t="shared" si="99"/>
        <v>2</v>
      </c>
      <c r="CQ10" s="54">
        <f t="shared" si="100"/>
        <v>5</v>
      </c>
      <c r="CR10" s="54">
        <f t="shared" si="101"/>
        <v>2</v>
      </c>
      <c r="CS10" s="54">
        <f t="shared" si="102"/>
        <v>5</v>
      </c>
      <c r="CT10" s="54">
        <f t="shared" si="103"/>
        <v>2</v>
      </c>
      <c r="CU10" s="54">
        <f t="shared" si="104"/>
        <v>5</v>
      </c>
      <c r="CV10" s="54">
        <f t="shared" si="105"/>
        <v>2</v>
      </c>
      <c r="CW10" s="54">
        <f t="shared" si="106"/>
        <v>5</v>
      </c>
      <c r="CX10" s="54">
        <f t="shared" si="107"/>
        <v>2</v>
      </c>
      <c r="CY10" s="54">
        <f t="shared" si="108"/>
        <v>5</v>
      </c>
      <c r="CZ10" s="54">
        <f t="shared" si="109"/>
        <v>2</v>
      </c>
      <c r="DA10" s="54">
        <f t="shared" si="110"/>
        <v>5</v>
      </c>
      <c r="DB10" s="54">
        <f t="shared" si="111"/>
        <v>2</v>
      </c>
      <c r="DC10" s="54">
        <f t="shared" si="112"/>
        <v>5</v>
      </c>
      <c r="DD10" s="54">
        <f t="shared" si="113"/>
        <v>2</v>
      </c>
      <c r="DE10" s="54">
        <f t="shared" si="114"/>
        <v>5</v>
      </c>
      <c r="DF10" s="54">
        <f t="shared" si="115"/>
        <v>2</v>
      </c>
      <c r="DG10" s="54">
        <f t="shared" si="116"/>
        <v>5</v>
      </c>
      <c r="DH10" s="54">
        <f t="shared" si="117"/>
        <v>2</v>
      </c>
      <c r="DI10" s="54">
        <f t="shared" si="118"/>
        <v>5</v>
      </c>
      <c r="DJ10" s="54">
        <f t="shared" si="119"/>
        <v>2</v>
      </c>
      <c r="DK10" s="54">
        <f t="shared" si="120"/>
        <v>5</v>
      </c>
      <c r="DL10" s="54">
        <f t="shared" si="121"/>
        <v>2</v>
      </c>
      <c r="DM10" s="54">
        <f t="shared" si="122"/>
        <v>5</v>
      </c>
      <c r="DN10" s="54">
        <f t="shared" si="123"/>
        <v>2</v>
      </c>
      <c r="DO10" s="54">
        <f t="shared" si="124"/>
        <v>5</v>
      </c>
      <c r="DP10" s="54">
        <f t="shared" si="125"/>
        <v>2</v>
      </c>
      <c r="DQ10" s="54">
        <f t="shared" si="126"/>
        <v>5</v>
      </c>
      <c r="DR10" s="54">
        <f t="shared" si="127"/>
        <v>2</v>
      </c>
      <c r="DS10" s="54">
        <f t="shared" si="128"/>
        <v>5</v>
      </c>
      <c r="DT10" s="54">
        <f t="shared" si="129"/>
        <v>2</v>
      </c>
      <c r="DU10" s="54">
        <f t="shared" si="130"/>
        <v>5</v>
      </c>
      <c r="DV10" s="54">
        <f t="shared" si="131"/>
        <v>2</v>
      </c>
      <c r="DW10" s="54">
        <f t="shared" si="132"/>
        <v>5</v>
      </c>
      <c r="DX10" s="54">
        <f t="shared" si="133"/>
        <v>2</v>
      </c>
      <c r="DY10" s="54">
        <f t="shared" si="134"/>
        <v>5</v>
      </c>
      <c r="DZ10" s="54">
        <f t="shared" si="135"/>
        <v>2</v>
      </c>
      <c r="EA10" s="54">
        <f t="shared" si="134"/>
        <v>5</v>
      </c>
      <c r="EB10" s="54">
        <f t="shared" si="135"/>
        <v>2</v>
      </c>
      <c r="EC10" s="54">
        <f t="shared" si="135"/>
        <v>5</v>
      </c>
      <c r="ED10" s="54">
        <f t="shared" si="136"/>
        <v>2</v>
      </c>
      <c r="EE10" s="54">
        <f t="shared" si="137"/>
        <v>5</v>
      </c>
      <c r="EF10" s="54">
        <f t="shared" si="138"/>
        <v>2</v>
      </c>
      <c r="EG10" s="54">
        <f t="shared" ref="EG10:EN10" si="143">EG9</f>
        <v>5</v>
      </c>
      <c r="EH10" s="54">
        <f t="shared" si="143"/>
        <v>2</v>
      </c>
      <c r="EI10" s="54">
        <f t="shared" si="143"/>
        <v>5</v>
      </c>
      <c r="EJ10" s="54">
        <f t="shared" si="143"/>
        <v>2</v>
      </c>
      <c r="EK10" s="54">
        <f t="shared" si="143"/>
        <v>5</v>
      </c>
      <c r="EL10" s="54">
        <f t="shared" si="143"/>
        <v>2</v>
      </c>
      <c r="EM10" s="54">
        <f t="shared" si="143"/>
        <v>5</v>
      </c>
      <c r="EN10" s="54">
        <f t="shared" si="143"/>
        <v>2</v>
      </c>
      <c r="EO10" s="54">
        <f t="shared" si="7"/>
        <v>2</v>
      </c>
      <c r="EP10" s="54">
        <f t="shared" si="8"/>
        <v>2</v>
      </c>
    </row>
    <row r="11" spans="1:147" x14ac:dyDescent="0.2">
      <c r="A11" s="54"/>
      <c r="B11" t="s">
        <v>230</v>
      </c>
      <c r="C11" s="54">
        <f t="shared" si="9"/>
        <v>45474</v>
      </c>
      <c r="D11" s="54">
        <f t="shared" si="1"/>
        <v>1</v>
      </c>
      <c r="E11" s="54">
        <f t="shared" si="10"/>
        <v>4</v>
      </c>
      <c r="F11" s="54">
        <f t="shared" si="11"/>
        <v>2</v>
      </c>
      <c r="G11" s="54">
        <f t="shared" si="12"/>
        <v>5</v>
      </c>
      <c r="H11" s="54">
        <f t="shared" si="13"/>
        <v>2</v>
      </c>
      <c r="I11" s="54">
        <f t="shared" si="14"/>
        <v>5</v>
      </c>
      <c r="J11" s="54">
        <f t="shared" si="15"/>
        <v>2</v>
      </c>
      <c r="K11" s="54">
        <f t="shared" si="16"/>
        <v>5</v>
      </c>
      <c r="L11" s="54">
        <f t="shared" si="17"/>
        <v>2</v>
      </c>
      <c r="M11" s="54">
        <f t="shared" si="18"/>
        <v>5</v>
      </c>
      <c r="N11" s="54">
        <f t="shared" si="19"/>
        <v>2</v>
      </c>
      <c r="O11" s="54">
        <f t="shared" si="20"/>
        <v>5</v>
      </c>
      <c r="P11" s="54">
        <f t="shared" si="21"/>
        <v>2</v>
      </c>
      <c r="Q11" s="54">
        <f t="shared" si="22"/>
        <v>5</v>
      </c>
      <c r="R11" s="54">
        <f t="shared" si="23"/>
        <v>2</v>
      </c>
      <c r="S11" s="54">
        <f t="shared" si="24"/>
        <v>5</v>
      </c>
      <c r="T11" s="54">
        <f t="shared" si="25"/>
        <v>2</v>
      </c>
      <c r="U11" s="54">
        <f t="shared" si="26"/>
        <v>5</v>
      </c>
      <c r="V11" s="54">
        <f t="shared" si="27"/>
        <v>2</v>
      </c>
      <c r="W11" s="54">
        <f t="shared" si="28"/>
        <v>5</v>
      </c>
      <c r="X11" s="54">
        <f t="shared" si="29"/>
        <v>2</v>
      </c>
      <c r="Y11" s="54">
        <f t="shared" si="30"/>
        <v>5</v>
      </c>
      <c r="Z11" s="54">
        <f t="shared" si="31"/>
        <v>2</v>
      </c>
      <c r="AA11" s="54">
        <f t="shared" si="32"/>
        <v>5</v>
      </c>
      <c r="AB11" s="54">
        <f t="shared" si="33"/>
        <v>2</v>
      </c>
      <c r="AC11" s="54">
        <f t="shared" si="34"/>
        <v>5</v>
      </c>
      <c r="AD11" s="54">
        <f t="shared" si="35"/>
        <v>2</v>
      </c>
      <c r="AE11" s="54">
        <f t="shared" si="36"/>
        <v>5</v>
      </c>
      <c r="AF11" s="54">
        <f t="shared" si="37"/>
        <v>2</v>
      </c>
      <c r="AG11" s="54">
        <f t="shared" si="38"/>
        <v>5</v>
      </c>
      <c r="AH11" s="54">
        <f t="shared" si="39"/>
        <v>2</v>
      </c>
      <c r="AI11" s="54">
        <f t="shared" si="40"/>
        <v>5</v>
      </c>
      <c r="AJ11" s="54">
        <f t="shared" si="41"/>
        <v>2</v>
      </c>
      <c r="AK11" s="54">
        <f t="shared" si="42"/>
        <v>5</v>
      </c>
      <c r="AL11" s="54">
        <f t="shared" si="43"/>
        <v>2</v>
      </c>
      <c r="AM11" s="54">
        <f t="shared" si="44"/>
        <v>5</v>
      </c>
      <c r="AN11" s="54">
        <f t="shared" si="45"/>
        <v>2</v>
      </c>
      <c r="AO11" s="54">
        <f t="shared" si="46"/>
        <v>5</v>
      </c>
      <c r="AP11" s="54">
        <f t="shared" si="47"/>
        <v>2</v>
      </c>
      <c r="AQ11" s="54">
        <f t="shared" si="48"/>
        <v>5</v>
      </c>
      <c r="AR11" s="54">
        <f t="shared" si="49"/>
        <v>2</v>
      </c>
      <c r="AS11" s="54">
        <f t="shared" si="50"/>
        <v>5</v>
      </c>
      <c r="AT11" s="54">
        <f t="shared" si="51"/>
        <v>2</v>
      </c>
      <c r="AU11" s="54">
        <f t="shared" si="52"/>
        <v>5</v>
      </c>
      <c r="AV11" s="54">
        <f t="shared" si="53"/>
        <v>2</v>
      </c>
      <c r="AW11" s="54">
        <f t="shared" si="54"/>
        <v>5</v>
      </c>
      <c r="AX11" s="54">
        <f t="shared" si="55"/>
        <v>2</v>
      </c>
      <c r="AY11" s="54">
        <f t="shared" si="56"/>
        <v>5</v>
      </c>
      <c r="AZ11" s="54">
        <f t="shared" si="57"/>
        <v>2</v>
      </c>
      <c r="BA11" s="54">
        <f t="shared" si="58"/>
        <v>5</v>
      </c>
      <c r="BB11" s="54">
        <f t="shared" si="59"/>
        <v>2</v>
      </c>
      <c r="BC11" s="54">
        <f t="shared" si="60"/>
        <v>5</v>
      </c>
      <c r="BD11" s="54">
        <f t="shared" si="61"/>
        <v>2</v>
      </c>
      <c r="BE11" s="54">
        <f t="shared" si="62"/>
        <v>5</v>
      </c>
      <c r="BF11" s="54">
        <f t="shared" si="63"/>
        <v>2</v>
      </c>
      <c r="BG11" s="54">
        <f t="shared" si="64"/>
        <v>5</v>
      </c>
      <c r="BH11" s="54">
        <f t="shared" si="65"/>
        <v>2</v>
      </c>
      <c r="BI11" s="54">
        <f t="shared" si="66"/>
        <v>5</v>
      </c>
      <c r="BJ11" s="54">
        <f t="shared" si="67"/>
        <v>2</v>
      </c>
      <c r="BK11" s="54">
        <f t="shared" si="68"/>
        <v>5</v>
      </c>
      <c r="BL11" s="54">
        <f t="shared" si="69"/>
        <v>2</v>
      </c>
      <c r="BM11" s="54">
        <f t="shared" si="70"/>
        <v>5</v>
      </c>
      <c r="BN11" s="54">
        <f t="shared" si="71"/>
        <v>2</v>
      </c>
      <c r="BO11" s="54">
        <f t="shared" si="72"/>
        <v>5</v>
      </c>
      <c r="BP11" s="54">
        <f t="shared" si="73"/>
        <v>2</v>
      </c>
      <c r="BQ11" s="54">
        <f t="shared" si="74"/>
        <v>5</v>
      </c>
      <c r="BR11" s="54">
        <f t="shared" si="75"/>
        <v>2</v>
      </c>
      <c r="BS11" s="54">
        <f t="shared" si="76"/>
        <v>5</v>
      </c>
      <c r="BT11" s="54">
        <f t="shared" si="77"/>
        <v>2</v>
      </c>
      <c r="BU11" s="54">
        <f t="shared" si="78"/>
        <v>5</v>
      </c>
      <c r="BV11" s="54">
        <f t="shared" si="79"/>
        <v>2</v>
      </c>
      <c r="BW11" s="54">
        <f t="shared" si="80"/>
        <v>5</v>
      </c>
      <c r="BX11" s="54">
        <f t="shared" si="81"/>
        <v>2</v>
      </c>
      <c r="BY11" s="54">
        <f t="shared" si="82"/>
        <v>5</v>
      </c>
      <c r="BZ11" s="54">
        <f t="shared" si="83"/>
        <v>2</v>
      </c>
      <c r="CA11" s="54">
        <f t="shared" si="84"/>
        <v>5</v>
      </c>
      <c r="CB11" s="54">
        <f t="shared" si="85"/>
        <v>2</v>
      </c>
      <c r="CC11" s="54">
        <f t="shared" si="86"/>
        <v>5</v>
      </c>
      <c r="CD11" s="54">
        <f t="shared" si="87"/>
        <v>2</v>
      </c>
      <c r="CE11" s="54">
        <f t="shared" si="88"/>
        <v>5</v>
      </c>
      <c r="CF11" s="54">
        <f t="shared" si="89"/>
        <v>2</v>
      </c>
      <c r="CG11" s="54">
        <f t="shared" si="90"/>
        <v>5</v>
      </c>
      <c r="CH11" s="54">
        <f t="shared" si="91"/>
        <v>2</v>
      </c>
      <c r="CI11" s="54">
        <f t="shared" si="92"/>
        <v>5</v>
      </c>
      <c r="CJ11" s="54">
        <f t="shared" si="93"/>
        <v>2</v>
      </c>
      <c r="CK11" s="54">
        <f t="shared" si="94"/>
        <v>5</v>
      </c>
      <c r="CL11" s="54">
        <f t="shared" si="95"/>
        <v>2</v>
      </c>
      <c r="CM11" s="54">
        <f t="shared" si="96"/>
        <v>5</v>
      </c>
      <c r="CN11" s="54">
        <f t="shared" si="97"/>
        <v>2</v>
      </c>
      <c r="CO11" s="54">
        <f t="shared" si="98"/>
        <v>5</v>
      </c>
      <c r="CP11" s="54">
        <f t="shared" si="99"/>
        <v>2</v>
      </c>
      <c r="CQ11" s="54">
        <f t="shared" si="100"/>
        <v>5</v>
      </c>
      <c r="CR11" s="54">
        <f t="shared" si="101"/>
        <v>2</v>
      </c>
      <c r="CS11" s="54">
        <f t="shared" si="102"/>
        <v>5</v>
      </c>
      <c r="CT11" s="54">
        <f t="shared" si="103"/>
        <v>2</v>
      </c>
      <c r="CU11" s="54">
        <f t="shared" si="104"/>
        <v>5</v>
      </c>
      <c r="CV11" s="54">
        <f t="shared" si="105"/>
        <v>2</v>
      </c>
      <c r="CW11" s="54">
        <f t="shared" si="106"/>
        <v>5</v>
      </c>
      <c r="CX11" s="54">
        <f t="shared" si="107"/>
        <v>2</v>
      </c>
      <c r="CY11" s="54">
        <f t="shared" si="108"/>
        <v>5</v>
      </c>
      <c r="CZ11" s="54">
        <f t="shared" si="109"/>
        <v>2</v>
      </c>
      <c r="DA11" s="54">
        <f t="shared" si="110"/>
        <v>5</v>
      </c>
      <c r="DB11" s="54">
        <f t="shared" si="111"/>
        <v>2</v>
      </c>
      <c r="DC11" s="54">
        <f t="shared" si="112"/>
        <v>5</v>
      </c>
      <c r="DD11" s="54">
        <f t="shared" si="113"/>
        <v>2</v>
      </c>
      <c r="DE11" s="54">
        <f t="shared" si="114"/>
        <v>5</v>
      </c>
      <c r="DF11" s="54">
        <f t="shared" si="115"/>
        <v>2</v>
      </c>
      <c r="DG11" s="54">
        <f t="shared" si="116"/>
        <v>5</v>
      </c>
      <c r="DH11" s="54">
        <f t="shared" si="117"/>
        <v>2</v>
      </c>
      <c r="DI11" s="54">
        <f t="shared" si="118"/>
        <v>5</v>
      </c>
      <c r="DJ11" s="54">
        <f t="shared" si="119"/>
        <v>2</v>
      </c>
      <c r="DK11" s="54">
        <f t="shared" si="120"/>
        <v>5</v>
      </c>
      <c r="DL11" s="54">
        <f t="shared" si="121"/>
        <v>2</v>
      </c>
      <c r="DM11" s="54">
        <f t="shared" si="122"/>
        <v>5</v>
      </c>
      <c r="DN11" s="54">
        <f t="shared" si="123"/>
        <v>2</v>
      </c>
      <c r="DO11" s="54">
        <f t="shared" si="124"/>
        <v>5</v>
      </c>
      <c r="DP11" s="54">
        <f t="shared" si="125"/>
        <v>2</v>
      </c>
      <c r="DQ11" s="54">
        <f t="shared" si="126"/>
        <v>5</v>
      </c>
      <c r="DR11" s="54">
        <f t="shared" si="127"/>
        <v>2</v>
      </c>
      <c r="DS11" s="54">
        <f t="shared" si="128"/>
        <v>5</v>
      </c>
      <c r="DT11" s="54">
        <f t="shared" si="129"/>
        <v>2</v>
      </c>
      <c r="DU11" s="54">
        <f t="shared" si="130"/>
        <v>5</v>
      </c>
      <c r="DV11" s="54">
        <f t="shared" si="131"/>
        <v>2</v>
      </c>
      <c r="DW11" s="54">
        <f t="shared" si="132"/>
        <v>5</v>
      </c>
      <c r="DX11" s="54">
        <f t="shared" si="133"/>
        <v>2</v>
      </c>
      <c r="DY11" s="54">
        <f t="shared" si="134"/>
        <v>5</v>
      </c>
      <c r="DZ11" s="54">
        <f t="shared" si="135"/>
        <v>2</v>
      </c>
      <c r="EA11" s="54">
        <f t="shared" si="134"/>
        <v>5</v>
      </c>
      <c r="EB11" s="54">
        <f t="shared" si="135"/>
        <v>2</v>
      </c>
      <c r="EC11" s="54">
        <f t="shared" si="135"/>
        <v>5</v>
      </c>
      <c r="ED11" s="54">
        <f t="shared" si="136"/>
        <v>2</v>
      </c>
      <c r="EE11" s="54">
        <f t="shared" si="137"/>
        <v>5</v>
      </c>
      <c r="EF11" s="54">
        <f t="shared" si="138"/>
        <v>2</v>
      </c>
      <c r="EG11" s="54">
        <f t="shared" ref="EG11:EN11" si="144">EG10</f>
        <v>5</v>
      </c>
      <c r="EH11" s="54">
        <f t="shared" si="144"/>
        <v>2</v>
      </c>
      <c r="EI11" s="54">
        <f t="shared" si="144"/>
        <v>5</v>
      </c>
      <c r="EJ11" s="54">
        <f t="shared" si="144"/>
        <v>2</v>
      </c>
      <c r="EK11" s="54">
        <f t="shared" si="144"/>
        <v>5</v>
      </c>
      <c r="EL11" s="54">
        <f t="shared" si="144"/>
        <v>2</v>
      </c>
      <c r="EM11" s="54">
        <f t="shared" si="144"/>
        <v>5</v>
      </c>
      <c r="EN11" s="54">
        <f t="shared" si="144"/>
        <v>2</v>
      </c>
      <c r="EO11" s="54">
        <f t="shared" si="7"/>
        <v>2</v>
      </c>
      <c r="EP11" s="54">
        <f t="shared" si="8"/>
        <v>2</v>
      </c>
    </row>
    <row r="12" spans="1:147" x14ac:dyDescent="0.2">
      <c r="B12" t="s">
        <v>230</v>
      </c>
      <c r="C12" s="54">
        <f t="shared" si="9"/>
        <v>45474</v>
      </c>
      <c r="D12" s="54">
        <f t="shared" si="1"/>
        <v>1</v>
      </c>
      <c r="E12" s="54">
        <f t="shared" si="10"/>
        <v>4</v>
      </c>
      <c r="F12" s="54">
        <f t="shared" si="11"/>
        <v>2</v>
      </c>
      <c r="G12" s="54">
        <f t="shared" si="12"/>
        <v>5</v>
      </c>
      <c r="H12" s="54">
        <f t="shared" si="13"/>
        <v>2</v>
      </c>
      <c r="I12" s="54">
        <f t="shared" si="14"/>
        <v>5</v>
      </c>
      <c r="J12" s="54">
        <f t="shared" si="15"/>
        <v>2</v>
      </c>
      <c r="K12" s="54">
        <f t="shared" si="16"/>
        <v>5</v>
      </c>
      <c r="L12" s="54">
        <f t="shared" si="17"/>
        <v>2</v>
      </c>
      <c r="M12" s="54">
        <f t="shared" si="18"/>
        <v>5</v>
      </c>
      <c r="N12" s="54">
        <f t="shared" si="19"/>
        <v>2</v>
      </c>
      <c r="O12" s="54">
        <f t="shared" si="20"/>
        <v>5</v>
      </c>
      <c r="P12" s="54">
        <f t="shared" si="21"/>
        <v>2</v>
      </c>
      <c r="Q12" s="54">
        <f t="shared" si="22"/>
        <v>5</v>
      </c>
      <c r="R12" s="54">
        <f t="shared" si="23"/>
        <v>2</v>
      </c>
      <c r="S12" s="54">
        <f t="shared" si="24"/>
        <v>5</v>
      </c>
      <c r="T12" s="54">
        <f t="shared" si="25"/>
        <v>2</v>
      </c>
      <c r="U12" s="54">
        <f t="shared" si="26"/>
        <v>5</v>
      </c>
      <c r="V12" s="54">
        <f t="shared" si="27"/>
        <v>2</v>
      </c>
      <c r="W12" s="54">
        <f t="shared" si="28"/>
        <v>5</v>
      </c>
      <c r="X12" s="54">
        <f t="shared" si="29"/>
        <v>2</v>
      </c>
      <c r="Y12" s="54">
        <f t="shared" si="30"/>
        <v>5</v>
      </c>
      <c r="Z12" s="54">
        <f t="shared" si="31"/>
        <v>2</v>
      </c>
      <c r="AA12" s="54">
        <f t="shared" si="32"/>
        <v>5</v>
      </c>
      <c r="AB12" s="54">
        <f t="shared" si="33"/>
        <v>2</v>
      </c>
      <c r="AC12" s="54">
        <f t="shared" si="34"/>
        <v>5</v>
      </c>
      <c r="AD12" s="54">
        <f t="shared" si="35"/>
        <v>2</v>
      </c>
      <c r="AE12" s="54">
        <f t="shared" si="36"/>
        <v>5</v>
      </c>
      <c r="AF12" s="54">
        <f t="shared" si="37"/>
        <v>2</v>
      </c>
      <c r="AG12" s="54">
        <f t="shared" si="38"/>
        <v>5</v>
      </c>
      <c r="AH12" s="54">
        <f t="shared" si="39"/>
        <v>2</v>
      </c>
      <c r="AI12" s="54">
        <f t="shared" si="40"/>
        <v>5</v>
      </c>
      <c r="AJ12" s="54">
        <f t="shared" si="41"/>
        <v>2</v>
      </c>
      <c r="AK12" s="54">
        <f t="shared" si="42"/>
        <v>5</v>
      </c>
      <c r="AL12" s="54">
        <f t="shared" si="43"/>
        <v>2</v>
      </c>
      <c r="AM12" s="54">
        <f t="shared" si="44"/>
        <v>5</v>
      </c>
      <c r="AN12" s="54">
        <f t="shared" si="45"/>
        <v>2</v>
      </c>
      <c r="AO12" s="54">
        <f t="shared" si="46"/>
        <v>5</v>
      </c>
      <c r="AP12" s="54">
        <f t="shared" si="47"/>
        <v>2</v>
      </c>
      <c r="AQ12" s="54">
        <f t="shared" si="48"/>
        <v>5</v>
      </c>
      <c r="AR12" s="54">
        <f t="shared" si="49"/>
        <v>2</v>
      </c>
      <c r="AS12" s="54">
        <f t="shared" si="50"/>
        <v>5</v>
      </c>
      <c r="AT12" s="54">
        <f t="shared" si="51"/>
        <v>2</v>
      </c>
      <c r="AU12" s="54">
        <f t="shared" si="52"/>
        <v>5</v>
      </c>
      <c r="AV12" s="54">
        <f t="shared" si="53"/>
        <v>2</v>
      </c>
      <c r="AW12" s="54">
        <f t="shared" si="54"/>
        <v>5</v>
      </c>
      <c r="AX12" s="54">
        <f t="shared" si="55"/>
        <v>2</v>
      </c>
      <c r="AY12" s="54">
        <f t="shared" si="56"/>
        <v>5</v>
      </c>
      <c r="AZ12" s="54">
        <f t="shared" si="57"/>
        <v>2</v>
      </c>
      <c r="BA12" s="54">
        <f t="shared" si="58"/>
        <v>5</v>
      </c>
      <c r="BB12" s="54">
        <f t="shared" si="59"/>
        <v>2</v>
      </c>
      <c r="BC12" s="54">
        <f t="shared" si="60"/>
        <v>5</v>
      </c>
      <c r="BD12" s="54">
        <f t="shared" si="61"/>
        <v>2</v>
      </c>
      <c r="BE12" s="54">
        <f t="shared" si="62"/>
        <v>5</v>
      </c>
      <c r="BF12" s="54">
        <f t="shared" si="63"/>
        <v>2</v>
      </c>
      <c r="BG12" s="54">
        <f t="shared" si="64"/>
        <v>5</v>
      </c>
      <c r="BH12" s="54">
        <f t="shared" si="65"/>
        <v>2</v>
      </c>
      <c r="BI12" s="54">
        <f t="shared" si="66"/>
        <v>5</v>
      </c>
      <c r="BJ12" s="54">
        <f t="shared" si="67"/>
        <v>2</v>
      </c>
      <c r="BK12" s="54">
        <f t="shared" si="68"/>
        <v>5</v>
      </c>
      <c r="BL12" s="54">
        <f t="shared" si="69"/>
        <v>2</v>
      </c>
      <c r="BM12" s="54">
        <f t="shared" si="70"/>
        <v>5</v>
      </c>
      <c r="BN12" s="54">
        <f t="shared" si="71"/>
        <v>2</v>
      </c>
      <c r="BO12" s="54">
        <f t="shared" si="72"/>
        <v>5</v>
      </c>
      <c r="BP12" s="54">
        <f t="shared" si="73"/>
        <v>2</v>
      </c>
      <c r="BQ12" s="54">
        <f t="shared" si="74"/>
        <v>5</v>
      </c>
      <c r="BR12" s="54">
        <f t="shared" si="75"/>
        <v>2</v>
      </c>
      <c r="BS12" s="54">
        <f t="shared" si="76"/>
        <v>5</v>
      </c>
      <c r="BT12" s="54">
        <f t="shared" si="77"/>
        <v>2</v>
      </c>
      <c r="BU12" s="54">
        <f t="shared" si="78"/>
        <v>5</v>
      </c>
      <c r="BV12" s="54">
        <f t="shared" si="79"/>
        <v>2</v>
      </c>
      <c r="BW12" s="54">
        <f t="shared" si="80"/>
        <v>5</v>
      </c>
      <c r="BX12" s="54">
        <f t="shared" si="81"/>
        <v>2</v>
      </c>
      <c r="BY12" s="54">
        <f t="shared" si="82"/>
        <v>5</v>
      </c>
      <c r="BZ12" s="54">
        <f t="shared" si="83"/>
        <v>2</v>
      </c>
      <c r="CA12" s="54">
        <f t="shared" si="84"/>
        <v>5</v>
      </c>
      <c r="CB12" s="54">
        <f t="shared" si="85"/>
        <v>2</v>
      </c>
      <c r="CC12" s="54">
        <f t="shared" si="86"/>
        <v>5</v>
      </c>
      <c r="CD12" s="54">
        <f t="shared" si="87"/>
        <v>2</v>
      </c>
      <c r="CE12" s="54">
        <f t="shared" si="88"/>
        <v>5</v>
      </c>
      <c r="CF12" s="54">
        <f t="shared" si="89"/>
        <v>2</v>
      </c>
      <c r="CG12" s="54">
        <f t="shared" si="90"/>
        <v>5</v>
      </c>
      <c r="CH12" s="54">
        <f t="shared" si="91"/>
        <v>2</v>
      </c>
      <c r="CI12" s="54">
        <f t="shared" si="92"/>
        <v>5</v>
      </c>
      <c r="CJ12" s="54">
        <f t="shared" si="93"/>
        <v>2</v>
      </c>
      <c r="CK12" s="54">
        <f t="shared" si="94"/>
        <v>5</v>
      </c>
      <c r="CL12" s="54">
        <f t="shared" si="95"/>
        <v>2</v>
      </c>
      <c r="CM12" s="54">
        <f t="shared" si="96"/>
        <v>5</v>
      </c>
      <c r="CN12" s="54">
        <f t="shared" si="97"/>
        <v>2</v>
      </c>
      <c r="CO12" s="54">
        <f t="shared" si="98"/>
        <v>5</v>
      </c>
      <c r="CP12" s="54">
        <f t="shared" si="99"/>
        <v>2</v>
      </c>
      <c r="CQ12" s="54">
        <f t="shared" si="100"/>
        <v>5</v>
      </c>
      <c r="CR12" s="54">
        <f t="shared" si="101"/>
        <v>2</v>
      </c>
      <c r="CS12" s="54">
        <f t="shared" si="102"/>
        <v>5</v>
      </c>
      <c r="CT12" s="54">
        <f t="shared" si="103"/>
        <v>2</v>
      </c>
      <c r="CU12" s="54">
        <f t="shared" si="104"/>
        <v>5</v>
      </c>
      <c r="CV12" s="54">
        <f t="shared" si="105"/>
        <v>2</v>
      </c>
      <c r="CW12" s="54">
        <f t="shared" si="106"/>
        <v>5</v>
      </c>
      <c r="CX12" s="54">
        <f t="shared" si="107"/>
        <v>2</v>
      </c>
      <c r="CY12" s="54">
        <f t="shared" si="108"/>
        <v>5</v>
      </c>
      <c r="CZ12" s="54">
        <f t="shared" si="109"/>
        <v>2</v>
      </c>
      <c r="DA12" s="54">
        <f t="shared" si="110"/>
        <v>5</v>
      </c>
      <c r="DB12" s="54">
        <f t="shared" si="111"/>
        <v>2</v>
      </c>
      <c r="DC12" s="54">
        <f t="shared" si="112"/>
        <v>5</v>
      </c>
      <c r="DD12" s="54">
        <f t="shared" si="113"/>
        <v>2</v>
      </c>
      <c r="DE12" s="54">
        <f t="shared" si="114"/>
        <v>5</v>
      </c>
      <c r="DF12" s="54">
        <f t="shared" si="115"/>
        <v>2</v>
      </c>
      <c r="DG12" s="54">
        <f t="shared" si="116"/>
        <v>5</v>
      </c>
      <c r="DH12" s="54">
        <f t="shared" si="117"/>
        <v>2</v>
      </c>
      <c r="DI12" s="54">
        <f t="shared" si="118"/>
        <v>5</v>
      </c>
      <c r="DJ12" s="54">
        <f t="shared" si="119"/>
        <v>2</v>
      </c>
      <c r="DK12" s="54">
        <f t="shared" si="120"/>
        <v>5</v>
      </c>
      <c r="DL12" s="54">
        <f t="shared" si="121"/>
        <v>2</v>
      </c>
      <c r="DM12" s="54">
        <f t="shared" si="122"/>
        <v>5</v>
      </c>
      <c r="DN12" s="54">
        <f t="shared" si="123"/>
        <v>2</v>
      </c>
      <c r="DO12" s="54">
        <f t="shared" si="124"/>
        <v>5</v>
      </c>
      <c r="DP12" s="54">
        <f t="shared" si="125"/>
        <v>2</v>
      </c>
      <c r="DQ12" s="54">
        <f t="shared" si="126"/>
        <v>5</v>
      </c>
      <c r="DR12" s="54">
        <f t="shared" si="127"/>
        <v>2</v>
      </c>
      <c r="DS12" s="54">
        <f t="shared" si="128"/>
        <v>5</v>
      </c>
      <c r="DT12" s="54">
        <f t="shared" si="129"/>
        <v>2</v>
      </c>
      <c r="DU12" s="54">
        <f t="shared" si="130"/>
        <v>5</v>
      </c>
      <c r="DV12" s="54">
        <f t="shared" si="131"/>
        <v>2</v>
      </c>
      <c r="DW12" s="54">
        <f t="shared" si="132"/>
        <v>5</v>
      </c>
      <c r="DX12" s="54">
        <f t="shared" si="133"/>
        <v>2</v>
      </c>
      <c r="DY12" s="54">
        <f t="shared" si="134"/>
        <v>5</v>
      </c>
      <c r="DZ12" s="54">
        <f t="shared" si="135"/>
        <v>2</v>
      </c>
      <c r="EA12" s="54">
        <f t="shared" si="134"/>
        <v>5</v>
      </c>
      <c r="EB12" s="54">
        <f t="shared" si="135"/>
        <v>2</v>
      </c>
      <c r="EC12" s="54">
        <f t="shared" si="135"/>
        <v>5</v>
      </c>
      <c r="ED12" s="54">
        <f t="shared" si="136"/>
        <v>2</v>
      </c>
      <c r="EE12" s="54">
        <f t="shared" si="137"/>
        <v>5</v>
      </c>
      <c r="EF12" s="54">
        <f t="shared" si="138"/>
        <v>2</v>
      </c>
      <c r="EG12" s="54">
        <f t="shared" ref="EG12:EN12" si="145">EG11</f>
        <v>5</v>
      </c>
      <c r="EH12" s="54">
        <f t="shared" si="145"/>
        <v>2</v>
      </c>
      <c r="EI12" s="54">
        <f t="shared" si="145"/>
        <v>5</v>
      </c>
      <c r="EJ12" s="54">
        <f t="shared" si="145"/>
        <v>2</v>
      </c>
      <c r="EK12" s="54">
        <f t="shared" si="145"/>
        <v>5</v>
      </c>
      <c r="EL12" s="54">
        <f t="shared" si="145"/>
        <v>2</v>
      </c>
      <c r="EM12" s="54">
        <f t="shared" si="145"/>
        <v>5</v>
      </c>
      <c r="EN12" s="54">
        <f t="shared" si="145"/>
        <v>2</v>
      </c>
      <c r="EO12" s="54">
        <f t="shared" si="7"/>
        <v>2</v>
      </c>
      <c r="EP12" s="54">
        <f t="shared" si="8"/>
        <v>2</v>
      </c>
    </row>
    <row r="13" spans="1:147" x14ac:dyDescent="0.2">
      <c r="B13" t="s">
        <v>230</v>
      </c>
      <c r="C13" s="54">
        <f t="shared" si="9"/>
        <v>45474</v>
      </c>
      <c r="D13" s="54">
        <f t="shared" si="1"/>
        <v>1</v>
      </c>
      <c r="E13" s="54">
        <f t="shared" si="10"/>
        <v>4</v>
      </c>
      <c r="F13" s="54">
        <f t="shared" si="11"/>
        <v>2</v>
      </c>
      <c r="G13" s="54">
        <f t="shared" si="12"/>
        <v>5</v>
      </c>
      <c r="H13" s="54">
        <f t="shared" si="13"/>
        <v>2</v>
      </c>
      <c r="I13" s="54">
        <f t="shared" si="14"/>
        <v>5</v>
      </c>
      <c r="J13" s="54">
        <f t="shared" si="15"/>
        <v>2</v>
      </c>
      <c r="K13" s="54">
        <f t="shared" si="16"/>
        <v>5</v>
      </c>
      <c r="L13" s="54">
        <f t="shared" si="17"/>
        <v>2</v>
      </c>
      <c r="M13" s="54">
        <f t="shared" si="18"/>
        <v>5</v>
      </c>
      <c r="N13" s="54">
        <f t="shared" si="19"/>
        <v>2</v>
      </c>
      <c r="O13" s="54">
        <f t="shared" si="20"/>
        <v>5</v>
      </c>
      <c r="P13" s="54">
        <f t="shared" si="21"/>
        <v>2</v>
      </c>
      <c r="Q13" s="54">
        <f t="shared" si="22"/>
        <v>5</v>
      </c>
      <c r="R13" s="54">
        <f t="shared" si="23"/>
        <v>2</v>
      </c>
      <c r="S13" s="54">
        <f t="shared" si="24"/>
        <v>5</v>
      </c>
      <c r="T13" s="54">
        <f t="shared" si="25"/>
        <v>2</v>
      </c>
      <c r="U13" s="54">
        <f t="shared" si="26"/>
        <v>5</v>
      </c>
      <c r="V13" s="54">
        <f t="shared" si="27"/>
        <v>2</v>
      </c>
      <c r="W13" s="54">
        <f t="shared" si="28"/>
        <v>5</v>
      </c>
      <c r="X13" s="54">
        <f t="shared" si="29"/>
        <v>2</v>
      </c>
      <c r="Y13" s="54">
        <f t="shared" si="30"/>
        <v>5</v>
      </c>
      <c r="Z13" s="54">
        <f t="shared" si="31"/>
        <v>2</v>
      </c>
      <c r="AA13" s="54">
        <f t="shared" si="32"/>
        <v>5</v>
      </c>
      <c r="AB13" s="54">
        <f t="shared" si="33"/>
        <v>2</v>
      </c>
      <c r="AC13" s="54">
        <f t="shared" si="34"/>
        <v>5</v>
      </c>
      <c r="AD13" s="54">
        <f t="shared" si="35"/>
        <v>2</v>
      </c>
      <c r="AE13" s="54">
        <f t="shared" si="36"/>
        <v>5</v>
      </c>
      <c r="AF13" s="54">
        <f t="shared" si="37"/>
        <v>2</v>
      </c>
      <c r="AG13" s="54">
        <f t="shared" si="38"/>
        <v>5</v>
      </c>
      <c r="AH13" s="54">
        <f t="shared" si="39"/>
        <v>2</v>
      </c>
      <c r="AI13" s="54">
        <f t="shared" si="40"/>
        <v>5</v>
      </c>
      <c r="AJ13" s="54">
        <f t="shared" si="41"/>
        <v>2</v>
      </c>
      <c r="AK13" s="54">
        <f t="shared" si="42"/>
        <v>5</v>
      </c>
      <c r="AL13" s="54">
        <f t="shared" si="43"/>
        <v>2</v>
      </c>
      <c r="AM13" s="54">
        <f t="shared" si="44"/>
        <v>5</v>
      </c>
      <c r="AN13" s="54">
        <f t="shared" si="45"/>
        <v>2</v>
      </c>
      <c r="AO13" s="54">
        <f t="shared" si="46"/>
        <v>5</v>
      </c>
      <c r="AP13" s="54">
        <f t="shared" si="47"/>
        <v>2</v>
      </c>
      <c r="AQ13" s="54">
        <f t="shared" si="48"/>
        <v>5</v>
      </c>
      <c r="AR13" s="54">
        <f t="shared" si="49"/>
        <v>2</v>
      </c>
      <c r="AS13" s="54">
        <f t="shared" si="50"/>
        <v>5</v>
      </c>
      <c r="AT13" s="54">
        <f t="shared" si="51"/>
        <v>2</v>
      </c>
      <c r="AU13" s="54">
        <f t="shared" si="52"/>
        <v>5</v>
      </c>
      <c r="AV13" s="54">
        <f t="shared" si="53"/>
        <v>2</v>
      </c>
      <c r="AW13" s="54">
        <f t="shared" si="54"/>
        <v>5</v>
      </c>
      <c r="AX13" s="54">
        <f t="shared" si="55"/>
        <v>2</v>
      </c>
      <c r="AY13" s="54">
        <f t="shared" si="56"/>
        <v>5</v>
      </c>
      <c r="AZ13" s="54">
        <f t="shared" si="57"/>
        <v>2</v>
      </c>
      <c r="BA13" s="54">
        <f t="shared" si="58"/>
        <v>5</v>
      </c>
      <c r="BB13" s="54">
        <f t="shared" si="59"/>
        <v>2</v>
      </c>
      <c r="BC13" s="54">
        <f t="shared" si="60"/>
        <v>5</v>
      </c>
      <c r="BD13" s="54">
        <f t="shared" si="61"/>
        <v>2</v>
      </c>
      <c r="BE13" s="54">
        <f t="shared" si="62"/>
        <v>5</v>
      </c>
      <c r="BF13" s="54">
        <f t="shared" si="63"/>
        <v>2</v>
      </c>
      <c r="BG13" s="54">
        <f t="shared" si="64"/>
        <v>5</v>
      </c>
      <c r="BH13" s="54">
        <f t="shared" si="65"/>
        <v>2</v>
      </c>
      <c r="BI13" s="54">
        <f t="shared" si="66"/>
        <v>5</v>
      </c>
      <c r="BJ13" s="54">
        <f t="shared" si="67"/>
        <v>2</v>
      </c>
      <c r="BK13" s="54">
        <f t="shared" si="68"/>
        <v>5</v>
      </c>
      <c r="BL13" s="54">
        <f t="shared" si="69"/>
        <v>2</v>
      </c>
      <c r="BM13" s="54">
        <f t="shared" si="70"/>
        <v>5</v>
      </c>
      <c r="BN13" s="54">
        <f t="shared" si="71"/>
        <v>2</v>
      </c>
      <c r="BO13" s="54">
        <f t="shared" si="72"/>
        <v>5</v>
      </c>
      <c r="BP13" s="54">
        <f t="shared" si="73"/>
        <v>2</v>
      </c>
      <c r="BQ13" s="54">
        <f t="shared" si="74"/>
        <v>5</v>
      </c>
      <c r="BR13" s="54">
        <f t="shared" si="75"/>
        <v>2</v>
      </c>
      <c r="BS13" s="54">
        <f t="shared" si="76"/>
        <v>5</v>
      </c>
      <c r="BT13" s="54">
        <f t="shared" si="77"/>
        <v>2</v>
      </c>
      <c r="BU13" s="54">
        <f t="shared" si="78"/>
        <v>5</v>
      </c>
      <c r="BV13" s="54">
        <f t="shared" si="79"/>
        <v>2</v>
      </c>
      <c r="BW13" s="54">
        <f t="shared" si="80"/>
        <v>5</v>
      </c>
      <c r="BX13" s="54">
        <f t="shared" si="81"/>
        <v>2</v>
      </c>
      <c r="BY13" s="54">
        <f t="shared" si="82"/>
        <v>5</v>
      </c>
      <c r="BZ13" s="54">
        <f t="shared" si="83"/>
        <v>2</v>
      </c>
      <c r="CA13" s="54">
        <f t="shared" si="84"/>
        <v>5</v>
      </c>
      <c r="CB13" s="54">
        <f t="shared" si="85"/>
        <v>2</v>
      </c>
      <c r="CC13" s="54">
        <f t="shared" si="86"/>
        <v>5</v>
      </c>
      <c r="CD13" s="54">
        <f t="shared" si="87"/>
        <v>2</v>
      </c>
      <c r="CE13" s="54">
        <f t="shared" si="88"/>
        <v>5</v>
      </c>
      <c r="CF13" s="54">
        <f t="shared" si="89"/>
        <v>2</v>
      </c>
      <c r="CG13" s="54">
        <f t="shared" si="90"/>
        <v>5</v>
      </c>
      <c r="CH13" s="54">
        <f t="shared" si="91"/>
        <v>2</v>
      </c>
      <c r="CI13" s="54">
        <f t="shared" si="92"/>
        <v>5</v>
      </c>
      <c r="CJ13" s="54">
        <f t="shared" si="93"/>
        <v>2</v>
      </c>
      <c r="CK13" s="54">
        <f t="shared" si="94"/>
        <v>5</v>
      </c>
      <c r="CL13" s="54">
        <f t="shared" si="95"/>
        <v>2</v>
      </c>
      <c r="CM13" s="54">
        <f t="shared" si="96"/>
        <v>5</v>
      </c>
      <c r="CN13" s="54">
        <f t="shared" si="97"/>
        <v>2</v>
      </c>
      <c r="CO13" s="54">
        <f t="shared" si="98"/>
        <v>5</v>
      </c>
      <c r="CP13" s="54">
        <f t="shared" si="99"/>
        <v>2</v>
      </c>
      <c r="CQ13" s="54">
        <f t="shared" si="100"/>
        <v>5</v>
      </c>
      <c r="CR13" s="54">
        <f t="shared" si="101"/>
        <v>2</v>
      </c>
      <c r="CS13" s="54">
        <f t="shared" si="102"/>
        <v>5</v>
      </c>
      <c r="CT13" s="54">
        <f t="shared" si="103"/>
        <v>2</v>
      </c>
      <c r="CU13" s="54">
        <f t="shared" si="104"/>
        <v>5</v>
      </c>
      <c r="CV13" s="54">
        <f t="shared" si="105"/>
        <v>2</v>
      </c>
      <c r="CW13" s="54">
        <f t="shared" si="106"/>
        <v>5</v>
      </c>
      <c r="CX13" s="54">
        <f t="shared" si="107"/>
        <v>2</v>
      </c>
      <c r="CY13" s="54">
        <f t="shared" si="108"/>
        <v>5</v>
      </c>
      <c r="CZ13" s="54">
        <f t="shared" si="109"/>
        <v>2</v>
      </c>
      <c r="DA13" s="54">
        <f t="shared" si="110"/>
        <v>5</v>
      </c>
      <c r="DB13" s="54">
        <f t="shared" si="111"/>
        <v>2</v>
      </c>
      <c r="DC13" s="54">
        <f t="shared" si="112"/>
        <v>5</v>
      </c>
      <c r="DD13" s="54">
        <f t="shared" si="113"/>
        <v>2</v>
      </c>
      <c r="DE13" s="54">
        <f t="shared" si="114"/>
        <v>5</v>
      </c>
      <c r="DF13" s="54">
        <f t="shared" si="115"/>
        <v>2</v>
      </c>
      <c r="DG13" s="54">
        <f t="shared" si="116"/>
        <v>5</v>
      </c>
      <c r="DH13" s="54">
        <f t="shared" si="117"/>
        <v>2</v>
      </c>
      <c r="DI13" s="54">
        <f t="shared" si="118"/>
        <v>5</v>
      </c>
      <c r="DJ13" s="54">
        <f t="shared" si="119"/>
        <v>2</v>
      </c>
      <c r="DK13" s="54">
        <f t="shared" si="120"/>
        <v>5</v>
      </c>
      <c r="DL13" s="54">
        <f t="shared" si="121"/>
        <v>2</v>
      </c>
      <c r="DM13" s="54">
        <f t="shared" si="122"/>
        <v>5</v>
      </c>
      <c r="DN13" s="54">
        <f t="shared" si="123"/>
        <v>2</v>
      </c>
      <c r="DO13" s="54">
        <f t="shared" si="124"/>
        <v>5</v>
      </c>
      <c r="DP13" s="54">
        <f t="shared" si="125"/>
        <v>2</v>
      </c>
      <c r="DQ13" s="54">
        <f t="shared" si="126"/>
        <v>5</v>
      </c>
      <c r="DR13" s="54">
        <f t="shared" si="127"/>
        <v>2</v>
      </c>
      <c r="DS13" s="54">
        <f t="shared" si="128"/>
        <v>5</v>
      </c>
      <c r="DT13" s="54">
        <f t="shared" si="129"/>
        <v>2</v>
      </c>
      <c r="DU13" s="54">
        <f t="shared" si="130"/>
        <v>5</v>
      </c>
      <c r="DV13" s="54">
        <f t="shared" si="131"/>
        <v>2</v>
      </c>
      <c r="DW13" s="54">
        <f t="shared" si="132"/>
        <v>5</v>
      </c>
      <c r="DX13" s="54">
        <f t="shared" si="133"/>
        <v>2</v>
      </c>
      <c r="DY13" s="54">
        <f t="shared" si="134"/>
        <v>5</v>
      </c>
      <c r="DZ13" s="54">
        <f t="shared" si="135"/>
        <v>2</v>
      </c>
      <c r="EA13" s="54">
        <f t="shared" si="134"/>
        <v>5</v>
      </c>
      <c r="EB13" s="54">
        <f t="shared" si="135"/>
        <v>2</v>
      </c>
      <c r="EC13" s="54">
        <f t="shared" si="135"/>
        <v>5</v>
      </c>
      <c r="ED13" s="54">
        <f t="shared" si="136"/>
        <v>2</v>
      </c>
      <c r="EE13" s="54">
        <f t="shared" si="137"/>
        <v>5</v>
      </c>
      <c r="EF13" s="54">
        <f t="shared" si="138"/>
        <v>2</v>
      </c>
      <c r="EG13" s="54">
        <f t="shared" ref="EG13:EN13" si="146">EG12</f>
        <v>5</v>
      </c>
      <c r="EH13" s="54">
        <f t="shared" si="146"/>
        <v>2</v>
      </c>
      <c r="EI13" s="54">
        <f t="shared" si="146"/>
        <v>5</v>
      </c>
      <c r="EJ13" s="54">
        <f t="shared" si="146"/>
        <v>2</v>
      </c>
      <c r="EK13" s="54">
        <f t="shared" si="146"/>
        <v>5</v>
      </c>
      <c r="EL13" s="54">
        <f t="shared" si="146"/>
        <v>2</v>
      </c>
      <c r="EM13" s="54">
        <f t="shared" si="146"/>
        <v>5</v>
      </c>
      <c r="EN13" s="54">
        <f t="shared" si="146"/>
        <v>2</v>
      </c>
      <c r="EO13" s="54">
        <f t="shared" si="7"/>
        <v>2</v>
      </c>
      <c r="EP13" s="54">
        <f t="shared" si="8"/>
        <v>2</v>
      </c>
    </row>
    <row r="14" spans="1:147" x14ac:dyDescent="0.2">
      <c r="A14" s="54"/>
      <c r="B14" t="s">
        <v>230</v>
      </c>
      <c r="C14" s="54">
        <f t="shared" si="9"/>
        <v>45474</v>
      </c>
      <c r="D14" s="54">
        <f t="shared" si="1"/>
        <v>1</v>
      </c>
      <c r="E14" s="54">
        <f t="shared" si="10"/>
        <v>4</v>
      </c>
      <c r="F14" s="54">
        <f t="shared" si="11"/>
        <v>2</v>
      </c>
      <c r="G14" s="54">
        <f t="shared" si="12"/>
        <v>5</v>
      </c>
      <c r="H14" s="54">
        <f t="shared" si="13"/>
        <v>2</v>
      </c>
      <c r="I14" s="54">
        <f t="shared" si="14"/>
        <v>5</v>
      </c>
      <c r="J14" s="54">
        <f t="shared" si="15"/>
        <v>2</v>
      </c>
      <c r="K14" s="54">
        <f t="shared" si="16"/>
        <v>5</v>
      </c>
      <c r="L14" s="54">
        <f t="shared" si="17"/>
        <v>2</v>
      </c>
      <c r="M14" s="54">
        <f t="shared" si="18"/>
        <v>5</v>
      </c>
      <c r="N14" s="54">
        <f t="shared" si="19"/>
        <v>2</v>
      </c>
      <c r="O14" s="54">
        <f t="shared" si="20"/>
        <v>5</v>
      </c>
      <c r="P14" s="54">
        <f t="shared" si="21"/>
        <v>2</v>
      </c>
      <c r="Q14" s="54">
        <f t="shared" si="22"/>
        <v>5</v>
      </c>
      <c r="R14" s="54">
        <f t="shared" si="23"/>
        <v>2</v>
      </c>
      <c r="S14" s="54">
        <f t="shared" si="24"/>
        <v>5</v>
      </c>
      <c r="T14" s="54">
        <f t="shared" si="25"/>
        <v>2</v>
      </c>
      <c r="U14" s="54">
        <f t="shared" si="26"/>
        <v>5</v>
      </c>
      <c r="V14" s="54">
        <f t="shared" si="27"/>
        <v>2</v>
      </c>
      <c r="W14" s="54">
        <f t="shared" si="28"/>
        <v>5</v>
      </c>
      <c r="X14" s="54">
        <f t="shared" si="29"/>
        <v>2</v>
      </c>
      <c r="Y14" s="54">
        <f t="shared" si="30"/>
        <v>5</v>
      </c>
      <c r="Z14" s="54">
        <f t="shared" si="31"/>
        <v>2</v>
      </c>
      <c r="AA14" s="54">
        <f t="shared" si="32"/>
        <v>5</v>
      </c>
      <c r="AB14" s="54">
        <f t="shared" si="33"/>
        <v>2</v>
      </c>
      <c r="AC14" s="54">
        <f t="shared" si="34"/>
        <v>5</v>
      </c>
      <c r="AD14" s="54">
        <f t="shared" si="35"/>
        <v>2</v>
      </c>
      <c r="AE14" s="54">
        <f t="shared" si="36"/>
        <v>5</v>
      </c>
      <c r="AF14" s="54">
        <f t="shared" si="37"/>
        <v>2</v>
      </c>
      <c r="AG14" s="54">
        <f t="shared" si="38"/>
        <v>5</v>
      </c>
      <c r="AH14" s="54">
        <f t="shared" si="39"/>
        <v>2</v>
      </c>
      <c r="AI14" s="54">
        <f t="shared" si="40"/>
        <v>5</v>
      </c>
      <c r="AJ14" s="54">
        <f t="shared" si="41"/>
        <v>2</v>
      </c>
      <c r="AK14" s="54">
        <f t="shared" si="42"/>
        <v>5</v>
      </c>
      <c r="AL14" s="54">
        <f t="shared" si="43"/>
        <v>2</v>
      </c>
      <c r="AM14" s="54">
        <f t="shared" si="44"/>
        <v>5</v>
      </c>
      <c r="AN14" s="54">
        <f t="shared" si="45"/>
        <v>2</v>
      </c>
      <c r="AO14" s="54">
        <f t="shared" si="46"/>
        <v>5</v>
      </c>
      <c r="AP14" s="54">
        <f t="shared" si="47"/>
        <v>2</v>
      </c>
      <c r="AQ14" s="54">
        <f t="shared" si="48"/>
        <v>5</v>
      </c>
      <c r="AR14" s="54">
        <f t="shared" si="49"/>
        <v>2</v>
      </c>
      <c r="AS14" s="54">
        <f t="shared" si="50"/>
        <v>5</v>
      </c>
      <c r="AT14" s="54">
        <f t="shared" si="51"/>
        <v>2</v>
      </c>
      <c r="AU14" s="54">
        <f t="shared" si="52"/>
        <v>5</v>
      </c>
      <c r="AV14" s="54">
        <f t="shared" si="53"/>
        <v>2</v>
      </c>
      <c r="AW14" s="54">
        <f t="shared" si="54"/>
        <v>5</v>
      </c>
      <c r="AX14" s="54">
        <f t="shared" si="55"/>
        <v>2</v>
      </c>
      <c r="AY14" s="54">
        <f t="shared" si="56"/>
        <v>5</v>
      </c>
      <c r="AZ14" s="54">
        <f t="shared" si="57"/>
        <v>2</v>
      </c>
      <c r="BA14" s="54">
        <f t="shared" si="58"/>
        <v>5</v>
      </c>
      <c r="BB14" s="54">
        <f t="shared" si="59"/>
        <v>2</v>
      </c>
      <c r="BC14" s="54">
        <f t="shared" si="60"/>
        <v>5</v>
      </c>
      <c r="BD14" s="54">
        <f t="shared" si="61"/>
        <v>2</v>
      </c>
      <c r="BE14" s="54">
        <f t="shared" si="62"/>
        <v>5</v>
      </c>
      <c r="BF14" s="54">
        <f t="shared" si="63"/>
        <v>2</v>
      </c>
      <c r="BG14" s="54">
        <f t="shared" si="64"/>
        <v>5</v>
      </c>
      <c r="BH14" s="54">
        <f t="shared" si="65"/>
        <v>2</v>
      </c>
      <c r="BI14" s="54">
        <f t="shared" si="66"/>
        <v>5</v>
      </c>
      <c r="BJ14" s="54">
        <f t="shared" si="67"/>
        <v>2</v>
      </c>
      <c r="BK14" s="54">
        <f t="shared" si="68"/>
        <v>5</v>
      </c>
      <c r="BL14" s="54">
        <f t="shared" si="69"/>
        <v>2</v>
      </c>
      <c r="BM14" s="54">
        <f t="shared" si="70"/>
        <v>5</v>
      </c>
      <c r="BN14" s="54">
        <f t="shared" si="71"/>
        <v>2</v>
      </c>
      <c r="BO14" s="54">
        <f t="shared" si="72"/>
        <v>5</v>
      </c>
      <c r="BP14" s="54">
        <f t="shared" si="73"/>
        <v>2</v>
      </c>
      <c r="BQ14" s="54">
        <f t="shared" si="74"/>
        <v>5</v>
      </c>
      <c r="BR14" s="54">
        <f t="shared" si="75"/>
        <v>2</v>
      </c>
      <c r="BS14" s="54">
        <f t="shared" si="76"/>
        <v>5</v>
      </c>
      <c r="BT14" s="54">
        <f t="shared" si="77"/>
        <v>2</v>
      </c>
      <c r="BU14" s="54">
        <f t="shared" si="78"/>
        <v>5</v>
      </c>
      <c r="BV14" s="54">
        <f t="shared" si="79"/>
        <v>2</v>
      </c>
      <c r="BW14" s="54">
        <f t="shared" si="80"/>
        <v>5</v>
      </c>
      <c r="BX14" s="54">
        <f t="shared" si="81"/>
        <v>2</v>
      </c>
      <c r="BY14" s="54">
        <f t="shared" si="82"/>
        <v>5</v>
      </c>
      <c r="BZ14" s="54">
        <f t="shared" si="83"/>
        <v>2</v>
      </c>
      <c r="CA14" s="54">
        <f t="shared" si="84"/>
        <v>5</v>
      </c>
      <c r="CB14" s="54">
        <f t="shared" si="85"/>
        <v>2</v>
      </c>
      <c r="CC14" s="54">
        <f t="shared" si="86"/>
        <v>5</v>
      </c>
      <c r="CD14" s="54">
        <f t="shared" si="87"/>
        <v>2</v>
      </c>
      <c r="CE14" s="54">
        <f t="shared" si="88"/>
        <v>5</v>
      </c>
      <c r="CF14" s="54">
        <f t="shared" si="89"/>
        <v>2</v>
      </c>
      <c r="CG14" s="54">
        <f t="shared" si="90"/>
        <v>5</v>
      </c>
      <c r="CH14" s="54">
        <f t="shared" si="91"/>
        <v>2</v>
      </c>
      <c r="CI14" s="54">
        <f t="shared" si="92"/>
        <v>5</v>
      </c>
      <c r="CJ14" s="54">
        <f t="shared" si="93"/>
        <v>2</v>
      </c>
      <c r="CK14" s="54">
        <f t="shared" si="94"/>
        <v>5</v>
      </c>
      <c r="CL14" s="54">
        <f t="shared" si="95"/>
        <v>2</v>
      </c>
      <c r="CM14" s="54">
        <f t="shared" si="96"/>
        <v>5</v>
      </c>
      <c r="CN14" s="54">
        <f t="shared" si="97"/>
        <v>2</v>
      </c>
      <c r="CO14" s="54">
        <f t="shared" si="98"/>
        <v>5</v>
      </c>
      <c r="CP14" s="54">
        <f t="shared" si="99"/>
        <v>2</v>
      </c>
      <c r="CQ14" s="54">
        <f t="shared" si="100"/>
        <v>5</v>
      </c>
      <c r="CR14" s="54">
        <f t="shared" si="101"/>
        <v>2</v>
      </c>
      <c r="CS14" s="54">
        <f t="shared" si="102"/>
        <v>5</v>
      </c>
      <c r="CT14" s="54">
        <f t="shared" si="103"/>
        <v>2</v>
      </c>
      <c r="CU14" s="54">
        <f t="shared" si="104"/>
        <v>5</v>
      </c>
      <c r="CV14" s="54">
        <f t="shared" si="105"/>
        <v>2</v>
      </c>
      <c r="CW14" s="54">
        <f t="shared" si="106"/>
        <v>5</v>
      </c>
      <c r="CX14" s="54">
        <f t="shared" si="107"/>
        <v>2</v>
      </c>
      <c r="CY14" s="54">
        <f t="shared" si="108"/>
        <v>5</v>
      </c>
      <c r="CZ14" s="54">
        <f t="shared" si="109"/>
        <v>2</v>
      </c>
      <c r="DA14" s="54">
        <f t="shared" si="110"/>
        <v>5</v>
      </c>
      <c r="DB14" s="54">
        <f t="shared" si="111"/>
        <v>2</v>
      </c>
      <c r="DC14" s="54">
        <f t="shared" si="112"/>
        <v>5</v>
      </c>
      <c r="DD14" s="54">
        <f t="shared" si="113"/>
        <v>2</v>
      </c>
      <c r="DE14" s="54">
        <f t="shared" si="114"/>
        <v>5</v>
      </c>
      <c r="DF14" s="54">
        <f t="shared" si="115"/>
        <v>2</v>
      </c>
      <c r="DG14" s="54">
        <f t="shared" si="116"/>
        <v>5</v>
      </c>
      <c r="DH14" s="54">
        <f t="shared" si="117"/>
        <v>2</v>
      </c>
      <c r="DI14" s="54">
        <f t="shared" si="118"/>
        <v>5</v>
      </c>
      <c r="DJ14" s="54">
        <f t="shared" si="119"/>
        <v>2</v>
      </c>
      <c r="DK14" s="54">
        <f t="shared" si="120"/>
        <v>5</v>
      </c>
      <c r="DL14" s="54">
        <f t="shared" si="121"/>
        <v>2</v>
      </c>
      <c r="DM14" s="54">
        <f t="shared" si="122"/>
        <v>5</v>
      </c>
      <c r="DN14" s="54">
        <f t="shared" si="123"/>
        <v>2</v>
      </c>
      <c r="DO14" s="54">
        <f t="shared" si="124"/>
        <v>5</v>
      </c>
      <c r="DP14" s="54">
        <f t="shared" si="125"/>
        <v>2</v>
      </c>
      <c r="DQ14" s="54">
        <f t="shared" si="126"/>
        <v>5</v>
      </c>
      <c r="DR14" s="54">
        <f t="shared" si="127"/>
        <v>2</v>
      </c>
      <c r="DS14" s="54">
        <f t="shared" si="128"/>
        <v>5</v>
      </c>
      <c r="DT14" s="54">
        <f t="shared" si="129"/>
        <v>2</v>
      </c>
      <c r="DU14" s="54">
        <f t="shared" si="130"/>
        <v>5</v>
      </c>
      <c r="DV14" s="54">
        <f t="shared" si="131"/>
        <v>2</v>
      </c>
      <c r="DW14" s="54">
        <f t="shared" si="132"/>
        <v>5</v>
      </c>
      <c r="DX14" s="54">
        <f t="shared" si="133"/>
        <v>2</v>
      </c>
      <c r="DY14" s="54">
        <f t="shared" si="134"/>
        <v>5</v>
      </c>
      <c r="DZ14" s="54">
        <f t="shared" si="135"/>
        <v>2</v>
      </c>
      <c r="EA14" s="54">
        <f t="shared" si="134"/>
        <v>5</v>
      </c>
      <c r="EB14" s="54">
        <f t="shared" si="135"/>
        <v>2</v>
      </c>
      <c r="EC14" s="54">
        <f t="shared" si="135"/>
        <v>5</v>
      </c>
      <c r="ED14" s="54">
        <f t="shared" si="136"/>
        <v>2</v>
      </c>
      <c r="EE14" s="54">
        <f t="shared" si="137"/>
        <v>5</v>
      </c>
      <c r="EF14" s="54">
        <f t="shared" si="138"/>
        <v>2</v>
      </c>
      <c r="EG14" s="54">
        <f t="shared" ref="EG14:EN14" si="147">EG13</f>
        <v>5</v>
      </c>
      <c r="EH14" s="54">
        <f t="shared" si="147"/>
        <v>2</v>
      </c>
      <c r="EI14" s="54">
        <f t="shared" si="147"/>
        <v>5</v>
      </c>
      <c r="EJ14" s="54">
        <f t="shared" si="147"/>
        <v>2</v>
      </c>
      <c r="EK14" s="54">
        <f t="shared" si="147"/>
        <v>5</v>
      </c>
      <c r="EL14" s="54">
        <f t="shared" si="147"/>
        <v>2</v>
      </c>
      <c r="EM14" s="54">
        <f t="shared" si="147"/>
        <v>5</v>
      </c>
      <c r="EN14" s="54">
        <f t="shared" si="147"/>
        <v>2</v>
      </c>
      <c r="EO14" s="54">
        <f t="shared" si="7"/>
        <v>2</v>
      </c>
      <c r="EP14" s="54">
        <f t="shared" si="8"/>
        <v>2</v>
      </c>
    </row>
    <row r="15" spans="1:147" x14ac:dyDescent="0.2">
      <c r="B15" t="s">
        <v>230</v>
      </c>
      <c r="C15" s="54">
        <f t="shared" si="9"/>
        <v>45474</v>
      </c>
      <c r="D15" s="54">
        <f t="shared" si="1"/>
        <v>1</v>
      </c>
      <c r="E15" s="54">
        <f t="shared" si="10"/>
        <v>4</v>
      </c>
      <c r="F15" s="54">
        <f t="shared" si="11"/>
        <v>2</v>
      </c>
      <c r="G15" s="54">
        <f t="shared" si="12"/>
        <v>5</v>
      </c>
      <c r="H15" s="54">
        <f t="shared" si="13"/>
        <v>2</v>
      </c>
      <c r="I15" s="54">
        <f t="shared" si="14"/>
        <v>5</v>
      </c>
      <c r="J15" s="54">
        <f t="shared" si="15"/>
        <v>2</v>
      </c>
      <c r="K15" s="54">
        <f t="shared" si="16"/>
        <v>5</v>
      </c>
      <c r="L15" s="54">
        <f t="shared" si="17"/>
        <v>2</v>
      </c>
      <c r="M15" s="54">
        <f t="shared" si="18"/>
        <v>5</v>
      </c>
      <c r="N15" s="54">
        <f t="shared" si="19"/>
        <v>2</v>
      </c>
      <c r="O15" s="54">
        <f t="shared" si="20"/>
        <v>5</v>
      </c>
      <c r="P15" s="54">
        <f t="shared" si="21"/>
        <v>2</v>
      </c>
      <c r="Q15" s="54">
        <f t="shared" si="22"/>
        <v>5</v>
      </c>
      <c r="R15" s="54">
        <f t="shared" si="23"/>
        <v>2</v>
      </c>
      <c r="S15" s="54">
        <f t="shared" si="24"/>
        <v>5</v>
      </c>
      <c r="T15" s="54">
        <f t="shared" si="25"/>
        <v>2</v>
      </c>
      <c r="U15" s="54">
        <f t="shared" si="26"/>
        <v>5</v>
      </c>
      <c r="V15" s="54">
        <f t="shared" si="27"/>
        <v>2</v>
      </c>
      <c r="W15" s="54">
        <f t="shared" si="28"/>
        <v>5</v>
      </c>
      <c r="X15" s="54">
        <f t="shared" si="29"/>
        <v>2</v>
      </c>
      <c r="Y15" s="54">
        <f t="shared" si="30"/>
        <v>5</v>
      </c>
      <c r="Z15" s="54">
        <f t="shared" si="31"/>
        <v>2</v>
      </c>
      <c r="AA15" s="54">
        <f t="shared" si="32"/>
        <v>5</v>
      </c>
      <c r="AB15" s="54">
        <f t="shared" si="33"/>
        <v>2</v>
      </c>
      <c r="AC15" s="54">
        <f t="shared" si="34"/>
        <v>5</v>
      </c>
      <c r="AD15" s="54">
        <f t="shared" si="35"/>
        <v>2</v>
      </c>
      <c r="AE15" s="54">
        <f t="shared" si="36"/>
        <v>5</v>
      </c>
      <c r="AF15" s="54">
        <f t="shared" si="37"/>
        <v>2</v>
      </c>
      <c r="AG15" s="54">
        <f t="shared" si="38"/>
        <v>5</v>
      </c>
      <c r="AH15" s="54">
        <f t="shared" si="39"/>
        <v>2</v>
      </c>
      <c r="AI15" s="54">
        <f t="shared" si="40"/>
        <v>5</v>
      </c>
      <c r="AJ15" s="54">
        <f t="shared" si="41"/>
        <v>2</v>
      </c>
      <c r="AK15" s="54">
        <f t="shared" si="42"/>
        <v>5</v>
      </c>
      <c r="AL15" s="54">
        <f t="shared" si="43"/>
        <v>2</v>
      </c>
      <c r="AM15" s="54">
        <f t="shared" si="44"/>
        <v>5</v>
      </c>
      <c r="AN15" s="54">
        <f t="shared" si="45"/>
        <v>2</v>
      </c>
      <c r="AO15" s="54">
        <f t="shared" si="46"/>
        <v>5</v>
      </c>
      <c r="AP15" s="54">
        <f t="shared" si="47"/>
        <v>2</v>
      </c>
      <c r="AQ15" s="54">
        <f t="shared" si="48"/>
        <v>5</v>
      </c>
      <c r="AR15" s="54">
        <f t="shared" si="49"/>
        <v>2</v>
      </c>
      <c r="AS15" s="54">
        <f t="shared" si="50"/>
        <v>5</v>
      </c>
      <c r="AT15" s="54">
        <f t="shared" si="51"/>
        <v>2</v>
      </c>
      <c r="AU15" s="54">
        <f t="shared" si="52"/>
        <v>5</v>
      </c>
      <c r="AV15" s="54">
        <f t="shared" si="53"/>
        <v>2</v>
      </c>
      <c r="AW15" s="54">
        <f t="shared" si="54"/>
        <v>5</v>
      </c>
      <c r="AX15" s="54">
        <f t="shared" si="55"/>
        <v>2</v>
      </c>
      <c r="AY15" s="54">
        <f t="shared" si="56"/>
        <v>5</v>
      </c>
      <c r="AZ15" s="54">
        <f t="shared" si="57"/>
        <v>2</v>
      </c>
      <c r="BA15" s="54">
        <f t="shared" si="58"/>
        <v>5</v>
      </c>
      <c r="BB15" s="54">
        <f t="shared" si="59"/>
        <v>2</v>
      </c>
      <c r="BC15" s="54">
        <f t="shared" si="60"/>
        <v>5</v>
      </c>
      <c r="BD15" s="54">
        <f t="shared" si="61"/>
        <v>2</v>
      </c>
      <c r="BE15" s="54">
        <f t="shared" si="62"/>
        <v>5</v>
      </c>
      <c r="BF15" s="54">
        <f t="shared" si="63"/>
        <v>2</v>
      </c>
      <c r="BG15" s="54">
        <f t="shared" si="64"/>
        <v>5</v>
      </c>
      <c r="BH15" s="54">
        <f t="shared" si="65"/>
        <v>2</v>
      </c>
      <c r="BI15" s="54">
        <f t="shared" si="66"/>
        <v>5</v>
      </c>
      <c r="BJ15" s="54">
        <f t="shared" si="67"/>
        <v>2</v>
      </c>
      <c r="BK15" s="54">
        <f t="shared" si="68"/>
        <v>5</v>
      </c>
      <c r="BL15" s="54">
        <f t="shared" si="69"/>
        <v>2</v>
      </c>
      <c r="BM15" s="54">
        <f t="shared" si="70"/>
        <v>5</v>
      </c>
      <c r="BN15" s="54">
        <f t="shared" si="71"/>
        <v>2</v>
      </c>
      <c r="BO15" s="54">
        <f t="shared" si="72"/>
        <v>5</v>
      </c>
      <c r="BP15" s="54">
        <f t="shared" si="73"/>
        <v>2</v>
      </c>
      <c r="BQ15" s="54">
        <f t="shared" si="74"/>
        <v>5</v>
      </c>
      <c r="BR15" s="54">
        <f t="shared" si="75"/>
        <v>2</v>
      </c>
      <c r="BS15" s="54">
        <f t="shared" si="76"/>
        <v>5</v>
      </c>
      <c r="BT15" s="54">
        <f t="shared" si="77"/>
        <v>2</v>
      </c>
      <c r="BU15" s="54">
        <f t="shared" si="78"/>
        <v>5</v>
      </c>
      <c r="BV15" s="54">
        <f t="shared" si="79"/>
        <v>2</v>
      </c>
      <c r="BW15" s="54">
        <f t="shared" si="80"/>
        <v>5</v>
      </c>
      <c r="BX15" s="54">
        <f t="shared" si="81"/>
        <v>2</v>
      </c>
      <c r="BY15" s="54">
        <f t="shared" si="82"/>
        <v>5</v>
      </c>
      <c r="BZ15" s="54">
        <f t="shared" si="83"/>
        <v>2</v>
      </c>
      <c r="CA15" s="54">
        <f t="shared" si="84"/>
        <v>5</v>
      </c>
      <c r="CB15" s="54">
        <f t="shared" si="85"/>
        <v>2</v>
      </c>
      <c r="CC15" s="54">
        <f t="shared" si="86"/>
        <v>5</v>
      </c>
      <c r="CD15" s="54">
        <f t="shared" si="87"/>
        <v>2</v>
      </c>
      <c r="CE15" s="54">
        <f t="shared" si="88"/>
        <v>5</v>
      </c>
      <c r="CF15" s="54">
        <f t="shared" si="89"/>
        <v>2</v>
      </c>
      <c r="CG15" s="54">
        <f t="shared" si="90"/>
        <v>5</v>
      </c>
      <c r="CH15" s="54">
        <f t="shared" si="91"/>
        <v>2</v>
      </c>
      <c r="CI15" s="54">
        <f t="shared" si="92"/>
        <v>5</v>
      </c>
      <c r="CJ15" s="54">
        <f t="shared" si="93"/>
        <v>2</v>
      </c>
      <c r="CK15" s="54">
        <f t="shared" si="94"/>
        <v>5</v>
      </c>
      <c r="CL15" s="54">
        <f t="shared" si="95"/>
        <v>2</v>
      </c>
      <c r="CM15" s="54">
        <f t="shared" si="96"/>
        <v>5</v>
      </c>
      <c r="CN15" s="54">
        <f t="shared" si="97"/>
        <v>2</v>
      </c>
      <c r="CO15" s="54">
        <f t="shared" si="98"/>
        <v>5</v>
      </c>
      <c r="CP15" s="54">
        <f t="shared" si="99"/>
        <v>2</v>
      </c>
      <c r="CQ15" s="54">
        <f t="shared" si="100"/>
        <v>5</v>
      </c>
      <c r="CR15" s="54">
        <f t="shared" si="101"/>
        <v>2</v>
      </c>
      <c r="CS15" s="54">
        <f t="shared" si="102"/>
        <v>5</v>
      </c>
      <c r="CT15" s="54">
        <f t="shared" si="103"/>
        <v>2</v>
      </c>
      <c r="CU15" s="54">
        <f t="shared" si="104"/>
        <v>5</v>
      </c>
      <c r="CV15" s="54">
        <f t="shared" si="105"/>
        <v>2</v>
      </c>
      <c r="CW15" s="54">
        <f t="shared" si="106"/>
        <v>5</v>
      </c>
      <c r="CX15" s="54">
        <f t="shared" si="107"/>
        <v>2</v>
      </c>
      <c r="CY15" s="54">
        <f t="shared" si="108"/>
        <v>5</v>
      </c>
      <c r="CZ15" s="54">
        <f t="shared" si="109"/>
        <v>2</v>
      </c>
      <c r="DA15" s="54">
        <f t="shared" si="110"/>
        <v>5</v>
      </c>
      <c r="DB15" s="54">
        <f t="shared" si="111"/>
        <v>2</v>
      </c>
      <c r="DC15" s="54">
        <f t="shared" si="112"/>
        <v>5</v>
      </c>
      <c r="DD15" s="54">
        <f t="shared" si="113"/>
        <v>2</v>
      </c>
      <c r="DE15" s="54">
        <f t="shared" si="114"/>
        <v>5</v>
      </c>
      <c r="DF15" s="54">
        <f t="shared" si="115"/>
        <v>2</v>
      </c>
      <c r="DG15" s="54">
        <f t="shared" si="116"/>
        <v>5</v>
      </c>
      <c r="DH15" s="54">
        <f t="shared" si="117"/>
        <v>2</v>
      </c>
      <c r="DI15" s="54">
        <f t="shared" si="118"/>
        <v>5</v>
      </c>
      <c r="DJ15" s="54">
        <f t="shared" si="119"/>
        <v>2</v>
      </c>
      <c r="DK15" s="54">
        <f t="shared" si="120"/>
        <v>5</v>
      </c>
      <c r="DL15" s="54">
        <f t="shared" si="121"/>
        <v>2</v>
      </c>
      <c r="DM15" s="54">
        <f t="shared" si="122"/>
        <v>5</v>
      </c>
      <c r="DN15" s="54">
        <f t="shared" si="123"/>
        <v>2</v>
      </c>
      <c r="DO15" s="54">
        <f t="shared" si="124"/>
        <v>5</v>
      </c>
      <c r="DP15" s="54">
        <f t="shared" si="125"/>
        <v>2</v>
      </c>
      <c r="DQ15" s="54">
        <f t="shared" si="126"/>
        <v>5</v>
      </c>
      <c r="DR15" s="54">
        <f t="shared" si="127"/>
        <v>2</v>
      </c>
      <c r="DS15" s="54">
        <f t="shared" si="128"/>
        <v>5</v>
      </c>
      <c r="DT15" s="54">
        <f t="shared" si="129"/>
        <v>2</v>
      </c>
      <c r="DU15" s="54">
        <f t="shared" si="130"/>
        <v>5</v>
      </c>
      <c r="DV15" s="54">
        <f t="shared" si="131"/>
        <v>2</v>
      </c>
      <c r="DW15" s="54">
        <f t="shared" si="132"/>
        <v>5</v>
      </c>
      <c r="DX15" s="54">
        <f t="shared" si="133"/>
        <v>2</v>
      </c>
      <c r="DY15" s="54">
        <f t="shared" si="134"/>
        <v>5</v>
      </c>
      <c r="DZ15" s="54">
        <f t="shared" si="135"/>
        <v>2</v>
      </c>
      <c r="EA15" s="54">
        <f t="shared" si="134"/>
        <v>5</v>
      </c>
      <c r="EB15" s="54">
        <f t="shared" si="135"/>
        <v>2</v>
      </c>
      <c r="EC15" s="54">
        <f t="shared" si="135"/>
        <v>5</v>
      </c>
      <c r="ED15" s="54">
        <f t="shared" si="136"/>
        <v>2</v>
      </c>
      <c r="EE15" s="54">
        <f t="shared" si="137"/>
        <v>5</v>
      </c>
      <c r="EF15" s="54">
        <f t="shared" si="138"/>
        <v>2</v>
      </c>
      <c r="EG15" s="54">
        <f t="shared" ref="EG15:EN15" si="148">EG14</f>
        <v>5</v>
      </c>
      <c r="EH15" s="54">
        <f t="shared" si="148"/>
        <v>2</v>
      </c>
      <c r="EI15" s="54">
        <f t="shared" si="148"/>
        <v>5</v>
      </c>
      <c r="EJ15" s="54">
        <f t="shared" si="148"/>
        <v>2</v>
      </c>
      <c r="EK15" s="54">
        <f t="shared" si="148"/>
        <v>5</v>
      </c>
      <c r="EL15" s="54">
        <f t="shared" si="148"/>
        <v>2</v>
      </c>
      <c r="EM15" s="54">
        <f t="shared" si="148"/>
        <v>5</v>
      </c>
      <c r="EN15" s="54">
        <f t="shared" si="148"/>
        <v>2</v>
      </c>
      <c r="EO15" s="54">
        <f t="shared" si="7"/>
        <v>2</v>
      </c>
      <c r="EP15" s="54">
        <f t="shared" si="8"/>
        <v>2</v>
      </c>
    </row>
    <row r="16" spans="1:147" x14ac:dyDescent="0.2">
      <c r="B16" t="s">
        <v>230</v>
      </c>
      <c r="C16" s="54">
        <f t="shared" si="9"/>
        <v>45474</v>
      </c>
      <c r="D16" s="54">
        <f t="shared" si="1"/>
        <v>1</v>
      </c>
      <c r="E16" s="54">
        <f t="shared" si="10"/>
        <v>4</v>
      </c>
      <c r="F16" s="54">
        <f t="shared" si="11"/>
        <v>2</v>
      </c>
      <c r="G16" s="54">
        <f t="shared" si="12"/>
        <v>5</v>
      </c>
      <c r="H16" s="54">
        <f t="shared" si="13"/>
        <v>2</v>
      </c>
      <c r="I16" s="54">
        <f t="shared" si="14"/>
        <v>5</v>
      </c>
      <c r="J16" s="54">
        <f t="shared" si="15"/>
        <v>2</v>
      </c>
      <c r="K16" s="54">
        <f t="shared" si="16"/>
        <v>5</v>
      </c>
      <c r="L16" s="54">
        <f t="shared" si="17"/>
        <v>2</v>
      </c>
      <c r="M16" s="54">
        <f t="shared" si="18"/>
        <v>5</v>
      </c>
      <c r="N16" s="54">
        <f t="shared" si="19"/>
        <v>2</v>
      </c>
      <c r="O16" s="54">
        <f t="shared" si="20"/>
        <v>5</v>
      </c>
      <c r="P16" s="54">
        <f t="shared" si="21"/>
        <v>2</v>
      </c>
      <c r="Q16" s="54">
        <f t="shared" si="22"/>
        <v>5</v>
      </c>
      <c r="R16" s="54">
        <f t="shared" si="23"/>
        <v>2</v>
      </c>
      <c r="S16" s="54">
        <f t="shared" si="24"/>
        <v>5</v>
      </c>
      <c r="T16" s="54">
        <f t="shared" si="25"/>
        <v>2</v>
      </c>
      <c r="U16" s="54">
        <f t="shared" si="26"/>
        <v>5</v>
      </c>
      <c r="V16" s="54">
        <f t="shared" si="27"/>
        <v>2</v>
      </c>
      <c r="W16" s="54">
        <f t="shared" si="28"/>
        <v>5</v>
      </c>
      <c r="X16" s="54">
        <f t="shared" si="29"/>
        <v>2</v>
      </c>
      <c r="Y16" s="54">
        <f t="shared" si="30"/>
        <v>5</v>
      </c>
      <c r="Z16" s="54">
        <f t="shared" si="31"/>
        <v>2</v>
      </c>
      <c r="AA16" s="54">
        <f t="shared" si="32"/>
        <v>5</v>
      </c>
      <c r="AB16" s="54">
        <f t="shared" si="33"/>
        <v>2</v>
      </c>
      <c r="AC16" s="54">
        <f t="shared" si="34"/>
        <v>5</v>
      </c>
      <c r="AD16" s="54">
        <f t="shared" si="35"/>
        <v>2</v>
      </c>
      <c r="AE16" s="54">
        <f t="shared" si="36"/>
        <v>5</v>
      </c>
      <c r="AF16" s="54">
        <f t="shared" si="37"/>
        <v>2</v>
      </c>
      <c r="AG16" s="54">
        <f t="shared" si="38"/>
        <v>5</v>
      </c>
      <c r="AH16" s="54">
        <f t="shared" si="39"/>
        <v>2</v>
      </c>
      <c r="AI16" s="54">
        <f t="shared" si="40"/>
        <v>5</v>
      </c>
      <c r="AJ16" s="54">
        <f t="shared" si="41"/>
        <v>2</v>
      </c>
      <c r="AK16" s="54">
        <f t="shared" si="42"/>
        <v>5</v>
      </c>
      <c r="AL16" s="54">
        <f t="shared" si="43"/>
        <v>2</v>
      </c>
      <c r="AM16" s="54">
        <f t="shared" si="44"/>
        <v>5</v>
      </c>
      <c r="AN16" s="54">
        <f t="shared" si="45"/>
        <v>2</v>
      </c>
      <c r="AO16" s="54">
        <f t="shared" si="46"/>
        <v>5</v>
      </c>
      <c r="AP16" s="54">
        <f t="shared" si="47"/>
        <v>2</v>
      </c>
      <c r="AQ16" s="54">
        <f t="shared" si="48"/>
        <v>5</v>
      </c>
      <c r="AR16" s="54">
        <f t="shared" si="49"/>
        <v>2</v>
      </c>
      <c r="AS16" s="54">
        <f t="shared" si="50"/>
        <v>5</v>
      </c>
      <c r="AT16" s="54">
        <f t="shared" si="51"/>
        <v>2</v>
      </c>
      <c r="AU16" s="54">
        <f t="shared" si="52"/>
        <v>5</v>
      </c>
      <c r="AV16" s="54">
        <f t="shared" si="53"/>
        <v>2</v>
      </c>
      <c r="AW16" s="54">
        <f t="shared" si="54"/>
        <v>5</v>
      </c>
      <c r="AX16" s="54">
        <f t="shared" si="55"/>
        <v>2</v>
      </c>
      <c r="AY16" s="54">
        <f t="shared" si="56"/>
        <v>5</v>
      </c>
      <c r="AZ16" s="54">
        <f t="shared" si="57"/>
        <v>2</v>
      </c>
      <c r="BA16" s="54">
        <f t="shared" si="58"/>
        <v>5</v>
      </c>
      <c r="BB16" s="54">
        <f t="shared" si="59"/>
        <v>2</v>
      </c>
      <c r="BC16" s="54">
        <f t="shared" si="60"/>
        <v>5</v>
      </c>
      <c r="BD16" s="54">
        <f t="shared" si="61"/>
        <v>2</v>
      </c>
      <c r="BE16" s="54">
        <f t="shared" si="62"/>
        <v>5</v>
      </c>
      <c r="BF16" s="54">
        <f t="shared" si="63"/>
        <v>2</v>
      </c>
      <c r="BG16" s="54">
        <f t="shared" si="64"/>
        <v>5</v>
      </c>
      <c r="BH16" s="54">
        <f t="shared" si="65"/>
        <v>2</v>
      </c>
      <c r="BI16" s="54">
        <f t="shared" si="66"/>
        <v>5</v>
      </c>
      <c r="BJ16" s="54">
        <f t="shared" si="67"/>
        <v>2</v>
      </c>
      <c r="BK16" s="54">
        <f t="shared" si="68"/>
        <v>5</v>
      </c>
      <c r="BL16" s="54">
        <f t="shared" si="69"/>
        <v>2</v>
      </c>
      <c r="BM16" s="54">
        <f t="shared" si="70"/>
        <v>5</v>
      </c>
      <c r="BN16" s="54">
        <f t="shared" si="71"/>
        <v>2</v>
      </c>
      <c r="BO16" s="54">
        <f t="shared" si="72"/>
        <v>5</v>
      </c>
      <c r="BP16" s="54">
        <f t="shared" si="73"/>
        <v>2</v>
      </c>
      <c r="BQ16" s="54">
        <f t="shared" si="74"/>
        <v>5</v>
      </c>
      <c r="BR16" s="54">
        <f t="shared" si="75"/>
        <v>2</v>
      </c>
      <c r="BS16" s="54">
        <f t="shared" si="76"/>
        <v>5</v>
      </c>
      <c r="BT16" s="54">
        <f t="shared" si="77"/>
        <v>2</v>
      </c>
      <c r="BU16" s="54">
        <f t="shared" si="78"/>
        <v>5</v>
      </c>
      <c r="BV16" s="54">
        <f t="shared" si="79"/>
        <v>2</v>
      </c>
      <c r="BW16" s="54">
        <f t="shared" si="80"/>
        <v>5</v>
      </c>
      <c r="BX16" s="54">
        <f t="shared" si="81"/>
        <v>2</v>
      </c>
      <c r="BY16" s="54">
        <f t="shared" si="82"/>
        <v>5</v>
      </c>
      <c r="BZ16" s="54">
        <f t="shared" si="83"/>
        <v>2</v>
      </c>
      <c r="CA16" s="54">
        <f t="shared" si="84"/>
        <v>5</v>
      </c>
      <c r="CB16" s="54">
        <f t="shared" si="85"/>
        <v>2</v>
      </c>
      <c r="CC16" s="54">
        <f t="shared" si="86"/>
        <v>5</v>
      </c>
      <c r="CD16" s="54">
        <f t="shared" si="87"/>
        <v>2</v>
      </c>
      <c r="CE16" s="54">
        <f t="shared" si="88"/>
        <v>5</v>
      </c>
      <c r="CF16" s="54">
        <f t="shared" si="89"/>
        <v>2</v>
      </c>
      <c r="CG16" s="54">
        <f t="shared" si="90"/>
        <v>5</v>
      </c>
      <c r="CH16" s="54">
        <f t="shared" si="91"/>
        <v>2</v>
      </c>
      <c r="CI16" s="54">
        <f t="shared" si="92"/>
        <v>5</v>
      </c>
      <c r="CJ16" s="54">
        <f t="shared" si="93"/>
        <v>2</v>
      </c>
      <c r="CK16" s="54">
        <f t="shared" si="94"/>
        <v>5</v>
      </c>
      <c r="CL16" s="54">
        <f t="shared" si="95"/>
        <v>2</v>
      </c>
      <c r="CM16" s="54">
        <f t="shared" si="96"/>
        <v>5</v>
      </c>
      <c r="CN16" s="54">
        <f t="shared" si="97"/>
        <v>2</v>
      </c>
      <c r="CO16" s="54">
        <f t="shared" si="98"/>
        <v>5</v>
      </c>
      <c r="CP16" s="54">
        <f t="shared" si="99"/>
        <v>2</v>
      </c>
      <c r="CQ16" s="54">
        <f t="shared" si="100"/>
        <v>5</v>
      </c>
      <c r="CR16" s="54">
        <f t="shared" si="101"/>
        <v>2</v>
      </c>
      <c r="CS16" s="54">
        <f t="shared" si="102"/>
        <v>5</v>
      </c>
      <c r="CT16" s="54">
        <f t="shared" si="103"/>
        <v>2</v>
      </c>
      <c r="CU16" s="54">
        <f t="shared" si="104"/>
        <v>5</v>
      </c>
      <c r="CV16" s="54">
        <f t="shared" si="105"/>
        <v>2</v>
      </c>
      <c r="CW16" s="54">
        <f t="shared" si="106"/>
        <v>5</v>
      </c>
      <c r="CX16" s="54">
        <f t="shared" si="107"/>
        <v>2</v>
      </c>
      <c r="CY16" s="54">
        <f t="shared" si="108"/>
        <v>5</v>
      </c>
      <c r="CZ16" s="54">
        <f t="shared" si="109"/>
        <v>2</v>
      </c>
      <c r="DA16" s="54">
        <f t="shared" si="110"/>
        <v>5</v>
      </c>
      <c r="DB16" s="54">
        <f t="shared" si="111"/>
        <v>2</v>
      </c>
      <c r="DC16" s="54">
        <f t="shared" si="112"/>
        <v>5</v>
      </c>
      <c r="DD16" s="54">
        <f t="shared" si="113"/>
        <v>2</v>
      </c>
      <c r="DE16" s="54">
        <f t="shared" si="114"/>
        <v>5</v>
      </c>
      <c r="DF16" s="54">
        <f t="shared" si="115"/>
        <v>2</v>
      </c>
      <c r="DG16" s="54">
        <f t="shared" si="116"/>
        <v>5</v>
      </c>
      <c r="DH16" s="54">
        <f t="shared" si="117"/>
        <v>2</v>
      </c>
      <c r="DI16" s="54">
        <f t="shared" si="118"/>
        <v>5</v>
      </c>
      <c r="DJ16" s="54">
        <f t="shared" si="119"/>
        <v>2</v>
      </c>
      <c r="DK16" s="54">
        <f t="shared" si="120"/>
        <v>5</v>
      </c>
      <c r="DL16" s="54">
        <f t="shared" si="121"/>
        <v>2</v>
      </c>
      <c r="DM16" s="54">
        <f t="shared" si="122"/>
        <v>5</v>
      </c>
      <c r="DN16" s="54">
        <f t="shared" si="123"/>
        <v>2</v>
      </c>
      <c r="DO16" s="54">
        <f t="shared" si="124"/>
        <v>5</v>
      </c>
      <c r="DP16" s="54">
        <f t="shared" si="125"/>
        <v>2</v>
      </c>
      <c r="DQ16" s="54">
        <f t="shared" si="126"/>
        <v>5</v>
      </c>
      <c r="DR16" s="54">
        <f t="shared" si="127"/>
        <v>2</v>
      </c>
      <c r="DS16" s="54">
        <f t="shared" si="128"/>
        <v>5</v>
      </c>
      <c r="DT16" s="54">
        <f t="shared" si="129"/>
        <v>2</v>
      </c>
      <c r="DU16" s="54">
        <f t="shared" si="130"/>
        <v>5</v>
      </c>
      <c r="DV16" s="54">
        <f t="shared" si="131"/>
        <v>2</v>
      </c>
      <c r="DW16" s="54">
        <f t="shared" si="132"/>
        <v>5</v>
      </c>
      <c r="DX16" s="54">
        <f t="shared" si="133"/>
        <v>2</v>
      </c>
      <c r="DY16" s="54">
        <f t="shared" si="134"/>
        <v>5</v>
      </c>
      <c r="DZ16" s="54">
        <f t="shared" si="135"/>
        <v>2</v>
      </c>
      <c r="EA16" s="54">
        <f t="shared" si="134"/>
        <v>5</v>
      </c>
      <c r="EB16" s="54">
        <f t="shared" si="135"/>
        <v>2</v>
      </c>
      <c r="EC16" s="54">
        <f t="shared" si="135"/>
        <v>5</v>
      </c>
      <c r="ED16" s="54">
        <f t="shared" si="136"/>
        <v>2</v>
      </c>
      <c r="EE16" s="54">
        <f t="shared" si="137"/>
        <v>5</v>
      </c>
      <c r="EF16" s="54">
        <f t="shared" si="138"/>
        <v>2</v>
      </c>
      <c r="EG16" s="54">
        <f t="shared" ref="EG16:EN16" si="149">EG15</f>
        <v>5</v>
      </c>
      <c r="EH16" s="54">
        <f t="shared" si="149"/>
        <v>2</v>
      </c>
      <c r="EI16" s="54">
        <f t="shared" si="149"/>
        <v>5</v>
      </c>
      <c r="EJ16" s="54">
        <f t="shared" si="149"/>
        <v>2</v>
      </c>
      <c r="EK16" s="54">
        <f t="shared" si="149"/>
        <v>5</v>
      </c>
      <c r="EL16" s="54">
        <f t="shared" si="149"/>
        <v>2</v>
      </c>
      <c r="EM16" s="54">
        <f t="shared" si="149"/>
        <v>5</v>
      </c>
      <c r="EN16" s="54">
        <f t="shared" si="149"/>
        <v>2</v>
      </c>
      <c r="EO16" s="54">
        <f t="shared" si="7"/>
        <v>2</v>
      </c>
      <c r="EP16" s="54">
        <f t="shared" si="8"/>
        <v>2</v>
      </c>
    </row>
    <row r="17" spans="1:146" x14ac:dyDescent="0.2">
      <c r="A17" s="54"/>
      <c r="B17" t="s">
        <v>230</v>
      </c>
      <c r="C17" s="54">
        <f t="shared" si="9"/>
        <v>45474</v>
      </c>
      <c r="D17" s="54">
        <f t="shared" si="1"/>
        <v>1</v>
      </c>
      <c r="E17" s="54">
        <f t="shared" si="10"/>
        <v>4</v>
      </c>
      <c r="F17" s="54">
        <f t="shared" si="11"/>
        <v>2</v>
      </c>
      <c r="G17" s="54">
        <f t="shared" si="12"/>
        <v>5</v>
      </c>
      <c r="H17" s="54">
        <f t="shared" si="13"/>
        <v>2</v>
      </c>
      <c r="I17" s="54">
        <f t="shared" si="14"/>
        <v>5</v>
      </c>
      <c r="J17" s="54">
        <f t="shared" si="15"/>
        <v>2</v>
      </c>
      <c r="K17" s="54">
        <f t="shared" si="16"/>
        <v>5</v>
      </c>
      <c r="L17" s="54">
        <f t="shared" si="17"/>
        <v>2</v>
      </c>
      <c r="M17" s="54">
        <f t="shared" si="18"/>
        <v>5</v>
      </c>
      <c r="N17" s="54">
        <f t="shared" si="19"/>
        <v>2</v>
      </c>
      <c r="O17" s="54">
        <f t="shared" si="20"/>
        <v>5</v>
      </c>
      <c r="P17" s="54">
        <f t="shared" si="21"/>
        <v>2</v>
      </c>
      <c r="Q17" s="54">
        <f t="shared" si="22"/>
        <v>5</v>
      </c>
      <c r="R17" s="54">
        <f t="shared" si="23"/>
        <v>2</v>
      </c>
      <c r="S17" s="54">
        <f t="shared" si="24"/>
        <v>5</v>
      </c>
      <c r="T17" s="54">
        <f t="shared" si="25"/>
        <v>2</v>
      </c>
      <c r="U17" s="54">
        <f t="shared" si="26"/>
        <v>5</v>
      </c>
      <c r="V17" s="54">
        <f t="shared" si="27"/>
        <v>2</v>
      </c>
      <c r="W17" s="54">
        <f t="shared" si="28"/>
        <v>5</v>
      </c>
      <c r="X17" s="54">
        <f t="shared" si="29"/>
        <v>2</v>
      </c>
      <c r="Y17" s="54">
        <f t="shared" si="30"/>
        <v>5</v>
      </c>
      <c r="Z17" s="54">
        <f t="shared" si="31"/>
        <v>2</v>
      </c>
      <c r="AA17" s="54">
        <f t="shared" si="32"/>
        <v>5</v>
      </c>
      <c r="AB17" s="54">
        <f t="shared" si="33"/>
        <v>2</v>
      </c>
      <c r="AC17" s="54">
        <f t="shared" si="34"/>
        <v>5</v>
      </c>
      <c r="AD17" s="54">
        <f t="shared" si="35"/>
        <v>2</v>
      </c>
      <c r="AE17" s="54">
        <f t="shared" si="36"/>
        <v>5</v>
      </c>
      <c r="AF17" s="54">
        <f t="shared" si="37"/>
        <v>2</v>
      </c>
      <c r="AG17" s="54">
        <f t="shared" si="38"/>
        <v>5</v>
      </c>
      <c r="AH17" s="54">
        <f t="shared" si="39"/>
        <v>2</v>
      </c>
      <c r="AI17" s="54">
        <f t="shared" si="40"/>
        <v>5</v>
      </c>
      <c r="AJ17" s="54">
        <f t="shared" si="41"/>
        <v>2</v>
      </c>
      <c r="AK17" s="54">
        <f t="shared" si="42"/>
        <v>5</v>
      </c>
      <c r="AL17" s="54">
        <f t="shared" si="43"/>
        <v>2</v>
      </c>
      <c r="AM17" s="54">
        <f t="shared" si="44"/>
        <v>5</v>
      </c>
      <c r="AN17" s="54">
        <f t="shared" si="45"/>
        <v>2</v>
      </c>
      <c r="AO17" s="54">
        <f t="shared" si="46"/>
        <v>5</v>
      </c>
      <c r="AP17" s="54">
        <f t="shared" si="47"/>
        <v>2</v>
      </c>
      <c r="AQ17" s="54">
        <f t="shared" si="48"/>
        <v>5</v>
      </c>
      <c r="AR17" s="54">
        <f t="shared" si="49"/>
        <v>2</v>
      </c>
      <c r="AS17" s="54">
        <f t="shared" si="50"/>
        <v>5</v>
      </c>
      <c r="AT17" s="54">
        <f t="shared" si="51"/>
        <v>2</v>
      </c>
      <c r="AU17" s="54">
        <f t="shared" si="52"/>
        <v>5</v>
      </c>
      <c r="AV17" s="54">
        <f t="shared" si="53"/>
        <v>2</v>
      </c>
      <c r="AW17" s="54">
        <f t="shared" si="54"/>
        <v>5</v>
      </c>
      <c r="AX17" s="54">
        <f t="shared" si="55"/>
        <v>2</v>
      </c>
      <c r="AY17" s="54">
        <f t="shared" si="56"/>
        <v>5</v>
      </c>
      <c r="AZ17" s="54">
        <f t="shared" si="57"/>
        <v>2</v>
      </c>
      <c r="BA17" s="54">
        <f t="shared" si="58"/>
        <v>5</v>
      </c>
      <c r="BB17" s="54">
        <f t="shared" si="59"/>
        <v>2</v>
      </c>
      <c r="BC17" s="54">
        <f t="shared" si="60"/>
        <v>5</v>
      </c>
      <c r="BD17" s="54">
        <f t="shared" si="61"/>
        <v>2</v>
      </c>
      <c r="BE17" s="54">
        <f t="shared" si="62"/>
        <v>5</v>
      </c>
      <c r="BF17" s="54">
        <f t="shared" si="63"/>
        <v>2</v>
      </c>
      <c r="BG17" s="54">
        <f t="shared" si="64"/>
        <v>5</v>
      </c>
      <c r="BH17" s="54">
        <f t="shared" si="65"/>
        <v>2</v>
      </c>
      <c r="BI17" s="54">
        <f t="shared" si="66"/>
        <v>5</v>
      </c>
      <c r="BJ17" s="54">
        <f t="shared" si="67"/>
        <v>2</v>
      </c>
      <c r="BK17" s="54">
        <f t="shared" si="68"/>
        <v>5</v>
      </c>
      <c r="BL17" s="54">
        <f t="shared" si="69"/>
        <v>2</v>
      </c>
      <c r="BM17" s="54">
        <f t="shared" si="70"/>
        <v>5</v>
      </c>
      <c r="BN17" s="54">
        <f t="shared" si="71"/>
        <v>2</v>
      </c>
      <c r="BO17" s="54">
        <f t="shared" si="72"/>
        <v>5</v>
      </c>
      <c r="BP17" s="54">
        <f t="shared" si="73"/>
        <v>2</v>
      </c>
      <c r="BQ17" s="54">
        <f t="shared" si="74"/>
        <v>5</v>
      </c>
      <c r="BR17" s="54">
        <f t="shared" si="75"/>
        <v>2</v>
      </c>
      <c r="BS17" s="54">
        <f t="shared" si="76"/>
        <v>5</v>
      </c>
      <c r="BT17" s="54">
        <f t="shared" si="77"/>
        <v>2</v>
      </c>
      <c r="BU17" s="54">
        <f t="shared" si="78"/>
        <v>5</v>
      </c>
      <c r="BV17" s="54">
        <f t="shared" si="79"/>
        <v>2</v>
      </c>
      <c r="BW17" s="54">
        <f t="shared" si="80"/>
        <v>5</v>
      </c>
      <c r="BX17" s="54">
        <f t="shared" si="81"/>
        <v>2</v>
      </c>
      <c r="BY17" s="54">
        <f t="shared" si="82"/>
        <v>5</v>
      </c>
      <c r="BZ17" s="54">
        <f t="shared" si="83"/>
        <v>2</v>
      </c>
      <c r="CA17" s="54">
        <f t="shared" si="84"/>
        <v>5</v>
      </c>
      <c r="CB17" s="54">
        <f t="shared" si="85"/>
        <v>2</v>
      </c>
      <c r="CC17" s="54">
        <f t="shared" si="86"/>
        <v>5</v>
      </c>
      <c r="CD17" s="54">
        <f t="shared" si="87"/>
        <v>2</v>
      </c>
      <c r="CE17" s="54">
        <f t="shared" si="88"/>
        <v>5</v>
      </c>
      <c r="CF17" s="54">
        <f t="shared" si="89"/>
        <v>2</v>
      </c>
      <c r="CG17" s="54">
        <f t="shared" si="90"/>
        <v>5</v>
      </c>
      <c r="CH17" s="54">
        <f t="shared" si="91"/>
        <v>2</v>
      </c>
      <c r="CI17" s="54">
        <f t="shared" si="92"/>
        <v>5</v>
      </c>
      <c r="CJ17" s="54">
        <f t="shared" si="93"/>
        <v>2</v>
      </c>
      <c r="CK17" s="54">
        <f t="shared" si="94"/>
        <v>5</v>
      </c>
      <c r="CL17" s="54">
        <f t="shared" si="95"/>
        <v>2</v>
      </c>
      <c r="CM17" s="54">
        <f t="shared" si="96"/>
        <v>5</v>
      </c>
      <c r="CN17" s="54">
        <f t="shared" si="97"/>
        <v>2</v>
      </c>
      <c r="CO17" s="54">
        <f t="shared" si="98"/>
        <v>5</v>
      </c>
      <c r="CP17" s="54">
        <f t="shared" si="99"/>
        <v>2</v>
      </c>
      <c r="CQ17" s="54">
        <f t="shared" si="100"/>
        <v>5</v>
      </c>
      <c r="CR17" s="54">
        <f t="shared" si="101"/>
        <v>2</v>
      </c>
      <c r="CS17" s="54">
        <f t="shared" si="102"/>
        <v>5</v>
      </c>
      <c r="CT17" s="54">
        <f t="shared" si="103"/>
        <v>2</v>
      </c>
      <c r="CU17" s="54">
        <f t="shared" si="104"/>
        <v>5</v>
      </c>
      <c r="CV17" s="54">
        <f t="shared" si="105"/>
        <v>2</v>
      </c>
      <c r="CW17" s="54">
        <f t="shared" si="106"/>
        <v>5</v>
      </c>
      <c r="CX17" s="54">
        <f t="shared" si="107"/>
        <v>2</v>
      </c>
      <c r="CY17" s="54">
        <f t="shared" si="108"/>
        <v>5</v>
      </c>
      <c r="CZ17" s="54">
        <f t="shared" si="109"/>
        <v>2</v>
      </c>
      <c r="DA17" s="54">
        <f t="shared" si="110"/>
        <v>5</v>
      </c>
      <c r="DB17" s="54">
        <f t="shared" si="111"/>
        <v>2</v>
      </c>
      <c r="DC17" s="54">
        <f t="shared" si="112"/>
        <v>5</v>
      </c>
      <c r="DD17" s="54">
        <f t="shared" si="113"/>
        <v>2</v>
      </c>
      <c r="DE17" s="54">
        <f t="shared" si="114"/>
        <v>5</v>
      </c>
      <c r="DF17" s="54">
        <f t="shared" si="115"/>
        <v>2</v>
      </c>
      <c r="DG17" s="54">
        <f t="shared" si="116"/>
        <v>5</v>
      </c>
      <c r="DH17" s="54">
        <f t="shared" si="117"/>
        <v>2</v>
      </c>
      <c r="DI17" s="54">
        <f t="shared" si="118"/>
        <v>5</v>
      </c>
      <c r="DJ17" s="54">
        <f t="shared" si="119"/>
        <v>2</v>
      </c>
      <c r="DK17" s="54">
        <f t="shared" si="120"/>
        <v>5</v>
      </c>
      <c r="DL17" s="54">
        <f t="shared" si="121"/>
        <v>2</v>
      </c>
      <c r="DM17" s="54">
        <f t="shared" si="122"/>
        <v>5</v>
      </c>
      <c r="DN17" s="54">
        <f t="shared" si="123"/>
        <v>2</v>
      </c>
      <c r="DO17" s="54">
        <f t="shared" si="124"/>
        <v>5</v>
      </c>
      <c r="DP17" s="54">
        <f t="shared" si="125"/>
        <v>2</v>
      </c>
      <c r="DQ17" s="54">
        <f t="shared" si="126"/>
        <v>5</v>
      </c>
      <c r="DR17" s="54">
        <f t="shared" si="127"/>
        <v>2</v>
      </c>
      <c r="DS17" s="54">
        <f t="shared" si="128"/>
        <v>5</v>
      </c>
      <c r="DT17" s="54">
        <f t="shared" si="129"/>
        <v>2</v>
      </c>
      <c r="DU17" s="54">
        <f t="shared" si="130"/>
        <v>5</v>
      </c>
      <c r="DV17" s="54">
        <f t="shared" si="131"/>
        <v>2</v>
      </c>
      <c r="DW17" s="54">
        <f t="shared" si="132"/>
        <v>5</v>
      </c>
      <c r="DX17" s="54">
        <f t="shared" si="133"/>
        <v>2</v>
      </c>
      <c r="DY17" s="54">
        <f t="shared" si="134"/>
        <v>5</v>
      </c>
      <c r="DZ17" s="54">
        <f t="shared" si="135"/>
        <v>2</v>
      </c>
      <c r="EA17" s="54">
        <f t="shared" si="134"/>
        <v>5</v>
      </c>
      <c r="EB17" s="54">
        <f t="shared" si="135"/>
        <v>2</v>
      </c>
      <c r="EC17" s="54">
        <f t="shared" si="135"/>
        <v>5</v>
      </c>
      <c r="ED17" s="54">
        <f t="shared" si="136"/>
        <v>2</v>
      </c>
      <c r="EE17" s="54">
        <f t="shared" si="137"/>
        <v>5</v>
      </c>
      <c r="EF17" s="54">
        <f t="shared" si="138"/>
        <v>2</v>
      </c>
      <c r="EG17" s="54">
        <f t="shared" ref="EG17:EN17" si="150">EG16</f>
        <v>5</v>
      </c>
      <c r="EH17" s="54">
        <f t="shared" si="150"/>
        <v>2</v>
      </c>
      <c r="EI17" s="54">
        <f t="shared" si="150"/>
        <v>5</v>
      </c>
      <c r="EJ17" s="54">
        <f t="shared" si="150"/>
        <v>2</v>
      </c>
      <c r="EK17" s="54">
        <f t="shared" si="150"/>
        <v>5</v>
      </c>
      <c r="EL17" s="54">
        <f t="shared" si="150"/>
        <v>2</v>
      </c>
      <c r="EM17" s="54">
        <f t="shared" si="150"/>
        <v>5</v>
      </c>
      <c r="EN17" s="54">
        <f t="shared" si="150"/>
        <v>2</v>
      </c>
      <c r="EO17" s="54">
        <f t="shared" si="7"/>
        <v>2</v>
      </c>
      <c r="EP17" s="54">
        <f t="shared" si="8"/>
        <v>2</v>
      </c>
    </row>
    <row r="18" spans="1:146" x14ac:dyDescent="0.2">
      <c r="B18" t="s">
        <v>230</v>
      </c>
      <c r="C18" s="54">
        <f t="shared" si="9"/>
        <v>45474</v>
      </c>
      <c r="D18" s="54">
        <f t="shared" si="1"/>
        <v>1</v>
      </c>
      <c r="E18" s="54">
        <f t="shared" si="10"/>
        <v>4</v>
      </c>
      <c r="F18" s="54">
        <f t="shared" si="11"/>
        <v>2</v>
      </c>
      <c r="G18" s="54">
        <f t="shared" si="12"/>
        <v>5</v>
      </c>
      <c r="H18" s="54">
        <f t="shared" si="13"/>
        <v>2</v>
      </c>
      <c r="I18" s="54">
        <f t="shared" si="14"/>
        <v>5</v>
      </c>
      <c r="J18" s="54">
        <f t="shared" si="15"/>
        <v>2</v>
      </c>
      <c r="K18" s="54">
        <f t="shared" si="16"/>
        <v>5</v>
      </c>
      <c r="L18" s="54">
        <f t="shared" si="17"/>
        <v>2</v>
      </c>
      <c r="M18" s="54">
        <f t="shared" si="18"/>
        <v>5</v>
      </c>
      <c r="N18" s="54">
        <f t="shared" si="19"/>
        <v>2</v>
      </c>
      <c r="O18" s="54">
        <f t="shared" si="20"/>
        <v>5</v>
      </c>
      <c r="P18" s="54">
        <f t="shared" si="21"/>
        <v>2</v>
      </c>
      <c r="Q18" s="54">
        <f t="shared" si="22"/>
        <v>5</v>
      </c>
      <c r="R18" s="54">
        <f t="shared" si="23"/>
        <v>2</v>
      </c>
      <c r="S18" s="54">
        <f t="shared" si="24"/>
        <v>5</v>
      </c>
      <c r="T18" s="54">
        <f t="shared" si="25"/>
        <v>2</v>
      </c>
      <c r="U18" s="54">
        <f t="shared" si="26"/>
        <v>5</v>
      </c>
      <c r="V18" s="54">
        <f t="shared" si="27"/>
        <v>2</v>
      </c>
      <c r="W18" s="54">
        <f t="shared" si="28"/>
        <v>5</v>
      </c>
      <c r="X18" s="54">
        <f t="shared" si="29"/>
        <v>2</v>
      </c>
      <c r="Y18" s="54">
        <f t="shared" si="30"/>
        <v>5</v>
      </c>
      <c r="Z18" s="54">
        <f t="shared" si="31"/>
        <v>2</v>
      </c>
      <c r="AA18" s="54">
        <f t="shared" si="32"/>
        <v>5</v>
      </c>
      <c r="AB18" s="54">
        <f t="shared" si="33"/>
        <v>2</v>
      </c>
      <c r="AC18" s="54">
        <f t="shared" si="34"/>
        <v>5</v>
      </c>
      <c r="AD18" s="54">
        <f t="shared" si="35"/>
        <v>2</v>
      </c>
      <c r="AE18" s="54">
        <f t="shared" si="36"/>
        <v>5</v>
      </c>
      <c r="AF18" s="54">
        <f t="shared" si="37"/>
        <v>2</v>
      </c>
      <c r="AG18" s="54">
        <f t="shared" si="38"/>
        <v>5</v>
      </c>
      <c r="AH18" s="54">
        <f t="shared" si="39"/>
        <v>2</v>
      </c>
      <c r="AI18" s="54">
        <f t="shared" si="40"/>
        <v>5</v>
      </c>
      <c r="AJ18" s="54">
        <f t="shared" si="41"/>
        <v>2</v>
      </c>
      <c r="AK18" s="54">
        <f t="shared" si="42"/>
        <v>5</v>
      </c>
      <c r="AL18" s="54">
        <f t="shared" si="43"/>
        <v>2</v>
      </c>
      <c r="AM18" s="54">
        <f t="shared" si="44"/>
        <v>5</v>
      </c>
      <c r="AN18" s="54">
        <f t="shared" si="45"/>
        <v>2</v>
      </c>
      <c r="AO18" s="54">
        <f t="shared" si="46"/>
        <v>5</v>
      </c>
      <c r="AP18" s="54">
        <f t="shared" si="47"/>
        <v>2</v>
      </c>
      <c r="AQ18" s="54">
        <f t="shared" si="48"/>
        <v>5</v>
      </c>
      <c r="AR18" s="54">
        <f t="shared" si="49"/>
        <v>2</v>
      </c>
      <c r="AS18" s="54">
        <f t="shared" si="50"/>
        <v>5</v>
      </c>
      <c r="AT18" s="54">
        <f t="shared" si="51"/>
        <v>2</v>
      </c>
      <c r="AU18" s="54">
        <f t="shared" si="52"/>
        <v>5</v>
      </c>
      <c r="AV18" s="54">
        <f t="shared" si="53"/>
        <v>2</v>
      </c>
      <c r="AW18" s="54">
        <f t="shared" si="54"/>
        <v>5</v>
      </c>
      <c r="AX18" s="54">
        <f t="shared" si="55"/>
        <v>2</v>
      </c>
      <c r="AY18" s="54">
        <f t="shared" si="56"/>
        <v>5</v>
      </c>
      <c r="AZ18" s="54">
        <f t="shared" si="57"/>
        <v>2</v>
      </c>
      <c r="BA18" s="54">
        <f t="shared" si="58"/>
        <v>5</v>
      </c>
      <c r="BB18" s="54">
        <f t="shared" si="59"/>
        <v>2</v>
      </c>
      <c r="BC18" s="54">
        <f t="shared" si="60"/>
        <v>5</v>
      </c>
      <c r="BD18" s="54">
        <f t="shared" si="61"/>
        <v>2</v>
      </c>
      <c r="BE18" s="54">
        <f t="shared" si="62"/>
        <v>5</v>
      </c>
      <c r="BF18" s="54">
        <f t="shared" si="63"/>
        <v>2</v>
      </c>
      <c r="BG18" s="54">
        <f t="shared" si="64"/>
        <v>5</v>
      </c>
      <c r="BH18" s="54">
        <f t="shared" si="65"/>
        <v>2</v>
      </c>
      <c r="BI18" s="54">
        <f t="shared" si="66"/>
        <v>5</v>
      </c>
      <c r="BJ18" s="54">
        <f t="shared" si="67"/>
        <v>2</v>
      </c>
      <c r="BK18" s="54">
        <f t="shared" si="68"/>
        <v>5</v>
      </c>
      <c r="BL18" s="54">
        <f t="shared" si="69"/>
        <v>2</v>
      </c>
      <c r="BM18" s="54">
        <f t="shared" si="70"/>
        <v>5</v>
      </c>
      <c r="BN18" s="54">
        <f t="shared" si="71"/>
        <v>2</v>
      </c>
      <c r="BO18" s="54">
        <f t="shared" si="72"/>
        <v>5</v>
      </c>
      <c r="BP18" s="54">
        <f t="shared" si="73"/>
        <v>2</v>
      </c>
      <c r="BQ18" s="54">
        <f t="shared" si="74"/>
        <v>5</v>
      </c>
      <c r="BR18" s="54">
        <f t="shared" si="75"/>
        <v>2</v>
      </c>
      <c r="BS18" s="54">
        <f t="shared" si="76"/>
        <v>5</v>
      </c>
      <c r="BT18" s="54">
        <f t="shared" si="77"/>
        <v>2</v>
      </c>
      <c r="BU18" s="54">
        <f t="shared" si="78"/>
        <v>5</v>
      </c>
      <c r="BV18" s="54">
        <f t="shared" si="79"/>
        <v>2</v>
      </c>
      <c r="BW18" s="54">
        <f t="shared" si="80"/>
        <v>5</v>
      </c>
      <c r="BX18" s="54">
        <f t="shared" si="81"/>
        <v>2</v>
      </c>
      <c r="BY18" s="54">
        <f t="shared" si="82"/>
        <v>5</v>
      </c>
      <c r="BZ18" s="54">
        <f t="shared" si="83"/>
        <v>2</v>
      </c>
      <c r="CA18" s="54">
        <f t="shared" si="84"/>
        <v>5</v>
      </c>
      <c r="CB18" s="54">
        <f t="shared" si="85"/>
        <v>2</v>
      </c>
      <c r="CC18" s="54">
        <f t="shared" si="86"/>
        <v>5</v>
      </c>
      <c r="CD18" s="54">
        <f t="shared" si="87"/>
        <v>2</v>
      </c>
      <c r="CE18" s="54">
        <f t="shared" si="88"/>
        <v>5</v>
      </c>
      <c r="CF18" s="54">
        <f t="shared" si="89"/>
        <v>2</v>
      </c>
      <c r="CG18" s="54">
        <f t="shared" si="90"/>
        <v>5</v>
      </c>
      <c r="CH18" s="54">
        <f t="shared" si="91"/>
        <v>2</v>
      </c>
      <c r="CI18" s="54">
        <f t="shared" si="92"/>
        <v>5</v>
      </c>
      <c r="CJ18" s="54">
        <f t="shared" si="93"/>
        <v>2</v>
      </c>
      <c r="CK18" s="54">
        <f t="shared" si="94"/>
        <v>5</v>
      </c>
      <c r="CL18" s="54">
        <f t="shared" si="95"/>
        <v>2</v>
      </c>
      <c r="CM18" s="54">
        <f t="shared" si="96"/>
        <v>5</v>
      </c>
      <c r="CN18" s="54">
        <f t="shared" si="97"/>
        <v>2</v>
      </c>
      <c r="CO18" s="54">
        <f t="shared" si="98"/>
        <v>5</v>
      </c>
      <c r="CP18" s="54">
        <f t="shared" si="99"/>
        <v>2</v>
      </c>
      <c r="CQ18" s="54">
        <f t="shared" si="100"/>
        <v>5</v>
      </c>
      <c r="CR18" s="54">
        <f t="shared" si="101"/>
        <v>2</v>
      </c>
      <c r="CS18" s="54">
        <f t="shared" si="102"/>
        <v>5</v>
      </c>
      <c r="CT18" s="54">
        <f t="shared" si="103"/>
        <v>2</v>
      </c>
      <c r="CU18" s="54">
        <f t="shared" si="104"/>
        <v>5</v>
      </c>
      <c r="CV18" s="54">
        <f t="shared" si="105"/>
        <v>2</v>
      </c>
      <c r="CW18" s="54">
        <f t="shared" si="106"/>
        <v>5</v>
      </c>
      <c r="CX18" s="54">
        <f t="shared" si="107"/>
        <v>2</v>
      </c>
      <c r="CY18" s="54">
        <f t="shared" si="108"/>
        <v>5</v>
      </c>
      <c r="CZ18" s="54">
        <f t="shared" si="109"/>
        <v>2</v>
      </c>
      <c r="DA18" s="54">
        <f t="shared" si="110"/>
        <v>5</v>
      </c>
      <c r="DB18" s="54">
        <f t="shared" si="111"/>
        <v>2</v>
      </c>
      <c r="DC18" s="54">
        <f t="shared" si="112"/>
        <v>5</v>
      </c>
      <c r="DD18" s="54">
        <f t="shared" si="113"/>
        <v>2</v>
      </c>
      <c r="DE18" s="54">
        <f t="shared" si="114"/>
        <v>5</v>
      </c>
      <c r="DF18" s="54">
        <f t="shared" si="115"/>
        <v>2</v>
      </c>
      <c r="DG18" s="54">
        <f t="shared" si="116"/>
        <v>5</v>
      </c>
      <c r="DH18" s="54">
        <f t="shared" si="117"/>
        <v>2</v>
      </c>
      <c r="DI18" s="54">
        <f t="shared" si="118"/>
        <v>5</v>
      </c>
      <c r="DJ18" s="54">
        <f t="shared" si="119"/>
        <v>2</v>
      </c>
      <c r="DK18" s="54">
        <f t="shared" si="120"/>
        <v>5</v>
      </c>
      <c r="DL18" s="54">
        <f t="shared" si="121"/>
        <v>2</v>
      </c>
      <c r="DM18" s="54">
        <f t="shared" si="122"/>
        <v>5</v>
      </c>
      <c r="DN18" s="54">
        <f t="shared" si="123"/>
        <v>2</v>
      </c>
      <c r="DO18" s="54">
        <f t="shared" si="124"/>
        <v>5</v>
      </c>
      <c r="DP18" s="54">
        <f t="shared" si="125"/>
        <v>2</v>
      </c>
      <c r="DQ18" s="54">
        <f t="shared" si="126"/>
        <v>5</v>
      </c>
      <c r="DR18" s="54">
        <f t="shared" si="127"/>
        <v>2</v>
      </c>
      <c r="DS18" s="54">
        <f t="shared" si="128"/>
        <v>5</v>
      </c>
      <c r="DT18" s="54">
        <f t="shared" si="129"/>
        <v>2</v>
      </c>
      <c r="DU18" s="54">
        <f t="shared" si="130"/>
        <v>5</v>
      </c>
      <c r="DV18" s="54">
        <f t="shared" si="131"/>
        <v>2</v>
      </c>
      <c r="DW18" s="54">
        <f t="shared" si="132"/>
        <v>5</v>
      </c>
      <c r="DX18" s="54">
        <f t="shared" si="133"/>
        <v>2</v>
      </c>
      <c r="DY18" s="54">
        <f t="shared" si="134"/>
        <v>5</v>
      </c>
      <c r="DZ18" s="54">
        <f t="shared" si="135"/>
        <v>2</v>
      </c>
      <c r="EA18" s="54">
        <f t="shared" si="134"/>
        <v>5</v>
      </c>
      <c r="EB18" s="54">
        <f t="shared" si="135"/>
        <v>2</v>
      </c>
      <c r="EC18" s="54">
        <f t="shared" si="135"/>
        <v>5</v>
      </c>
      <c r="ED18" s="54">
        <f t="shared" si="136"/>
        <v>2</v>
      </c>
      <c r="EE18" s="54">
        <f t="shared" si="137"/>
        <v>5</v>
      </c>
      <c r="EF18" s="54">
        <f t="shared" si="138"/>
        <v>2</v>
      </c>
      <c r="EG18" s="54">
        <f t="shared" ref="EG18:EN18" si="151">EG17</f>
        <v>5</v>
      </c>
      <c r="EH18" s="54">
        <f t="shared" si="151"/>
        <v>2</v>
      </c>
      <c r="EI18" s="54">
        <f t="shared" si="151"/>
        <v>5</v>
      </c>
      <c r="EJ18" s="54">
        <f t="shared" si="151"/>
        <v>2</v>
      </c>
      <c r="EK18" s="54">
        <f t="shared" si="151"/>
        <v>5</v>
      </c>
      <c r="EL18" s="54">
        <f t="shared" si="151"/>
        <v>2</v>
      </c>
      <c r="EM18" s="54">
        <f t="shared" si="151"/>
        <v>5</v>
      </c>
      <c r="EN18" s="54">
        <f t="shared" si="151"/>
        <v>2</v>
      </c>
      <c r="EO18" s="54">
        <f t="shared" si="7"/>
        <v>2</v>
      </c>
      <c r="EP18" s="54">
        <f t="shared" si="8"/>
        <v>2</v>
      </c>
    </row>
    <row r="19" spans="1:146" x14ac:dyDescent="0.2">
      <c r="B19" t="s">
        <v>230</v>
      </c>
      <c r="C19" s="54">
        <f t="shared" si="9"/>
        <v>45474</v>
      </c>
      <c r="D19" s="54">
        <f t="shared" si="1"/>
        <v>1</v>
      </c>
      <c r="E19" s="54">
        <f t="shared" si="10"/>
        <v>4</v>
      </c>
      <c r="F19" s="54">
        <f t="shared" si="11"/>
        <v>2</v>
      </c>
      <c r="G19" s="54">
        <f t="shared" si="12"/>
        <v>5</v>
      </c>
      <c r="H19" s="54">
        <f t="shared" si="13"/>
        <v>2</v>
      </c>
      <c r="I19" s="54">
        <f t="shared" si="14"/>
        <v>5</v>
      </c>
      <c r="J19" s="54">
        <f t="shared" si="15"/>
        <v>2</v>
      </c>
      <c r="K19" s="54">
        <f t="shared" si="16"/>
        <v>5</v>
      </c>
      <c r="L19" s="54">
        <f t="shared" si="17"/>
        <v>2</v>
      </c>
      <c r="M19" s="54">
        <f t="shared" si="18"/>
        <v>5</v>
      </c>
      <c r="N19" s="54">
        <f t="shared" si="19"/>
        <v>2</v>
      </c>
      <c r="O19" s="54">
        <f t="shared" si="20"/>
        <v>5</v>
      </c>
      <c r="P19" s="54">
        <f t="shared" si="21"/>
        <v>2</v>
      </c>
      <c r="Q19" s="54">
        <f t="shared" si="22"/>
        <v>5</v>
      </c>
      <c r="R19" s="54">
        <f t="shared" si="23"/>
        <v>2</v>
      </c>
      <c r="S19" s="54">
        <f t="shared" si="24"/>
        <v>5</v>
      </c>
      <c r="T19" s="54">
        <f t="shared" si="25"/>
        <v>2</v>
      </c>
      <c r="U19" s="54">
        <f t="shared" si="26"/>
        <v>5</v>
      </c>
      <c r="V19" s="54">
        <f t="shared" si="27"/>
        <v>2</v>
      </c>
      <c r="W19" s="54">
        <f t="shared" si="28"/>
        <v>5</v>
      </c>
      <c r="X19" s="54">
        <f t="shared" si="29"/>
        <v>2</v>
      </c>
      <c r="Y19" s="54">
        <f t="shared" si="30"/>
        <v>5</v>
      </c>
      <c r="Z19" s="54">
        <f t="shared" si="31"/>
        <v>2</v>
      </c>
      <c r="AA19" s="54">
        <f t="shared" si="32"/>
        <v>5</v>
      </c>
      <c r="AB19" s="54">
        <f t="shared" si="33"/>
        <v>2</v>
      </c>
      <c r="AC19" s="54">
        <f t="shared" si="34"/>
        <v>5</v>
      </c>
      <c r="AD19" s="54">
        <f t="shared" si="35"/>
        <v>2</v>
      </c>
      <c r="AE19" s="54">
        <f t="shared" si="36"/>
        <v>5</v>
      </c>
      <c r="AF19" s="54">
        <f t="shared" si="37"/>
        <v>2</v>
      </c>
      <c r="AG19" s="54">
        <f t="shared" si="38"/>
        <v>5</v>
      </c>
      <c r="AH19" s="54">
        <f t="shared" si="39"/>
        <v>2</v>
      </c>
      <c r="AI19" s="54">
        <f t="shared" si="40"/>
        <v>5</v>
      </c>
      <c r="AJ19" s="54">
        <f t="shared" si="41"/>
        <v>2</v>
      </c>
      <c r="AK19" s="54">
        <f t="shared" si="42"/>
        <v>5</v>
      </c>
      <c r="AL19" s="54">
        <f t="shared" si="43"/>
        <v>2</v>
      </c>
      <c r="AM19" s="54">
        <f t="shared" si="44"/>
        <v>5</v>
      </c>
      <c r="AN19" s="54">
        <f t="shared" si="45"/>
        <v>2</v>
      </c>
      <c r="AO19" s="54">
        <f t="shared" si="46"/>
        <v>5</v>
      </c>
      <c r="AP19" s="54">
        <f t="shared" si="47"/>
        <v>2</v>
      </c>
      <c r="AQ19" s="54">
        <f t="shared" si="48"/>
        <v>5</v>
      </c>
      <c r="AR19" s="54">
        <f t="shared" si="49"/>
        <v>2</v>
      </c>
      <c r="AS19" s="54">
        <f t="shared" si="50"/>
        <v>5</v>
      </c>
      <c r="AT19" s="54">
        <f t="shared" si="51"/>
        <v>2</v>
      </c>
      <c r="AU19" s="54">
        <f t="shared" si="52"/>
        <v>5</v>
      </c>
      <c r="AV19" s="54">
        <f t="shared" si="53"/>
        <v>2</v>
      </c>
      <c r="AW19" s="54">
        <f t="shared" si="54"/>
        <v>5</v>
      </c>
      <c r="AX19" s="54">
        <f t="shared" si="55"/>
        <v>2</v>
      </c>
      <c r="AY19" s="54">
        <f t="shared" si="56"/>
        <v>5</v>
      </c>
      <c r="AZ19" s="54">
        <f t="shared" si="57"/>
        <v>2</v>
      </c>
      <c r="BA19" s="54">
        <f t="shared" si="58"/>
        <v>5</v>
      </c>
      <c r="BB19" s="54">
        <f t="shared" si="59"/>
        <v>2</v>
      </c>
      <c r="BC19" s="54">
        <f t="shared" si="60"/>
        <v>5</v>
      </c>
      <c r="BD19" s="54">
        <f t="shared" si="61"/>
        <v>2</v>
      </c>
      <c r="BE19" s="54">
        <f t="shared" si="62"/>
        <v>5</v>
      </c>
      <c r="BF19" s="54">
        <f t="shared" si="63"/>
        <v>2</v>
      </c>
      <c r="BG19" s="54">
        <f t="shared" si="64"/>
        <v>5</v>
      </c>
      <c r="BH19" s="54">
        <f t="shared" si="65"/>
        <v>2</v>
      </c>
      <c r="BI19" s="54">
        <f t="shared" si="66"/>
        <v>5</v>
      </c>
      <c r="BJ19" s="54">
        <f t="shared" si="67"/>
        <v>2</v>
      </c>
      <c r="BK19" s="54">
        <f t="shared" si="68"/>
        <v>5</v>
      </c>
      <c r="BL19" s="54">
        <f t="shared" si="69"/>
        <v>2</v>
      </c>
      <c r="BM19" s="54">
        <f t="shared" si="70"/>
        <v>5</v>
      </c>
      <c r="BN19" s="54">
        <f t="shared" si="71"/>
        <v>2</v>
      </c>
      <c r="BO19" s="54">
        <f t="shared" si="72"/>
        <v>5</v>
      </c>
      <c r="BP19" s="54">
        <f t="shared" si="73"/>
        <v>2</v>
      </c>
      <c r="BQ19" s="54">
        <f t="shared" si="74"/>
        <v>5</v>
      </c>
      <c r="BR19" s="54">
        <f t="shared" si="75"/>
        <v>2</v>
      </c>
      <c r="BS19" s="54">
        <f t="shared" si="76"/>
        <v>5</v>
      </c>
      <c r="BT19" s="54">
        <f t="shared" si="77"/>
        <v>2</v>
      </c>
      <c r="BU19" s="54">
        <f t="shared" si="78"/>
        <v>5</v>
      </c>
      <c r="BV19" s="54">
        <f t="shared" si="79"/>
        <v>2</v>
      </c>
      <c r="BW19" s="54">
        <f t="shared" si="80"/>
        <v>5</v>
      </c>
      <c r="BX19" s="54">
        <f t="shared" si="81"/>
        <v>2</v>
      </c>
      <c r="BY19" s="54">
        <f t="shared" si="82"/>
        <v>5</v>
      </c>
      <c r="BZ19" s="54">
        <f t="shared" si="83"/>
        <v>2</v>
      </c>
      <c r="CA19" s="54">
        <f t="shared" si="84"/>
        <v>5</v>
      </c>
      <c r="CB19" s="54">
        <f t="shared" si="85"/>
        <v>2</v>
      </c>
      <c r="CC19" s="54">
        <f t="shared" si="86"/>
        <v>5</v>
      </c>
      <c r="CD19" s="54">
        <f t="shared" si="87"/>
        <v>2</v>
      </c>
      <c r="CE19" s="54">
        <f t="shared" si="88"/>
        <v>5</v>
      </c>
      <c r="CF19" s="54">
        <f t="shared" si="89"/>
        <v>2</v>
      </c>
      <c r="CG19" s="54">
        <f t="shared" si="90"/>
        <v>5</v>
      </c>
      <c r="CH19" s="54">
        <f t="shared" si="91"/>
        <v>2</v>
      </c>
      <c r="CI19" s="54">
        <f t="shared" si="92"/>
        <v>5</v>
      </c>
      <c r="CJ19" s="54">
        <f t="shared" si="93"/>
        <v>2</v>
      </c>
      <c r="CK19" s="54">
        <f t="shared" si="94"/>
        <v>5</v>
      </c>
      <c r="CL19" s="54">
        <f t="shared" si="95"/>
        <v>2</v>
      </c>
      <c r="CM19" s="54">
        <f t="shared" si="96"/>
        <v>5</v>
      </c>
      <c r="CN19" s="54">
        <f t="shared" si="97"/>
        <v>2</v>
      </c>
      <c r="CO19" s="54">
        <f t="shared" si="98"/>
        <v>5</v>
      </c>
      <c r="CP19" s="54">
        <f t="shared" si="99"/>
        <v>2</v>
      </c>
      <c r="CQ19" s="54">
        <f t="shared" si="100"/>
        <v>5</v>
      </c>
      <c r="CR19" s="54">
        <f t="shared" si="101"/>
        <v>2</v>
      </c>
      <c r="CS19" s="54">
        <f t="shared" si="102"/>
        <v>5</v>
      </c>
      <c r="CT19" s="54">
        <f t="shared" si="103"/>
        <v>2</v>
      </c>
      <c r="CU19" s="54">
        <f t="shared" si="104"/>
        <v>5</v>
      </c>
      <c r="CV19" s="54">
        <f t="shared" si="105"/>
        <v>2</v>
      </c>
      <c r="CW19" s="54">
        <f t="shared" si="106"/>
        <v>5</v>
      </c>
      <c r="CX19" s="54">
        <f t="shared" si="107"/>
        <v>2</v>
      </c>
      <c r="CY19" s="54">
        <f t="shared" si="108"/>
        <v>5</v>
      </c>
      <c r="CZ19" s="54">
        <f t="shared" si="109"/>
        <v>2</v>
      </c>
      <c r="DA19" s="54">
        <f t="shared" si="110"/>
        <v>5</v>
      </c>
      <c r="DB19" s="54">
        <f t="shared" si="111"/>
        <v>2</v>
      </c>
      <c r="DC19" s="54">
        <f t="shared" si="112"/>
        <v>5</v>
      </c>
      <c r="DD19" s="54">
        <f t="shared" si="113"/>
        <v>2</v>
      </c>
      <c r="DE19" s="54">
        <f t="shared" si="114"/>
        <v>5</v>
      </c>
      <c r="DF19" s="54">
        <f t="shared" si="115"/>
        <v>2</v>
      </c>
      <c r="DG19" s="54">
        <f t="shared" si="116"/>
        <v>5</v>
      </c>
      <c r="DH19" s="54">
        <f t="shared" si="117"/>
        <v>2</v>
      </c>
      <c r="DI19" s="54">
        <f t="shared" si="118"/>
        <v>5</v>
      </c>
      <c r="DJ19" s="54">
        <f t="shared" si="119"/>
        <v>2</v>
      </c>
      <c r="DK19" s="54">
        <f t="shared" si="120"/>
        <v>5</v>
      </c>
      <c r="DL19" s="54">
        <f t="shared" si="121"/>
        <v>2</v>
      </c>
      <c r="DM19" s="54">
        <f t="shared" si="122"/>
        <v>5</v>
      </c>
      <c r="DN19" s="54">
        <f t="shared" si="123"/>
        <v>2</v>
      </c>
      <c r="DO19" s="54">
        <f t="shared" si="124"/>
        <v>5</v>
      </c>
      <c r="DP19" s="54">
        <f t="shared" si="125"/>
        <v>2</v>
      </c>
      <c r="DQ19" s="54">
        <f t="shared" si="126"/>
        <v>5</v>
      </c>
      <c r="DR19" s="54">
        <f t="shared" si="127"/>
        <v>2</v>
      </c>
      <c r="DS19" s="54">
        <f t="shared" si="128"/>
        <v>5</v>
      </c>
      <c r="DT19" s="54">
        <f t="shared" si="129"/>
        <v>2</v>
      </c>
      <c r="DU19" s="54">
        <f t="shared" si="130"/>
        <v>5</v>
      </c>
      <c r="DV19" s="54">
        <f t="shared" si="131"/>
        <v>2</v>
      </c>
      <c r="DW19" s="54">
        <f t="shared" si="132"/>
        <v>5</v>
      </c>
      <c r="DX19" s="54">
        <f t="shared" si="133"/>
        <v>2</v>
      </c>
      <c r="DY19" s="54">
        <f t="shared" si="134"/>
        <v>5</v>
      </c>
      <c r="DZ19" s="54">
        <f t="shared" si="135"/>
        <v>2</v>
      </c>
      <c r="EA19" s="54">
        <f t="shared" si="134"/>
        <v>5</v>
      </c>
      <c r="EB19" s="54">
        <f t="shared" si="135"/>
        <v>2</v>
      </c>
      <c r="EC19" s="54">
        <f t="shared" si="135"/>
        <v>5</v>
      </c>
      <c r="ED19" s="54">
        <f t="shared" si="136"/>
        <v>2</v>
      </c>
      <c r="EE19" s="54">
        <f t="shared" si="137"/>
        <v>5</v>
      </c>
      <c r="EF19" s="54">
        <f t="shared" si="138"/>
        <v>2</v>
      </c>
      <c r="EG19" s="54">
        <f t="shared" ref="EG19:EN19" si="152">EG18</f>
        <v>5</v>
      </c>
      <c r="EH19" s="54">
        <f t="shared" si="152"/>
        <v>2</v>
      </c>
      <c r="EI19" s="54">
        <f t="shared" si="152"/>
        <v>5</v>
      </c>
      <c r="EJ19" s="54">
        <f t="shared" si="152"/>
        <v>2</v>
      </c>
      <c r="EK19" s="54">
        <f t="shared" si="152"/>
        <v>5</v>
      </c>
      <c r="EL19" s="54">
        <f t="shared" si="152"/>
        <v>2</v>
      </c>
      <c r="EM19" s="54">
        <f t="shared" si="152"/>
        <v>5</v>
      </c>
      <c r="EN19" s="54">
        <f t="shared" si="152"/>
        <v>2</v>
      </c>
      <c r="EO19" s="54">
        <f t="shared" si="7"/>
        <v>2</v>
      </c>
      <c r="EP19" s="54">
        <f t="shared" si="8"/>
        <v>2</v>
      </c>
    </row>
    <row r="20" spans="1:146" x14ac:dyDescent="0.2">
      <c r="A20" s="54"/>
      <c r="B20" t="s">
        <v>230</v>
      </c>
      <c r="C20" s="54">
        <f t="shared" si="9"/>
        <v>45474</v>
      </c>
      <c r="D20" s="54">
        <f t="shared" si="1"/>
        <v>1</v>
      </c>
      <c r="E20" s="54">
        <f t="shared" si="10"/>
        <v>4</v>
      </c>
      <c r="F20" s="54">
        <f t="shared" si="11"/>
        <v>2</v>
      </c>
      <c r="G20" s="54">
        <f t="shared" si="12"/>
        <v>5</v>
      </c>
      <c r="H20" s="54">
        <f t="shared" si="13"/>
        <v>2</v>
      </c>
      <c r="I20" s="54">
        <f t="shared" si="14"/>
        <v>5</v>
      </c>
      <c r="J20" s="54">
        <f t="shared" si="15"/>
        <v>2</v>
      </c>
      <c r="K20" s="54">
        <f t="shared" si="16"/>
        <v>5</v>
      </c>
      <c r="L20" s="54">
        <f t="shared" si="17"/>
        <v>2</v>
      </c>
      <c r="M20" s="54">
        <f t="shared" si="18"/>
        <v>5</v>
      </c>
      <c r="N20" s="54">
        <f t="shared" si="19"/>
        <v>2</v>
      </c>
      <c r="O20" s="54">
        <f t="shared" si="20"/>
        <v>5</v>
      </c>
      <c r="P20" s="54">
        <f t="shared" si="21"/>
        <v>2</v>
      </c>
      <c r="Q20" s="54">
        <f t="shared" si="22"/>
        <v>5</v>
      </c>
      <c r="R20" s="54">
        <f t="shared" si="23"/>
        <v>2</v>
      </c>
      <c r="S20" s="54">
        <f t="shared" si="24"/>
        <v>5</v>
      </c>
      <c r="T20" s="54">
        <f t="shared" si="25"/>
        <v>2</v>
      </c>
      <c r="U20" s="54">
        <f t="shared" si="26"/>
        <v>5</v>
      </c>
      <c r="V20" s="54">
        <f t="shared" si="27"/>
        <v>2</v>
      </c>
      <c r="W20" s="54">
        <f t="shared" si="28"/>
        <v>5</v>
      </c>
      <c r="X20" s="54">
        <f t="shared" si="29"/>
        <v>2</v>
      </c>
      <c r="Y20" s="54">
        <f t="shared" si="30"/>
        <v>5</v>
      </c>
      <c r="Z20" s="54">
        <f t="shared" si="31"/>
        <v>2</v>
      </c>
      <c r="AA20" s="54">
        <f t="shared" si="32"/>
        <v>5</v>
      </c>
      <c r="AB20" s="54">
        <f t="shared" si="33"/>
        <v>2</v>
      </c>
      <c r="AC20" s="54">
        <f t="shared" si="34"/>
        <v>5</v>
      </c>
      <c r="AD20" s="54">
        <f t="shared" si="35"/>
        <v>2</v>
      </c>
      <c r="AE20" s="54">
        <f t="shared" si="36"/>
        <v>5</v>
      </c>
      <c r="AF20" s="54">
        <f t="shared" si="37"/>
        <v>2</v>
      </c>
      <c r="AG20" s="54">
        <f t="shared" si="38"/>
        <v>5</v>
      </c>
      <c r="AH20" s="54">
        <f t="shared" si="39"/>
        <v>2</v>
      </c>
      <c r="AI20" s="54">
        <f t="shared" si="40"/>
        <v>5</v>
      </c>
      <c r="AJ20" s="54">
        <f t="shared" si="41"/>
        <v>2</v>
      </c>
      <c r="AK20" s="54">
        <f t="shared" si="42"/>
        <v>5</v>
      </c>
      <c r="AL20" s="54">
        <f t="shared" si="43"/>
        <v>2</v>
      </c>
      <c r="AM20" s="54">
        <f t="shared" si="44"/>
        <v>5</v>
      </c>
      <c r="AN20" s="54">
        <f t="shared" si="45"/>
        <v>2</v>
      </c>
      <c r="AO20" s="54">
        <f t="shared" si="46"/>
        <v>5</v>
      </c>
      <c r="AP20" s="54">
        <f t="shared" si="47"/>
        <v>2</v>
      </c>
      <c r="AQ20" s="54">
        <f t="shared" si="48"/>
        <v>5</v>
      </c>
      <c r="AR20" s="54">
        <f t="shared" si="49"/>
        <v>2</v>
      </c>
      <c r="AS20" s="54">
        <f t="shared" si="50"/>
        <v>5</v>
      </c>
      <c r="AT20" s="54">
        <f t="shared" si="51"/>
        <v>2</v>
      </c>
      <c r="AU20" s="54">
        <f t="shared" si="52"/>
        <v>5</v>
      </c>
      <c r="AV20" s="54">
        <f t="shared" si="53"/>
        <v>2</v>
      </c>
      <c r="AW20" s="54">
        <f t="shared" si="54"/>
        <v>5</v>
      </c>
      <c r="AX20" s="54">
        <f t="shared" si="55"/>
        <v>2</v>
      </c>
      <c r="AY20" s="54">
        <f t="shared" si="56"/>
        <v>5</v>
      </c>
      <c r="AZ20" s="54">
        <f t="shared" si="57"/>
        <v>2</v>
      </c>
      <c r="BA20" s="54">
        <f t="shared" si="58"/>
        <v>5</v>
      </c>
      <c r="BB20" s="54">
        <f t="shared" si="59"/>
        <v>2</v>
      </c>
      <c r="BC20" s="54">
        <f t="shared" si="60"/>
        <v>5</v>
      </c>
      <c r="BD20" s="54">
        <f t="shared" si="61"/>
        <v>2</v>
      </c>
      <c r="BE20" s="54">
        <f t="shared" si="62"/>
        <v>5</v>
      </c>
      <c r="BF20" s="54">
        <f t="shared" si="63"/>
        <v>2</v>
      </c>
      <c r="BG20" s="54">
        <f t="shared" si="64"/>
        <v>5</v>
      </c>
      <c r="BH20" s="54">
        <f t="shared" si="65"/>
        <v>2</v>
      </c>
      <c r="BI20" s="54">
        <f t="shared" si="66"/>
        <v>5</v>
      </c>
      <c r="BJ20" s="54">
        <f t="shared" si="67"/>
        <v>2</v>
      </c>
      <c r="BK20" s="54">
        <f t="shared" si="68"/>
        <v>5</v>
      </c>
      <c r="BL20" s="54">
        <f t="shared" si="69"/>
        <v>2</v>
      </c>
      <c r="BM20" s="54">
        <f t="shared" si="70"/>
        <v>5</v>
      </c>
      <c r="BN20" s="54">
        <f t="shared" si="71"/>
        <v>2</v>
      </c>
      <c r="BO20" s="54">
        <f t="shared" si="72"/>
        <v>5</v>
      </c>
      <c r="BP20" s="54">
        <f t="shared" si="73"/>
        <v>2</v>
      </c>
      <c r="BQ20" s="54">
        <f t="shared" si="74"/>
        <v>5</v>
      </c>
      <c r="BR20" s="54">
        <f t="shared" si="75"/>
        <v>2</v>
      </c>
      <c r="BS20" s="54">
        <f t="shared" si="76"/>
        <v>5</v>
      </c>
      <c r="BT20" s="54">
        <f t="shared" si="77"/>
        <v>2</v>
      </c>
      <c r="BU20" s="54">
        <f t="shared" si="78"/>
        <v>5</v>
      </c>
      <c r="BV20" s="54">
        <f t="shared" si="79"/>
        <v>2</v>
      </c>
      <c r="BW20" s="54">
        <f t="shared" si="80"/>
        <v>5</v>
      </c>
      <c r="BX20" s="54">
        <f t="shared" si="81"/>
        <v>2</v>
      </c>
      <c r="BY20" s="54">
        <f t="shared" si="82"/>
        <v>5</v>
      </c>
      <c r="BZ20" s="54">
        <f t="shared" si="83"/>
        <v>2</v>
      </c>
      <c r="CA20" s="54">
        <f t="shared" si="84"/>
        <v>5</v>
      </c>
      <c r="CB20" s="54">
        <f t="shared" si="85"/>
        <v>2</v>
      </c>
      <c r="CC20" s="54">
        <f t="shared" si="86"/>
        <v>5</v>
      </c>
      <c r="CD20" s="54">
        <f t="shared" si="87"/>
        <v>2</v>
      </c>
      <c r="CE20" s="54">
        <f t="shared" si="88"/>
        <v>5</v>
      </c>
      <c r="CF20" s="54">
        <f t="shared" si="89"/>
        <v>2</v>
      </c>
      <c r="CG20" s="54">
        <f t="shared" si="90"/>
        <v>5</v>
      </c>
      <c r="CH20" s="54">
        <f t="shared" si="91"/>
        <v>2</v>
      </c>
      <c r="CI20" s="54">
        <f t="shared" si="92"/>
        <v>5</v>
      </c>
      <c r="CJ20" s="54">
        <f t="shared" si="93"/>
        <v>2</v>
      </c>
      <c r="CK20" s="54">
        <f t="shared" si="94"/>
        <v>5</v>
      </c>
      <c r="CL20" s="54">
        <f t="shared" si="95"/>
        <v>2</v>
      </c>
      <c r="CM20" s="54">
        <f t="shared" si="96"/>
        <v>5</v>
      </c>
      <c r="CN20" s="54">
        <f t="shared" si="97"/>
        <v>2</v>
      </c>
      <c r="CO20" s="54">
        <f t="shared" si="98"/>
        <v>5</v>
      </c>
      <c r="CP20" s="54">
        <f t="shared" si="99"/>
        <v>2</v>
      </c>
      <c r="CQ20" s="54">
        <f t="shared" si="100"/>
        <v>5</v>
      </c>
      <c r="CR20" s="54">
        <f t="shared" si="101"/>
        <v>2</v>
      </c>
      <c r="CS20" s="54">
        <f t="shared" si="102"/>
        <v>5</v>
      </c>
      <c r="CT20" s="54">
        <f t="shared" si="103"/>
        <v>2</v>
      </c>
      <c r="CU20" s="54">
        <f t="shared" si="104"/>
        <v>5</v>
      </c>
      <c r="CV20" s="54">
        <f t="shared" si="105"/>
        <v>2</v>
      </c>
      <c r="CW20" s="54">
        <f t="shared" si="106"/>
        <v>5</v>
      </c>
      <c r="CX20" s="54">
        <f t="shared" si="107"/>
        <v>2</v>
      </c>
      <c r="CY20" s="54">
        <f t="shared" si="108"/>
        <v>5</v>
      </c>
      <c r="CZ20" s="54">
        <f t="shared" si="109"/>
        <v>2</v>
      </c>
      <c r="DA20" s="54">
        <f t="shared" si="110"/>
        <v>5</v>
      </c>
      <c r="DB20" s="54">
        <f t="shared" si="111"/>
        <v>2</v>
      </c>
      <c r="DC20" s="54">
        <f t="shared" si="112"/>
        <v>5</v>
      </c>
      <c r="DD20" s="54">
        <f t="shared" si="113"/>
        <v>2</v>
      </c>
      <c r="DE20" s="54">
        <f t="shared" si="114"/>
        <v>5</v>
      </c>
      <c r="DF20" s="54">
        <f t="shared" si="115"/>
        <v>2</v>
      </c>
      <c r="DG20" s="54">
        <f t="shared" si="116"/>
        <v>5</v>
      </c>
      <c r="DH20" s="54">
        <f t="shared" si="117"/>
        <v>2</v>
      </c>
      <c r="DI20" s="54">
        <f t="shared" si="118"/>
        <v>5</v>
      </c>
      <c r="DJ20" s="54">
        <f t="shared" si="119"/>
        <v>2</v>
      </c>
      <c r="DK20" s="54">
        <f t="shared" si="120"/>
        <v>5</v>
      </c>
      <c r="DL20" s="54">
        <f t="shared" si="121"/>
        <v>2</v>
      </c>
      <c r="DM20" s="54">
        <f t="shared" si="122"/>
        <v>5</v>
      </c>
      <c r="DN20" s="54">
        <f t="shared" si="123"/>
        <v>2</v>
      </c>
      <c r="DO20" s="54">
        <f t="shared" si="124"/>
        <v>5</v>
      </c>
      <c r="DP20" s="54">
        <f t="shared" si="125"/>
        <v>2</v>
      </c>
      <c r="DQ20" s="54">
        <f t="shared" si="126"/>
        <v>5</v>
      </c>
      <c r="DR20" s="54">
        <f t="shared" si="127"/>
        <v>2</v>
      </c>
      <c r="DS20" s="54">
        <f t="shared" si="128"/>
        <v>5</v>
      </c>
      <c r="DT20" s="54">
        <f t="shared" si="129"/>
        <v>2</v>
      </c>
      <c r="DU20" s="54">
        <f t="shared" si="130"/>
        <v>5</v>
      </c>
      <c r="DV20" s="54">
        <f t="shared" si="131"/>
        <v>2</v>
      </c>
      <c r="DW20" s="54">
        <f t="shared" si="132"/>
        <v>5</v>
      </c>
      <c r="DX20" s="54">
        <f t="shared" si="133"/>
        <v>2</v>
      </c>
      <c r="DY20" s="54">
        <f t="shared" si="134"/>
        <v>5</v>
      </c>
      <c r="DZ20" s="54">
        <f t="shared" si="135"/>
        <v>2</v>
      </c>
      <c r="EA20" s="54">
        <f t="shared" si="134"/>
        <v>5</v>
      </c>
      <c r="EB20" s="54">
        <f t="shared" si="135"/>
        <v>2</v>
      </c>
      <c r="EC20" s="54">
        <f t="shared" si="135"/>
        <v>5</v>
      </c>
      <c r="ED20" s="54">
        <f t="shared" si="136"/>
        <v>2</v>
      </c>
      <c r="EE20" s="54">
        <f t="shared" si="137"/>
        <v>5</v>
      </c>
      <c r="EF20" s="54">
        <f t="shared" si="138"/>
        <v>2</v>
      </c>
      <c r="EG20" s="54">
        <f t="shared" ref="EG20:EN20" si="153">EG19</f>
        <v>5</v>
      </c>
      <c r="EH20" s="54">
        <f t="shared" si="153"/>
        <v>2</v>
      </c>
      <c r="EI20" s="54">
        <f t="shared" si="153"/>
        <v>5</v>
      </c>
      <c r="EJ20" s="54">
        <f t="shared" si="153"/>
        <v>2</v>
      </c>
      <c r="EK20" s="54">
        <f t="shared" si="153"/>
        <v>5</v>
      </c>
      <c r="EL20" s="54">
        <f t="shared" si="153"/>
        <v>2</v>
      </c>
      <c r="EM20" s="54">
        <f t="shared" si="153"/>
        <v>5</v>
      </c>
      <c r="EN20" s="54">
        <f t="shared" si="153"/>
        <v>2</v>
      </c>
      <c r="EO20" s="54">
        <f t="shared" si="7"/>
        <v>2</v>
      </c>
      <c r="EP20" s="54">
        <f t="shared" si="8"/>
        <v>2</v>
      </c>
    </row>
    <row r="21" spans="1:146" x14ac:dyDescent="0.2">
      <c r="B21" t="s">
        <v>230</v>
      </c>
      <c r="C21" s="54">
        <f t="shared" si="9"/>
        <v>45474</v>
      </c>
      <c r="D21" s="54">
        <f t="shared" si="1"/>
        <v>1</v>
      </c>
      <c r="E21" s="54">
        <f t="shared" si="10"/>
        <v>4</v>
      </c>
      <c r="F21" s="54">
        <f t="shared" si="11"/>
        <v>2</v>
      </c>
      <c r="G21" s="54">
        <f t="shared" si="12"/>
        <v>5</v>
      </c>
      <c r="H21" s="54">
        <f t="shared" si="13"/>
        <v>2</v>
      </c>
      <c r="I21" s="54">
        <f t="shared" si="14"/>
        <v>5</v>
      </c>
      <c r="J21" s="54">
        <f t="shared" si="15"/>
        <v>2</v>
      </c>
      <c r="K21" s="54">
        <f t="shared" si="16"/>
        <v>5</v>
      </c>
      <c r="L21" s="54">
        <f t="shared" si="17"/>
        <v>2</v>
      </c>
      <c r="M21" s="54">
        <f t="shared" si="18"/>
        <v>5</v>
      </c>
      <c r="N21" s="54">
        <f t="shared" si="19"/>
        <v>2</v>
      </c>
      <c r="O21" s="54">
        <f t="shared" si="20"/>
        <v>5</v>
      </c>
      <c r="P21" s="54">
        <f t="shared" si="21"/>
        <v>2</v>
      </c>
      <c r="Q21" s="54">
        <f t="shared" si="22"/>
        <v>5</v>
      </c>
      <c r="R21" s="54">
        <f t="shared" si="23"/>
        <v>2</v>
      </c>
      <c r="S21" s="54">
        <f t="shared" si="24"/>
        <v>5</v>
      </c>
      <c r="T21" s="54">
        <f t="shared" si="25"/>
        <v>2</v>
      </c>
      <c r="U21" s="54">
        <f t="shared" si="26"/>
        <v>5</v>
      </c>
      <c r="V21" s="54">
        <f t="shared" si="27"/>
        <v>2</v>
      </c>
      <c r="W21" s="54">
        <f t="shared" si="28"/>
        <v>5</v>
      </c>
      <c r="X21" s="54">
        <f t="shared" si="29"/>
        <v>2</v>
      </c>
      <c r="Y21" s="54">
        <f t="shared" si="30"/>
        <v>5</v>
      </c>
      <c r="Z21" s="54">
        <f t="shared" si="31"/>
        <v>2</v>
      </c>
      <c r="AA21" s="54">
        <f t="shared" si="32"/>
        <v>5</v>
      </c>
      <c r="AB21" s="54">
        <f t="shared" si="33"/>
        <v>2</v>
      </c>
      <c r="AC21" s="54">
        <f t="shared" si="34"/>
        <v>5</v>
      </c>
      <c r="AD21" s="54">
        <f t="shared" si="35"/>
        <v>2</v>
      </c>
      <c r="AE21" s="54">
        <f t="shared" si="36"/>
        <v>5</v>
      </c>
      <c r="AF21" s="54">
        <f t="shared" si="37"/>
        <v>2</v>
      </c>
      <c r="AG21" s="54">
        <f t="shared" si="38"/>
        <v>5</v>
      </c>
      <c r="AH21" s="54">
        <f t="shared" si="39"/>
        <v>2</v>
      </c>
      <c r="AI21" s="54">
        <f t="shared" si="40"/>
        <v>5</v>
      </c>
      <c r="AJ21" s="54">
        <f t="shared" si="41"/>
        <v>2</v>
      </c>
      <c r="AK21" s="54">
        <f t="shared" si="42"/>
        <v>5</v>
      </c>
      <c r="AL21" s="54">
        <f t="shared" si="43"/>
        <v>2</v>
      </c>
      <c r="AM21" s="54">
        <f t="shared" si="44"/>
        <v>5</v>
      </c>
      <c r="AN21" s="54">
        <f t="shared" si="45"/>
        <v>2</v>
      </c>
      <c r="AO21" s="54">
        <f t="shared" si="46"/>
        <v>5</v>
      </c>
      <c r="AP21" s="54">
        <f t="shared" si="47"/>
        <v>2</v>
      </c>
      <c r="AQ21" s="54">
        <f t="shared" si="48"/>
        <v>5</v>
      </c>
      <c r="AR21" s="54">
        <f t="shared" si="49"/>
        <v>2</v>
      </c>
      <c r="AS21" s="54">
        <f t="shared" si="50"/>
        <v>5</v>
      </c>
      <c r="AT21" s="54">
        <f t="shared" si="51"/>
        <v>2</v>
      </c>
      <c r="AU21" s="54">
        <f t="shared" si="52"/>
        <v>5</v>
      </c>
      <c r="AV21" s="54">
        <f t="shared" si="53"/>
        <v>2</v>
      </c>
      <c r="AW21" s="54">
        <f t="shared" si="54"/>
        <v>5</v>
      </c>
      <c r="AX21" s="54">
        <f t="shared" si="55"/>
        <v>2</v>
      </c>
      <c r="AY21" s="54">
        <f t="shared" si="56"/>
        <v>5</v>
      </c>
      <c r="AZ21" s="54">
        <f t="shared" si="57"/>
        <v>2</v>
      </c>
      <c r="BA21" s="54">
        <f t="shared" si="58"/>
        <v>5</v>
      </c>
      <c r="BB21" s="54">
        <f t="shared" si="59"/>
        <v>2</v>
      </c>
      <c r="BC21" s="54">
        <f t="shared" si="60"/>
        <v>5</v>
      </c>
      <c r="BD21" s="54">
        <f t="shared" si="61"/>
        <v>2</v>
      </c>
      <c r="BE21" s="54">
        <f t="shared" si="62"/>
        <v>5</v>
      </c>
      <c r="BF21" s="54">
        <f t="shared" si="63"/>
        <v>2</v>
      </c>
      <c r="BG21" s="54">
        <f t="shared" si="64"/>
        <v>5</v>
      </c>
      <c r="BH21" s="54">
        <f t="shared" si="65"/>
        <v>2</v>
      </c>
      <c r="BI21" s="54">
        <f t="shared" si="66"/>
        <v>5</v>
      </c>
      <c r="BJ21" s="54">
        <f t="shared" si="67"/>
        <v>2</v>
      </c>
      <c r="BK21" s="54">
        <f t="shared" si="68"/>
        <v>5</v>
      </c>
      <c r="BL21" s="54">
        <f t="shared" si="69"/>
        <v>2</v>
      </c>
      <c r="BM21" s="54">
        <f t="shared" si="70"/>
        <v>5</v>
      </c>
      <c r="BN21" s="54">
        <f t="shared" si="71"/>
        <v>2</v>
      </c>
      <c r="BO21" s="54">
        <f t="shared" si="72"/>
        <v>5</v>
      </c>
      <c r="BP21" s="54">
        <f t="shared" si="73"/>
        <v>2</v>
      </c>
      <c r="BQ21" s="54">
        <f t="shared" si="74"/>
        <v>5</v>
      </c>
      <c r="BR21" s="54">
        <f t="shared" si="75"/>
        <v>2</v>
      </c>
      <c r="BS21" s="54">
        <f t="shared" si="76"/>
        <v>5</v>
      </c>
      <c r="BT21" s="54">
        <f t="shared" si="77"/>
        <v>2</v>
      </c>
      <c r="BU21" s="54">
        <f t="shared" si="78"/>
        <v>5</v>
      </c>
      <c r="BV21" s="54">
        <f t="shared" si="79"/>
        <v>2</v>
      </c>
      <c r="BW21" s="54">
        <f t="shared" si="80"/>
        <v>5</v>
      </c>
      <c r="BX21" s="54">
        <f t="shared" si="81"/>
        <v>2</v>
      </c>
      <c r="BY21" s="54">
        <f t="shared" si="82"/>
        <v>5</v>
      </c>
      <c r="BZ21" s="54">
        <f t="shared" si="83"/>
        <v>2</v>
      </c>
      <c r="CA21" s="54">
        <f t="shared" si="84"/>
        <v>5</v>
      </c>
      <c r="CB21" s="54">
        <f t="shared" si="85"/>
        <v>2</v>
      </c>
      <c r="CC21" s="54">
        <f t="shared" si="86"/>
        <v>5</v>
      </c>
      <c r="CD21" s="54">
        <f t="shared" si="87"/>
        <v>2</v>
      </c>
      <c r="CE21" s="54">
        <f t="shared" si="88"/>
        <v>5</v>
      </c>
      <c r="CF21" s="54">
        <f t="shared" si="89"/>
        <v>2</v>
      </c>
      <c r="CG21" s="54">
        <f t="shared" si="90"/>
        <v>5</v>
      </c>
      <c r="CH21" s="54">
        <f t="shared" si="91"/>
        <v>2</v>
      </c>
      <c r="CI21" s="54">
        <f t="shared" si="92"/>
        <v>5</v>
      </c>
      <c r="CJ21" s="54">
        <f t="shared" si="93"/>
        <v>2</v>
      </c>
      <c r="CK21" s="54">
        <f t="shared" si="94"/>
        <v>5</v>
      </c>
      <c r="CL21" s="54">
        <f t="shared" si="95"/>
        <v>2</v>
      </c>
      <c r="CM21" s="54">
        <f t="shared" si="96"/>
        <v>5</v>
      </c>
      <c r="CN21" s="54">
        <f t="shared" si="97"/>
        <v>2</v>
      </c>
      <c r="CO21" s="54">
        <f t="shared" si="98"/>
        <v>5</v>
      </c>
      <c r="CP21" s="54">
        <f t="shared" si="99"/>
        <v>2</v>
      </c>
      <c r="CQ21" s="54">
        <f t="shared" si="100"/>
        <v>5</v>
      </c>
      <c r="CR21" s="54">
        <f t="shared" si="101"/>
        <v>2</v>
      </c>
      <c r="CS21" s="54">
        <f t="shared" si="102"/>
        <v>5</v>
      </c>
      <c r="CT21" s="54">
        <f t="shared" si="103"/>
        <v>2</v>
      </c>
      <c r="CU21" s="54">
        <f t="shared" si="104"/>
        <v>5</v>
      </c>
      <c r="CV21" s="54">
        <f t="shared" si="105"/>
        <v>2</v>
      </c>
      <c r="CW21" s="54">
        <f t="shared" si="106"/>
        <v>5</v>
      </c>
      <c r="CX21" s="54">
        <f t="shared" si="107"/>
        <v>2</v>
      </c>
      <c r="CY21" s="54">
        <f t="shared" si="108"/>
        <v>5</v>
      </c>
      <c r="CZ21" s="54">
        <f t="shared" si="109"/>
        <v>2</v>
      </c>
      <c r="DA21" s="54">
        <f t="shared" si="110"/>
        <v>5</v>
      </c>
      <c r="DB21" s="54">
        <f t="shared" si="111"/>
        <v>2</v>
      </c>
      <c r="DC21" s="54">
        <f t="shared" si="112"/>
        <v>5</v>
      </c>
      <c r="DD21" s="54">
        <f t="shared" si="113"/>
        <v>2</v>
      </c>
      <c r="DE21" s="54">
        <f t="shared" si="114"/>
        <v>5</v>
      </c>
      <c r="DF21" s="54">
        <f t="shared" si="115"/>
        <v>2</v>
      </c>
      <c r="DG21" s="54">
        <f t="shared" si="116"/>
        <v>5</v>
      </c>
      <c r="DH21" s="54">
        <f t="shared" si="117"/>
        <v>2</v>
      </c>
      <c r="DI21" s="54">
        <f t="shared" si="118"/>
        <v>5</v>
      </c>
      <c r="DJ21" s="54">
        <f t="shared" si="119"/>
        <v>2</v>
      </c>
      <c r="DK21" s="54">
        <f t="shared" si="120"/>
        <v>5</v>
      </c>
      <c r="DL21" s="54">
        <f t="shared" si="121"/>
        <v>2</v>
      </c>
      <c r="DM21" s="54">
        <f t="shared" si="122"/>
        <v>5</v>
      </c>
      <c r="DN21" s="54">
        <f t="shared" si="123"/>
        <v>2</v>
      </c>
      <c r="DO21" s="54">
        <f t="shared" si="124"/>
        <v>5</v>
      </c>
      <c r="DP21" s="54">
        <f t="shared" si="125"/>
        <v>2</v>
      </c>
      <c r="DQ21" s="54">
        <f t="shared" si="126"/>
        <v>5</v>
      </c>
      <c r="DR21" s="54">
        <f t="shared" si="127"/>
        <v>2</v>
      </c>
      <c r="DS21" s="54">
        <f t="shared" si="128"/>
        <v>5</v>
      </c>
      <c r="DT21" s="54">
        <f t="shared" si="129"/>
        <v>2</v>
      </c>
      <c r="DU21" s="54">
        <f t="shared" si="130"/>
        <v>5</v>
      </c>
      <c r="DV21" s="54">
        <f t="shared" si="131"/>
        <v>2</v>
      </c>
      <c r="DW21" s="54">
        <f t="shared" si="132"/>
        <v>5</v>
      </c>
      <c r="DX21" s="54">
        <f t="shared" si="133"/>
        <v>2</v>
      </c>
      <c r="DY21" s="54">
        <f t="shared" si="134"/>
        <v>5</v>
      </c>
      <c r="DZ21" s="54">
        <f t="shared" si="135"/>
        <v>2</v>
      </c>
      <c r="EA21" s="54">
        <f t="shared" si="134"/>
        <v>5</v>
      </c>
      <c r="EB21" s="54">
        <f t="shared" si="135"/>
        <v>2</v>
      </c>
      <c r="EC21" s="54">
        <f t="shared" si="135"/>
        <v>5</v>
      </c>
      <c r="ED21" s="54">
        <f t="shared" si="136"/>
        <v>2</v>
      </c>
      <c r="EE21" s="54">
        <f t="shared" si="137"/>
        <v>5</v>
      </c>
      <c r="EF21" s="54">
        <f t="shared" si="138"/>
        <v>2</v>
      </c>
      <c r="EG21" s="54">
        <f t="shared" ref="EG21:EN21" si="154">EG20</f>
        <v>5</v>
      </c>
      <c r="EH21" s="54">
        <f t="shared" si="154"/>
        <v>2</v>
      </c>
      <c r="EI21" s="54">
        <f t="shared" si="154"/>
        <v>5</v>
      </c>
      <c r="EJ21" s="54">
        <f t="shared" si="154"/>
        <v>2</v>
      </c>
      <c r="EK21" s="54">
        <f t="shared" si="154"/>
        <v>5</v>
      </c>
      <c r="EL21" s="54">
        <f t="shared" si="154"/>
        <v>2</v>
      </c>
      <c r="EM21" s="54">
        <f t="shared" si="154"/>
        <v>5</v>
      </c>
      <c r="EN21" s="54">
        <f t="shared" si="154"/>
        <v>2</v>
      </c>
      <c r="EO21" s="54">
        <f t="shared" si="7"/>
        <v>2</v>
      </c>
      <c r="EP21" s="54">
        <f t="shared" si="8"/>
        <v>2</v>
      </c>
    </row>
    <row r="22" spans="1:146" x14ac:dyDescent="0.2">
      <c r="B22" t="s">
        <v>230</v>
      </c>
      <c r="C22" s="54">
        <f t="shared" si="9"/>
        <v>45474</v>
      </c>
      <c r="D22" s="54">
        <f t="shared" si="1"/>
        <v>1</v>
      </c>
      <c r="E22" s="54">
        <f t="shared" si="10"/>
        <v>4</v>
      </c>
      <c r="F22" s="54">
        <f t="shared" si="11"/>
        <v>2</v>
      </c>
      <c r="G22" s="54">
        <f t="shared" si="12"/>
        <v>5</v>
      </c>
      <c r="H22" s="54">
        <f t="shared" si="13"/>
        <v>2</v>
      </c>
      <c r="I22" s="54">
        <f t="shared" si="14"/>
        <v>5</v>
      </c>
      <c r="J22" s="54">
        <f t="shared" si="15"/>
        <v>2</v>
      </c>
      <c r="K22" s="54">
        <f t="shared" si="16"/>
        <v>5</v>
      </c>
      <c r="L22" s="54">
        <f t="shared" si="17"/>
        <v>2</v>
      </c>
      <c r="M22" s="54">
        <f t="shared" si="18"/>
        <v>5</v>
      </c>
      <c r="N22" s="54">
        <f t="shared" si="19"/>
        <v>2</v>
      </c>
      <c r="O22" s="54">
        <f t="shared" si="20"/>
        <v>5</v>
      </c>
      <c r="P22" s="54">
        <f t="shared" si="21"/>
        <v>2</v>
      </c>
      <c r="Q22" s="54">
        <f t="shared" si="22"/>
        <v>5</v>
      </c>
      <c r="R22" s="54">
        <f t="shared" si="23"/>
        <v>2</v>
      </c>
      <c r="S22" s="54">
        <f t="shared" si="24"/>
        <v>5</v>
      </c>
      <c r="T22" s="54">
        <f t="shared" si="25"/>
        <v>2</v>
      </c>
      <c r="U22" s="54">
        <f t="shared" si="26"/>
        <v>5</v>
      </c>
      <c r="V22" s="54">
        <f t="shared" si="27"/>
        <v>2</v>
      </c>
      <c r="W22" s="54">
        <f t="shared" si="28"/>
        <v>5</v>
      </c>
      <c r="X22" s="54">
        <f t="shared" si="29"/>
        <v>2</v>
      </c>
      <c r="Y22" s="54">
        <f t="shared" si="30"/>
        <v>5</v>
      </c>
      <c r="Z22" s="54">
        <f t="shared" si="31"/>
        <v>2</v>
      </c>
      <c r="AA22" s="54">
        <f t="shared" si="32"/>
        <v>5</v>
      </c>
      <c r="AB22" s="54">
        <f t="shared" si="33"/>
        <v>2</v>
      </c>
      <c r="AC22" s="54">
        <f t="shared" si="34"/>
        <v>5</v>
      </c>
      <c r="AD22" s="54">
        <f t="shared" si="35"/>
        <v>2</v>
      </c>
      <c r="AE22" s="54">
        <f t="shared" si="36"/>
        <v>5</v>
      </c>
      <c r="AF22" s="54">
        <f t="shared" si="37"/>
        <v>2</v>
      </c>
      <c r="AG22" s="54">
        <f t="shared" si="38"/>
        <v>5</v>
      </c>
      <c r="AH22" s="54">
        <f t="shared" si="39"/>
        <v>2</v>
      </c>
      <c r="AI22" s="54">
        <f t="shared" si="40"/>
        <v>5</v>
      </c>
      <c r="AJ22" s="54">
        <f t="shared" si="41"/>
        <v>2</v>
      </c>
      <c r="AK22" s="54">
        <f t="shared" si="42"/>
        <v>5</v>
      </c>
      <c r="AL22" s="54">
        <f t="shared" si="43"/>
        <v>2</v>
      </c>
      <c r="AM22" s="54">
        <f t="shared" si="44"/>
        <v>5</v>
      </c>
      <c r="AN22" s="54">
        <f t="shared" si="45"/>
        <v>2</v>
      </c>
      <c r="AO22" s="54">
        <f t="shared" si="46"/>
        <v>5</v>
      </c>
      <c r="AP22" s="54">
        <f t="shared" si="47"/>
        <v>2</v>
      </c>
      <c r="AQ22" s="54">
        <f t="shared" si="48"/>
        <v>5</v>
      </c>
      <c r="AR22" s="54">
        <f t="shared" si="49"/>
        <v>2</v>
      </c>
      <c r="AS22" s="54">
        <f t="shared" si="50"/>
        <v>5</v>
      </c>
      <c r="AT22" s="54">
        <f t="shared" si="51"/>
        <v>2</v>
      </c>
      <c r="AU22" s="54">
        <f t="shared" si="52"/>
        <v>5</v>
      </c>
      <c r="AV22" s="54">
        <f t="shared" si="53"/>
        <v>2</v>
      </c>
      <c r="AW22" s="54">
        <f t="shared" si="54"/>
        <v>5</v>
      </c>
      <c r="AX22" s="54">
        <f t="shared" si="55"/>
        <v>2</v>
      </c>
      <c r="AY22" s="54">
        <f t="shared" si="56"/>
        <v>5</v>
      </c>
      <c r="AZ22" s="54">
        <f t="shared" si="57"/>
        <v>2</v>
      </c>
      <c r="BA22" s="54">
        <f t="shared" si="58"/>
        <v>5</v>
      </c>
      <c r="BB22" s="54">
        <f t="shared" si="59"/>
        <v>2</v>
      </c>
      <c r="BC22" s="54">
        <f t="shared" si="60"/>
        <v>5</v>
      </c>
      <c r="BD22" s="54">
        <f t="shared" si="61"/>
        <v>2</v>
      </c>
      <c r="BE22" s="54">
        <f t="shared" si="62"/>
        <v>5</v>
      </c>
      <c r="BF22" s="54">
        <f t="shared" si="63"/>
        <v>2</v>
      </c>
      <c r="BG22" s="54">
        <f t="shared" si="64"/>
        <v>5</v>
      </c>
      <c r="BH22" s="54">
        <f t="shared" si="65"/>
        <v>2</v>
      </c>
      <c r="BI22" s="54">
        <f t="shared" si="66"/>
        <v>5</v>
      </c>
      <c r="BJ22" s="54">
        <f t="shared" si="67"/>
        <v>2</v>
      </c>
      <c r="BK22" s="54">
        <f t="shared" si="68"/>
        <v>5</v>
      </c>
      <c r="BL22" s="54">
        <f t="shared" si="69"/>
        <v>2</v>
      </c>
      <c r="BM22" s="54">
        <f t="shared" si="70"/>
        <v>5</v>
      </c>
      <c r="BN22" s="54">
        <f t="shared" si="71"/>
        <v>2</v>
      </c>
      <c r="BO22" s="54">
        <f t="shared" si="72"/>
        <v>5</v>
      </c>
      <c r="BP22" s="54">
        <f t="shared" si="73"/>
        <v>2</v>
      </c>
      <c r="BQ22" s="54">
        <f t="shared" si="74"/>
        <v>5</v>
      </c>
      <c r="BR22" s="54">
        <f t="shared" si="75"/>
        <v>2</v>
      </c>
      <c r="BS22" s="54">
        <f t="shared" si="76"/>
        <v>5</v>
      </c>
      <c r="BT22" s="54">
        <f t="shared" si="77"/>
        <v>2</v>
      </c>
      <c r="BU22" s="54">
        <f t="shared" si="78"/>
        <v>5</v>
      </c>
      <c r="BV22" s="54">
        <f t="shared" si="79"/>
        <v>2</v>
      </c>
      <c r="BW22" s="54">
        <f t="shared" si="80"/>
        <v>5</v>
      </c>
      <c r="BX22" s="54">
        <f t="shared" si="81"/>
        <v>2</v>
      </c>
      <c r="BY22" s="54">
        <f t="shared" si="82"/>
        <v>5</v>
      </c>
      <c r="BZ22" s="54">
        <f t="shared" si="83"/>
        <v>2</v>
      </c>
      <c r="CA22" s="54">
        <f t="shared" si="84"/>
        <v>5</v>
      </c>
      <c r="CB22" s="54">
        <f t="shared" si="85"/>
        <v>2</v>
      </c>
      <c r="CC22" s="54">
        <f t="shared" si="86"/>
        <v>5</v>
      </c>
      <c r="CD22" s="54">
        <f t="shared" si="87"/>
        <v>2</v>
      </c>
      <c r="CE22" s="54">
        <f t="shared" si="88"/>
        <v>5</v>
      </c>
      <c r="CF22" s="54">
        <f t="shared" si="89"/>
        <v>2</v>
      </c>
      <c r="CG22" s="54">
        <f t="shared" si="90"/>
        <v>5</v>
      </c>
      <c r="CH22" s="54">
        <f t="shared" si="91"/>
        <v>2</v>
      </c>
      <c r="CI22" s="54">
        <f t="shared" si="92"/>
        <v>5</v>
      </c>
      <c r="CJ22" s="54">
        <f t="shared" si="93"/>
        <v>2</v>
      </c>
      <c r="CK22" s="54">
        <f t="shared" si="94"/>
        <v>5</v>
      </c>
      <c r="CL22" s="54">
        <f t="shared" si="95"/>
        <v>2</v>
      </c>
      <c r="CM22" s="54">
        <f t="shared" si="96"/>
        <v>5</v>
      </c>
      <c r="CN22" s="54">
        <f t="shared" si="97"/>
        <v>2</v>
      </c>
      <c r="CO22" s="54">
        <f t="shared" si="98"/>
        <v>5</v>
      </c>
      <c r="CP22" s="54">
        <f t="shared" si="99"/>
        <v>2</v>
      </c>
      <c r="CQ22" s="54">
        <f t="shared" si="100"/>
        <v>5</v>
      </c>
      <c r="CR22" s="54">
        <f t="shared" si="101"/>
        <v>2</v>
      </c>
      <c r="CS22" s="54">
        <f t="shared" si="102"/>
        <v>5</v>
      </c>
      <c r="CT22" s="54">
        <f t="shared" si="103"/>
        <v>2</v>
      </c>
      <c r="CU22" s="54">
        <f t="shared" si="104"/>
        <v>5</v>
      </c>
      <c r="CV22" s="54">
        <f t="shared" si="105"/>
        <v>2</v>
      </c>
      <c r="CW22" s="54">
        <f t="shared" si="106"/>
        <v>5</v>
      </c>
      <c r="CX22" s="54">
        <f t="shared" si="107"/>
        <v>2</v>
      </c>
      <c r="CY22" s="54">
        <f t="shared" si="108"/>
        <v>5</v>
      </c>
      <c r="CZ22" s="54">
        <f t="shared" si="109"/>
        <v>2</v>
      </c>
      <c r="DA22" s="54">
        <f t="shared" si="110"/>
        <v>5</v>
      </c>
      <c r="DB22" s="54">
        <f t="shared" si="111"/>
        <v>2</v>
      </c>
      <c r="DC22" s="54">
        <f t="shared" si="112"/>
        <v>5</v>
      </c>
      <c r="DD22" s="54">
        <f t="shared" si="113"/>
        <v>2</v>
      </c>
      <c r="DE22" s="54">
        <f t="shared" si="114"/>
        <v>5</v>
      </c>
      <c r="DF22" s="54">
        <f t="shared" si="115"/>
        <v>2</v>
      </c>
      <c r="DG22" s="54">
        <f t="shared" si="116"/>
        <v>5</v>
      </c>
      <c r="DH22" s="54">
        <f t="shared" si="117"/>
        <v>2</v>
      </c>
      <c r="DI22" s="54">
        <f t="shared" si="118"/>
        <v>5</v>
      </c>
      <c r="DJ22" s="54">
        <f t="shared" si="119"/>
        <v>2</v>
      </c>
      <c r="DK22" s="54">
        <f t="shared" si="120"/>
        <v>5</v>
      </c>
      <c r="DL22" s="54">
        <f t="shared" si="121"/>
        <v>2</v>
      </c>
      <c r="DM22" s="54">
        <f t="shared" si="122"/>
        <v>5</v>
      </c>
      <c r="DN22" s="54">
        <f t="shared" si="123"/>
        <v>2</v>
      </c>
      <c r="DO22" s="54">
        <f t="shared" si="124"/>
        <v>5</v>
      </c>
      <c r="DP22" s="54">
        <f t="shared" si="125"/>
        <v>2</v>
      </c>
      <c r="DQ22" s="54">
        <f t="shared" si="126"/>
        <v>5</v>
      </c>
      <c r="DR22" s="54">
        <f t="shared" si="127"/>
        <v>2</v>
      </c>
      <c r="DS22" s="54">
        <f t="shared" si="128"/>
        <v>5</v>
      </c>
      <c r="DT22" s="54">
        <f t="shared" si="129"/>
        <v>2</v>
      </c>
      <c r="DU22" s="54">
        <f t="shared" si="130"/>
        <v>5</v>
      </c>
      <c r="DV22" s="54">
        <f t="shared" si="131"/>
        <v>2</v>
      </c>
      <c r="DW22" s="54">
        <f t="shared" si="132"/>
        <v>5</v>
      </c>
      <c r="DX22" s="54">
        <f t="shared" si="133"/>
        <v>2</v>
      </c>
      <c r="DY22" s="54">
        <f t="shared" si="134"/>
        <v>5</v>
      </c>
      <c r="DZ22" s="54">
        <f t="shared" si="135"/>
        <v>2</v>
      </c>
      <c r="EA22" s="54">
        <f t="shared" si="134"/>
        <v>5</v>
      </c>
      <c r="EB22" s="54">
        <f t="shared" si="135"/>
        <v>2</v>
      </c>
      <c r="EC22" s="54">
        <f t="shared" si="135"/>
        <v>5</v>
      </c>
      <c r="ED22" s="54">
        <f t="shared" si="136"/>
        <v>2</v>
      </c>
      <c r="EE22" s="54">
        <f t="shared" si="137"/>
        <v>5</v>
      </c>
      <c r="EF22" s="54">
        <f t="shared" si="138"/>
        <v>2</v>
      </c>
      <c r="EG22" s="54">
        <f t="shared" ref="EG22:EN22" si="155">EG21</f>
        <v>5</v>
      </c>
      <c r="EH22" s="54">
        <f t="shared" si="155"/>
        <v>2</v>
      </c>
      <c r="EI22" s="54">
        <f t="shared" si="155"/>
        <v>5</v>
      </c>
      <c r="EJ22" s="54">
        <f t="shared" si="155"/>
        <v>2</v>
      </c>
      <c r="EK22" s="54">
        <f t="shared" si="155"/>
        <v>5</v>
      </c>
      <c r="EL22" s="54">
        <f t="shared" si="155"/>
        <v>2</v>
      </c>
      <c r="EM22" s="54">
        <f t="shared" si="155"/>
        <v>5</v>
      </c>
      <c r="EN22" s="54">
        <f t="shared" si="155"/>
        <v>2</v>
      </c>
      <c r="EO22" s="54">
        <f t="shared" si="7"/>
        <v>2</v>
      </c>
      <c r="EP22" s="54">
        <f t="shared" si="8"/>
        <v>2</v>
      </c>
    </row>
    <row r="23" spans="1:146" x14ac:dyDescent="0.2">
      <c r="A23" s="54"/>
      <c r="B23" t="s">
        <v>230</v>
      </c>
      <c r="C23" s="54">
        <f t="shared" si="9"/>
        <v>45474</v>
      </c>
      <c r="D23" s="54">
        <f t="shared" si="1"/>
        <v>1</v>
      </c>
      <c r="E23" s="54">
        <f t="shared" si="10"/>
        <v>4</v>
      </c>
      <c r="F23" s="54">
        <f t="shared" si="11"/>
        <v>2</v>
      </c>
      <c r="G23" s="54">
        <f t="shared" si="12"/>
        <v>5</v>
      </c>
      <c r="H23" s="54">
        <f t="shared" si="13"/>
        <v>2</v>
      </c>
      <c r="I23" s="54">
        <f t="shared" si="14"/>
        <v>5</v>
      </c>
      <c r="J23" s="54">
        <f t="shared" si="15"/>
        <v>2</v>
      </c>
      <c r="K23" s="54">
        <f t="shared" si="16"/>
        <v>5</v>
      </c>
      <c r="L23" s="54">
        <f t="shared" si="17"/>
        <v>2</v>
      </c>
      <c r="M23" s="54">
        <f t="shared" si="18"/>
        <v>5</v>
      </c>
      <c r="N23" s="54">
        <f t="shared" si="19"/>
        <v>2</v>
      </c>
      <c r="O23" s="54">
        <f t="shared" si="20"/>
        <v>5</v>
      </c>
      <c r="P23" s="54">
        <f t="shared" si="21"/>
        <v>2</v>
      </c>
      <c r="Q23" s="54">
        <f t="shared" si="22"/>
        <v>5</v>
      </c>
      <c r="R23" s="54">
        <f t="shared" si="23"/>
        <v>2</v>
      </c>
      <c r="S23" s="54">
        <f t="shared" si="24"/>
        <v>5</v>
      </c>
      <c r="T23" s="54">
        <f t="shared" si="25"/>
        <v>2</v>
      </c>
      <c r="U23" s="54">
        <f t="shared" si="26"/>
        <v>5</v>
      </c>
      <c r="V23" s="54">
        <f t="shared" si="27"/>
        <v>2</v>
      </c>
      <c r="W23" s="54">
        <f t="shared" si="28"/>
        <v>5</v>
      </c>
      <c r="X23" s="54">
        <f t="shared" si="29"/>
        <v>2</v>
      </c>
      <c r="Y23" s="54">
        <f t="shared" si="30"/>
        <v>5</v>
      </c>
      <c r="Z23" s="54">
        <f t="shared" si="31"/>
        <v>2</v>
      </c>
      <c r="AA23" s="54">
        <f t="shared" si="32"/>
        <v>5</v>
      </c>
      <c r="AB23" s="54">
        <f t="shared" si="33"/>
        <v>2</v>
      </c>
      <c r="AC23" s="54">
        <f t="shared" si="34"/>
        <v>5</v>
      </c>
      <c r="AD23" s="54">
        <f t="shared" si="35"/>
        <v>2</v>
      </c>
      <c r="AE23" s="54">
        <f t="shared" si="36"/>
        <v>5</v>
      </c>
      <c r="AF23" s="54">
        <f t="shared" si="37"/>
        <v>2</v>
      </c>
      <c r="AG23" s="54">
        <f t="shared" si="38"/>
        <v>5</v>
      </c>
      <c r="AH23" s="54">
        <f t="shared" si="39"/>
        <v>2</v>
      </c>
      <c r="AI23" s="54">
        <f t="shared" si="40"/>
        <v>5</v>
      </c>
      <c r="AJ23" s="54">
        <f t="shared" si="41"/>
        <v>2</v>
      </c>
      <c r="AK23" s="54">
        <f t="shared" si="42"/>
        <v>5</v>
      </c>
      <c r="AL23" s="54">
        <f t="shared" si="43"/>
        <v>2</v>
      </c>
      <c r="AM23" s="54">
        <f t="shared" si="44"/>
        <v>5</v>
      </c>
      <c r="AN23" s="54">
        <f t="shared" si="45"/>
        <v>2</v>
      </c>
      <c r="AO23" s="54">
        <f t="shared" si="46"/>
        <v>5</v>
      </c>
      <c r="AP23" s="54">
        <f t="shared" si="47"/>
        <v>2</v>
      </c>
      <c r="AQ23" s="54">
        <f t="shared" si="48"/>
        <v>5</v>
      </c>
      <c r="AR23" s="54">
        <f t="shared" si="49"/>
        <v>2</v>
      </c>
      <c r="AS23" s="54">
        <f t="shared" si="50"/>
        <v>5</v>
      </c>
      <c r="AT23" s="54">
        <f t="shared" si="51"/>
        <v>2</v>
      </c>
      <c r="AU23" s="54">
        <f t="shared" si="52"/>
        <v>5</v>
      </c>
      <c r="AV23" s="54">
        <f t="shared" si="53"/>
        <v>2</v>
      </c>
      <c r="AW23" s="54">
        <f t="shared" si="54"/>
        <v>5</v>
      </c>
      <c r="AX23" s="54">
        <f t="shared" si="55"/>
        <v>2</v>
      </c>
      <c r="AY23" s="54">
        <f t="shared" si="56"/>
        <v>5</v>
      </c>
      <c r="AZ23" s="54">
        <f t="shared" si="57"/>
        <v>2</v>
      </c>
      <c r="BA23" s="54">
        <f t="shared" si="58"/>
        <v>5</v>
      </c>
      <c r="BB23" s="54">
        <f t="shared" si="59"/>
        <v>2</v>
      </c>
      <c r="BC23" s="54">
        <f t="shared" si="60"/>
        <v>5</v>
      </c>
      <c r="BD23" s="54">
        <f t="shared" si="61"/>
        <v>2</v>
      </c>
      <c r="BE23" s="54">
        <f t="shared" si="62"/>
        <v>5</v>
      </c>
      <c r="BF23" s="54">
        <f t="shared" si="63"/>
        <v>2</v>
      </c>
      <c r="BG23" s="54">
        <f t="shared" si="64"/>
        <v>5</v>
      </c>
      <c r="BH23" s="54">
        <f t="shared" si="65"/>
        <v>2</v>
      </c>
      <c r="BI23" s="54">
        <f t="shared" si="66"/>
        <v>5</v>
      </c>
      <c r="BJ23" s="54">
        <f t="shared" si="67"/>
        <v>2</v>
      </c>
      <c r="BK23" s="54">
        <f t="shared" si="68"/>
        <v>5</v>
      </c>
      <c r="BL23" s="54">
        <f t="shared" si="69"/>
        <v>2</v>
      </c>
      <c r="BM23" s="54">
        <f t="shared" si="70"/>
        <v>5</v>
      </c>
      <c r="BN23" s="54">
        <f t="shared" si="71"/>
        <v>2</v>
      </c>
      <c r="BO23" s="54">
        <f t="shared" si="72"/>
        <v>5</v>
      </c>
      <c r="BP23" s="54">
        <f t="shared" si="73"/>
        <v>2</v>
      </c>
      <c r="BQ23" s="54">
        <f t="shared" si="74"/>
        <v>5</v>
      </c>
      <c r="BR23" s="54">
        <f t="shared" si="75"/>
        <v>2</v>
      </c>
      <c r="BS23" s="54">
        <f t="shared" si="76"/>
        <v>5</v>
      </c>
      <c r="BT23" s="54">
        <f t="shared" si="77"/>
        <v>2</v>
      </c>
      <c r="BU23" s="54">
        <f t="shared" si="78"/>
        <v>5</v>
      </c>
      <c r="BV23" s="54">
        <f t="shared" si="79"/>
        <v>2</v>
      </c>
      <c r="BW23" s="54">
        <f t="shared" si="80"/>
        <v>5</v>
      </c>
      <c r="BX23" s="54">
        <f t="shared" si="81"/>
        <v>2</v>
      </c>
      <c r="BY23" s="54">
        <f t="shared" si="82"/>
        <v>5</v>
      </c>
      <c r="BZ23" s="54">
        <f t="shared" si="83"/>
        <v>2</v>
      </c>
      <c r="CA23" s="54">
        <f t="shared" si="84"/>
        <v>5</v>
      </c>
      <c r="CB23" s="54">
        <f t="shared" si="85"/>
        <v>2</v>
      </c>
      <c r="CC23" s="54">
        <f t="shared" si="86"/>
        <v>5</v>
      </c>
      <c r="CD23" s="54">
        <f t="shared" si="87"/>
        <v>2</v>
      </c>
      <c r="CE23" s="54">
        <f t="shared" si="88"/>
        <v>5</v>
      </c>
      <c r="CF23" s="54">
        <f t="shared" si="89"/>
        <v>2</v>
      </c>
      <c r="CG23" s="54">
        <f t="shared" si="90"/>
        <v>5</v>
      </c>
      <c r="CH23" s="54">
        <f t="shared" si="91"/>
        <v>2</v>
      </c>
      <c r="CI23" s="54">
        <f t="shared" si="92"/>
        <v>5</v>
      </c>
      <c r="CJ23" s="54">
        <f t="shared" si="93"/>
        <v>2</v>
      </c>
      <c r="CK23" s="54">
        <f t="shared" si="94"/>
        <v>5</v>
      </c>
      <c r="CL23" s="54">
        <f t="shared" si="95"/>
        <v>2</v>
      </c>
      <c r="CM23" s="54">
        <f t="shared" si="96"/>
        <v>5</v>
      </c>
      <c r="CN23" s="54">
        <f t="shared" si="97"/>
        <v>2</v>
      </c>
      <c r="CO23" s="54">
        <f t="shared" si="98"/>
        <v>5</v>
      </c>
      <c r="CP23" s="54">
        <f t="shared" si="99"/>
        <v>2</v>
      </c>
      <c r="CQ23" s="54">
        <f t="shared" si="100"/>
        <v>5</v>
      </c>
      <c r="CR23" s="54">
        <f t="shared" si="101"/>
        <v>2</v>
      </c>
      <c r="CS23" s="54">
        <f t="shared" si="102"/>
        <v>5</v>
      </c>
      <c r="CT23" s="54">
        <f t="shared" si="103"/>
        <v>2</v>
      </c>
      <c r="CU23" s="54">
        <f t="shared" si="104"/>
        <v>5</v>
      </c>
      <c r="CV23" s="54">
        <f t="shared" si="105"/>
        <v>2</v>
      </c>
      <c r="CW23" s="54">
        <f t="shared" si="106"/>
        <v>5</v>
      </c>
      <c r="CX23" s="54">
        <f t="shared" si="107"/>
        <v>2</v>
      </c>
      <c r="CY23" s="54">
        <f t="shared" si="108"/>
        <v>5</v>
      </c>
      <c r="CZ23" s="54">
        <f t="shared" si="109"/>
        <v>2</v>
      </c>
      <c r="DA23" s="54">
        <f t="shared" si="110"/>
        <v>5</v>
      </c>
      <c r="DB23" s="54">
        <f t="shared" si="111"/>
        <v>2</v>
      </c>
      <c r="DC23" s="54">
        <f t="shared" si="112"/>
        <v>5</v>
      </c>
      <c r="DD23" s="54">
        <f t="shared" si="113"/>
        <v>2</v>
      </c>
      <c r="DE23" s="54">
        <f t="shared" si="114"/>
        <v>5</v>
      </c>
      <c r="DF23" s="54">
        <f t="shared" si="115"/>
        <v>2</v>
      </c>
      <c r="DG23" s="54">
        <f t="shared" si="116"/>
        <v>5</v>
      </c>
      <c r="DH23" s="54">
        <f t="shared" si="117"/>
        <v>2</v>
      </c>
      <c r="DI23" s="54">
        <f t="shared" si="118"/>
        <v>5</v>
      </c>
      <c r="DJ23" s="54">
        <f t="shared" si="119"/>
        <v>2</v>
      </c>
      <c r="DK23" s="54">
        <f t="shared" si="120"/>
        <v>5</v>
      </c>
      <c r="DL23" s="54">
        <f t="shared" si="121"/>
        <v>2</v>
      </c>
      <c r="DM23" s="54">
        <f t="shared" si="122"/>
        <v>5</v>
      </c>
      <c r="DN23" s="54">
        <f t="shared" si="123"/>
        <v>2</v>
      </c>
      <c r="DO23" s="54">
        <f t="shared" si="124"/>
        <v>5</v>
      </c>
      <c r="DP23" s="54">
        <f t="shared" si="125"/>
        <v>2</v>
      </c>
      <c r="DQ23" s="54">
        <f t="shared" si="126"/>
        <v>5</v>
      </c>
      <c r="DR23" s="54">
        <f t="shared" si="127"/>
        <v>2</v>
      </c>
      <c r="DS23" s="54">
        <f t="shared" si="128"/>
        <v>5</v>
      </c>
      <c r="DT23" s="54">
        <f t="shared" si="129"/>
        <v>2</v>
      </c>
      <c r="DU23" s="54">
        <f t="shared" si="130"/>
        <v>5</v>
      </c>
      <c r="DV23" s="54">
        <f t="shared" si="131"/>
        <v>2</v>
      </c>
      <c r="DW23" s="54">
        <f t="shared" si="132"/>
        <v>5</v>
      </c>
      <c r="DX23" s="54">
        <f t="shared" si="133"/>
        <v>2</v>
      </c>
      <c r="DY23" s="54">
        <f t="shared" si="134"/>
        <v>5</v>
      </c>
      <c r="DZ23" s="54">
        <f t="shared" si="135"/>
        <v>2</v>
      </c>
      <c r="EA23" s="54">
        <f t="shared" si="134"/>
        <v>5</v>
      </c>
      <c r="EB23" s="54">
        <f t="shared" si="135"/>
        <v>2</v>
      </c>
      <c r="EC23" s="54">
        <f t="shared" si="135"/>
        <v>5</v>
      </c>
      <c r="ED23" s="54">
        <f t="shared" si="136"/>
        <v>2</v>
      </c>
      <c r="EE23" s="54">
        <f t="shared" si="137"/>
        <v>5</v>
      </c>
      <c r="EF23" s="54">
        <f t="shared" si="138"/>
        <v>2</v>
      </c>
      <c r="EG23" s="54">
        <f t="shared" ref="EG23:EN23" si="156">EG22</f>
        <v>5</v>
      </c>
      <c r="EH23" s="54">
        <f t="shared" si="156"/>
        <v>2</v>
      </c>
      <c r="EI23" s="54">
        <f t="shared" si="156"/>
        <v>5</v>
      </c>
      <c r="EJ23" s="54">
        <f t="shared" si="156"/>
        <v>2</v>
      </c>
      <c r="EK23" s="54">
        <f t="shared" si="156"/>
        <v>5</v>
      </c>
      <c r="EL23" s="54">
        <f t="shared" si="156"/>
        <v>2</v>
      </c>
      <c r="EM23" s="54">
        <f t="shared" si="156"/>
        <v>5</v>
      </c>
      <c r="EN23" s="54">
        <f t="shared" si="156"/>
        <v>2</v>
      </c>
      <c r="EO23" s="54">
        <f t="shared" si="7"/>
        <v>2</v>
      </c>
      <c r="EP23" s="54">
        <f t="shared" si="8"/>
        <v>2</v>
      </c>
    </row>
    <row r="24" spans="1:146" x14ac:dyDescent="0.2">
      <c r="B24" t="s">
        <v>230</v>
      </c>
      <c r="C24" s="54">
        <f t="shared" si="9"/>
        <v>45474</v>
      </c>
      <c r="D24" s="54">
        <f t="shared" si="1"/>
        <v>1</v>
      </c>
      <c r="E24" s="54">
        <f t="shared" si="10"/>
        <v>4</v>
      </c>
      <c r="F24" s="54">
        <f t="shared" si="11"/>
        <v>2</v>
      </c>
      <c r="G24" s="54">
        <f t="shared" si="12"/>
        <v>5</v>
      </c>
      <c r="H24" s="54">
        <f t="shared" si="13"/>
        <v>2</v>
      </c>
      <c r="I24" s="54">
        <f t="shared" si="14"/>
        <v>5</v>
      </c>
      <c r="J24" s="54">
        <f t="shared" si="15"/>
        <v>2</v>
      </c>
      <c r="K24" s="54">
        <f t="shared" si="16"/>
        <v>5</v>
      </c>
      <c r="L24" s="54">
        <f t="shared" si="17"/>
        <v>2</v>
      </c>
      <c r="M24" s="54">
        <f t="shared" si="18"/>
        <v>5</v>
      </c>
      <c r="N24" s="54">
        <f t="shared" si="19"/>
        <v>2</v>
      </c>
      <c r="O24" s="54">
        <f t="shared" si="20"/>
        <v>5</v>
      </c>
      <c r="P24" s="54">
        <f t="shared" si="21"/>
        <v>2</v>
      </c>
      <c r="Q24" s="54">
        <f t="shared" si="22"/>
        <v>5</v>
      </c>
      <c r="R24" s="54">
        <f t="shared" si="23"/>
        <v>2</v>
      </c>
      <c r="S24" s="54">
        <f t="shared" si="24"/>
        <v>5</v>
      </c>
      <c r="T24" s="54">
        <f t="shared" si="25"/>
        <v>2</v>
      </c>
      <c r="U24" s="54">
        <f t="shared" si="26"/>
        <v>5</v>
      </c>
      <c r="V24" s="54">
        <f t="shared" si="27"/>
        <v>2</v>
      </c>
      <c r="W24" s="54">
        <f t="shared" si="28"/>
        <v>5</v>
      </c>
      <c r="X24" s="54">
        <f t="shared" si="29"/>
        <v>2</v>
      </c>
      <c r="Y24" s="54">
        <f t="shared" si="30"/>
        <v>5</v>
      </c>
      <c r="Z24" s="54">
        <f t="shared" si="31"/>
        <v>2</v>
      </c>
      <c r="AA24" s="54">
        <f t="shared" si="32"/>
        <v>5</v>
      </c>
      <c r="AB24" s="54">
        <f t="shared" si="33"/>
        <v>2</v>
      </c>
      <c r="AC24" s="54">
        <f t="shared" si="34"/>
        <v>5</v>
      </c>
      <c r="AD24" s="54">
        <f t="shared" si="35"/>
        <v>2</v>
      </c>
      <c r="AE24" s="54">
        <f t="shared" si="36"/>
        <v>5</v>
      </c>
      <c r="AF24" s="54">
        <f t="shared" si="37"/>
        <v>2</v>
      </c>
      <c r="AG24" s="54">
        <f t="shared" si="38"/>
        <v>5</v>
      </c>
      <c r="AH24" s="54">
        <f t="shared" si="39"/>
        <v>2</v>
      </c>
      <c r="AI24" s="54">
        <f t="shared" si="40"/>
        <v>5</v>
      </c>
      <c r="AJ24" s="54">
        <f t="shared" si="41"/>
        <v>2</v>
      </c>
      <c r="AK24" s="54">
        <f t="shared" si="42"/>
        <v>5</v>
      </c>
      <c r="AL24" s="54">
        <f t="shared" si="43"/>
        <v>2</v>
      </c>
      <c r="AM24" s="54">
        <f t="shared" si="44"/>
        <v>5</v>
      </c>
      <c r="AN24" s="54">
        <f t="shared" si="45"/>
        <v>2</v>
      </c>
      <c r="AO24" s="54">
        <f t="shared" si="46"/>
        <v>5</v>
      </c>
      <c r="AP24" s="54">
        <f t="shared" si="47"/>
        <v>2</v>
      </c>
      <c r="AQ24" s="54">
        <f t="shared" si="48"/>
        <v>5</v>
      </c>
      <c r="AR24" s="54">
        <f t="shared" si="49"/>
        <v>2</v>
      </c>
      <c r="AS24" s="54">
        <f t="shared" si="50"/>
        <v>5</v>
      </c>
      <c r="AT24" s="54">
        <f t="shared" si="51"/>
        <v>2</v>
      </c>
      <c r="AU24" s="54">
        <f t="shared" si="52"/>
        <v>5</v>
      </c>
      <c r="AV24" s="54">
        <f t="shared" si="53"/>
        <v>2</v>
      </c>
      <c r="AW24" s="54">
        <f t="shared" si="54"/>
        <v>5</v>
      </c>
      <c r="AX24" s="54">
        <f t="shared" si="55"/>
        <v>2</v>
      </c>
      <c r="AY24" s="54">
        <f t="shared" si="56"/>
        <v>5</v>
      </c>
      <c r="AZ24" s="54">
        <f t="shared" si="57"/>
        <v>2</v>
      </c>
      <c r="BA24" s="54">
        <f t="shared" si="58"/>
        <v>5</v>
      </c>
      <c r="BB24" s="54">
        <f t="shared" si="59"/>
        <v>2</v>
      </c>
      <c r="BC24" s="54">
        <f t="shared" si="60"/>
        <v>5</v>
      </c>
      <c r="BD24" s="54">
        <f t="shared" si="61"/>
        <v>2</v>
      </c>
      <c r="BE24" s="54">
        <f t="shared" si="62"/>
        <v>5</v>
      </c>
      <c r="BF24" s="54">
        <f t="shared" si="63"/>
        <v>2</v>
      </c>
      <c r="BG24" s="54">
        <f t="shared" si="64"/>
        <v>5</v>
      </c>
      <c r="BH24" s="54">
        <f t="shared" si="65"/>
        <v>2</v>
      </c>
      <c r="BI24" s="54">
        <f t="shared" si="66"/>
        <v>5</v>
      </c>
      <c r="BJ24" s="54">
        <f t="shared" si="67"/>
        <v>2</v>
      </c>
      <c r="BK24" s="54">
        <f t="shared" si="68"/>
        <v>5</v>
      </c>
      <c r="BL24" s="54">
        <f t="shared" si="69"/>
        <v>2</v>
      </c>
      <c r="BM24" s="54">
        <f t="shared" si="70"/>
        <v>5</v>
      </c>
      <c r="BN24" s="54">
        <f t="shared" si="71"/>
        <v>2</v>
      </c>
      <c r="BO24" s="54">
        <f t="shared" si="72"/>
        <v>5</v>
      </c>
      <c r="BP24" s="54">
        <f t="shared" si="73"/>
        <v>2</v>
      </c>
      <c r="BQ24" s="54">
        <f t="shared" si="74"/>
        <v>5</v>
      </c>
      <c r="BR24" s="54">
        <f t="shared" si="75"/>
        <v>2</v>
      </c>
      <c r="BS24" s="54">
        <f t="shared" si="76"/>
        <v>5</v>
      </c>
      <c r="BT24" s="54">
        <f t="shared" si="77"/>
        <v>2</v>
      </c>
      <c r="BU24" s="54">
        <f t="shared" si="78"/>
        <v>5</v>
      </c>
      <c r="BV24" s="54">
        <f t="shared" si="79"/>
        <v>2</v>
      </c>
      <c r="BW24" s="54">
        <f t="shared" si="80"/>
        <v>5</v>
      </c>
      <c r="BX24" s="54">
        <f t="shared" si="81"/>
        <v>2</v>
      </c>
      <c r="BY24" s="54">
        <f t="shared" si="82"/>
        <v>5</v>
      </c>
      <c r="BZ24" s="54">
        <f t="shared" si="83"/>
        <v>2</v>
      </c>
      <c r="CA24" s="54">
        <f t="shared" si="84"/>
        <v>5</v>
      </c>
      <c r="CB24" s="54">
        <f t="shared" si="85"/>
        <v>2</v>
      </c>
      <c r="CC24" s="54">
        <f t="shared" si="86"/>
        <v>5</v>
      </c>
      <c r="CD24" s="54">
        <f t="shared" si="87"/>
        <v>2</v>
      </c>
      <c r="CE24" s="54">
        <f t="shared" si="88"/>
        <v>5</v>
      </c>
      <c r="CF24" s="54">
        <f t="shared" si="89"/>
        <v>2</v>
      </c>
      <c r="CG24" s="54">
        <f t="shared" si="90"/>
        <v>5</v>
      </c>
      <c r="CH24" s="54">
        <f t="shared" si="91"/>
        <v>2</v>
      </c>
      <c r="CI24" s="54">
        <f t="shared" si="92"/>
        <v>5</v>
      </c>
      <c r="CJ24" s="54">
        <f t="shared" si="93"/>
        <v>2</v>
      </c>
      <c r="CK24" s="54">
        <f t="shared" si="94"/>
        <v>5</v>
      </c>
      <c r="CL24" s="54">
        <f t="shared" si="95"/>
        <v>2</v>
      </c>
      <c r="CM24" s="54">
        <f t="shared" si="96"/>
        <v>5</v>
      </c>
      <c r="CN24" s="54">
        <f t="shared" si="97"/>
        <v>2</v>
      </c>
      <c r="CO24" s="54">
        <f t="shared" si="98"/>
        <v>5</v>
      </c>
      <c r="CP24" s="54">
        <f t="shared" si="99"/>
        <v>2</v>
      </c>
      <c r="CQ24" s="54">
        <f t="shared" si="100"/>
        <v>5</v>
      </c>
      <c r="CR24" s="54">
        <f t="shared" si="101"/>
        <v>2</v>
      </c>
      <c r="CS24" s="54">
        <f t="shared" si="102"/>
        <v>5</v>
      </c>
      <c r="CT24" s="54">
        <f t="shared" si="103"/>
        <v>2</v>
      </c>
      <c r="CU24" s="54">
        <f t="shared" si="104"/>
        <v>5</v>
      </c>
      <c r="CV24" s="54">
        <f t="shared" si="105"/>
        <v>2</v>
      </c>
      <c r="CW24" s="54">
        <f t="shared" si="106"/>
        <v>5</v>
      </c>
      <c r="CX24" s="54">
        <f t="shared" si="107"/>
        <v>2</v>
      </c>
      <c r="CY24" s="54">
        <f t="shared" si="108"/>
        <v>5</v>
      </c>
      <c r="CZ24" s="54">
        <f t="shared" si="109"/>
        <v>2</v>
      </c>
      <c r="DA24" s="54">
        <f t="shared" si="110"/>
        <v>5</v>
      </c>
      <c r="DB24" s="54">
        <f t="shared" si="111"/>
        <v>2</v>
      </c>
      <c r="DC24" s="54">
        <f t="shared" si="112"/>
        <v>5</v>
      </c>
      <c r="DD24" s="54">
        <f t="shared" si="113"/>
        <v>2</v>
      </c>
      <c r="DE24" s="54">
        <f t="shared" si="114"/>
        <v>5</v>
      </c>
      <c r="DF24" s="54">
        <f t="shared" si="115"/>
        <v>2</v>
      </c>
      <c r="DG24" s="54">
        <f t="shared" si="116"/>
        <v>5</v>
      </c>
      <c r="DH24" s="54">
        <f t="shared" si="117"/>
        <v>2</v>
      </c>
      <c r="DI24" s="54">
        <f t="shared" si="118"/>
        <v>5</v>
      </c>
      <c r="DJ24" s="54">
        <f t="shared" si="119"/>
        <v>2</v>
      </c>
      <c r="DK24" s="54">
        <f t="shared" si="120"/>
        <v>5</v>
      </c>
      <c r="DL24" s="54">
        <f t="shared" si="121"/>
        <v>2</v>
      </c>
      <c r="DM24" s="54">
        <f t="shared" si="122"/>
        <v>5</v>
      </c>
      <c r="DN24" s="54">
        <f t="shared" si="123"/>
        <v>2</v>
      </c>
      <c r="DO24" s="54">
        <f t="shared" si="124"/>
        <v>5</v>
      </c>
      <c r="DP24" s="54">
        <f t="shared" si="125"/>
        <v>2</v>
      </c>
      <c r="DQ24" s="54">
        <f t="shared" si="126"/>
        <v>5</v>
      </c>
      <c r="DR24" s="54">
        <f t="shared" si="127"/>
        <v>2</v>
      </c>
      <c r="DS24" s="54">
        <f t="shared" si="128"/>
        <v>5</v>
      </c>
      <c r="DT24" s="54">
        <f t="shared" si="129"/>
        <v>2</v>
      </c>
      <c r="DU24" s="54">
        <f t="shared" si="130"/>
        <v>5</v>
      </c>
      <c r="DV24" s="54">
        <f t="shared" si="131"/>
        <v>2</v>
      </c>
      <c r="DW24" s="54">
        <f t="shared" si="132"/>
        <v>5</v>
      </c>
      <c r="DX24" s="54">
        <f t="shared" si="133"/>
        <v>2</v>
      </c>
      <c r="DY24" s="54">
        <f t="shared" si="134"/>
        <v>5</v>
      </c>
      <c r="DZ24" s="54">
        <f t="shared" si="135"/>
        <v>2</v>
      </c>
      <c r="EA24" s="54">
        <f t="shared" si="134"/>
        <v>5</v>
      </c>
      <c r="EB24" s="54">
        <f t="shared" si="135"/>
        <v>2</v>
      </c>
      <c r="EC24" s="54">
        <f t="shared" si="135"/>
        <v>5</v>
      </c>
      <c r="ED24" s="54">
        <f t="shared" si="136"/>
        <v>2</v>
      </c>
      <c r="EE24" s="54">
        <f t="shared" si="137"/>
        <v>5</v>
      </c>
      <c r="EF24" s="54">
        <f t="shared" si="138"/>
        <v>2</v>
      </c>
      <c r="EG24" s="54">
        <f t="shared" ref="EG24:EN24" si="157">EG23</f>
        <v>5</v>
      </c>
      <c r="EH24" s="54">
        <f t="shared" si="157"/>
        <v>2</v>
      </c>
      <c r="EI24" s="54">
        <f t="shared" si="157"/>
        <v>5</v>
      </c>
      <c r="EJ24" s="54">
        <f t="shared" si="157"/>
        <v>2</v>
      </c>
      <c r="EK24" s="54">
        <f t="shared" si="157"/>
        <v>5</v>
      </c>
      <c r="EL24" s="54">
        <f t="shared" si="157"/>
        <v>2</v>
      </c>
      <c r="EM24" s="54">
        <f t="shared" si="157"/>
        <v>5</v>
      </c>
      <c r="EN24" s="54">
        <f t="shared" si="157"/>
        <v>2</v>
      </c>
      <c r="EO24" s="54">
        <f t="shared" si="7"/>
        <v>2</v>
      </c>
      <c r="EP24" s="54">
        <f t="shared" si="8"/>
        <v>2</v>
      </c>
    </row>
    <row r="25" spans="1:146" x14ac:dyDescent="0.2">
      <c r="B25" t="s">
        <v>230</v>
      </c>
      <c r="C25" s="54">
        <f t="shared" si="9"/>
        <v>45474</v>
      </c>
      <c r="D25" s="54">
        <f t="shared" si="1"/>
        <v>1</v>
      </c>
      <c r="E25" s="54">
        <f t="shared" si="10"/>
        <v>4</v>
      </c>
      <c r="F25" s="54">
        <f t="shared" si="11"/>
        <v>2</v>
      </c>
      <c r="G25" s="54">
        <f t="shared" si="12"/>
        <v>5</v>
      </c>
      <c r="H25" s="54">
        <f t="shared" si="13"/>
        <v>2</v>
      </c>
      <c r="I25" s="54">
        <f t="shared" si="14"/>
        <v>5</v>
      </c>
      <c r="J25" s="54">
        <f t="shared" si="15"/>
        <v>2</v>
      </c>
      <c r="K25" s="54">
        <f t="shared" si="16"/>
        <v>5</v>
      </c>
      <c r="L25" s="54">
        <f t="shared" si="17"/>
        <v>2</v>
      </c>
      <c r="M25" s="54">
        <f t="shared" si="18"/>
        <v>5</v>
      </c>
      <c r="N25" s="54">
        <f t="shared" si="19"/>
        <v>2</v>
      </c>
      <c r="O25" s="54">
        <f t="shared" si="20"/>
        <v>5</v>
      </c>
      <c r="P25" s="54">
        <f t="shared" si="21"/>
        <v>2</v>
      </c>
      <c r="Q25" s="54">
        <f t="shared" si="22"/>
        <v>5</v>
      </c>
      <c r="R25" s="54">
        <f t="shared" si="23"/>
        <v>2</v>
      </c>
      <c r="S25" s="54">
        <f t="shared" si="24"/>
        <v>5</v>
      </c>
      <c r="T25" s="54">
        <f t="shared" si="25"/>
        <v>2</v>
      </c>
      <c r="U25" s="54">
        <f t="shared" si="26"/>
        <v>5</v>
      </c>
      <c r="V25" s="54">
        <f t="shared" si="27"/>
        <v>2</v>
      </c>
      <c r="W25" s="54">
        <f t="shared" si="28"/>
        <v>5</v>
      </c>
      <c r="X25" s="54">
        <f t="shared" si="29"/>
        <v>2</v>
      </c>
      <c r="Y25" s="54">
        <f t="shared" si="30"/>
        <v>5</v>
      </c>
      <c r="Z25" s="54">
        <f t="shared" si="31"/>
        <v>2</v>
      </c>
      <c r="AA25" s="54">
        <f t="shared" si="32"/>
        <v>5</v>
      </c>
      <c r="AB25" s="54">
        <f t="shared" si="33"/>
        <v>2</v>
      </c>
      <c r="AC25" s="54">
        <f t="shared" si="34"/>
        <v>5</v>
      </c>
      <c r="AD25" s="54">
        <f t="shared" si="35"/>
        <v>2</v>
      </c>
      <c r="AE25" s="54">
        <f t="shared" si="36"/>
        <v>5</v>
      </c>
      <c r="AF25" s="54">
        <f t="shared" si="37"/>
        <v>2</v>
      </c>
      <c r="AG25" s="54">
        <f t="shared" si="38"/>
        <v>5</v>
      </c>
      <c r="AH25" s="54">
        <f t="shared" si="39"/>
        <v>2</v>
      </c>
      <c r="AI25" s="54">
        <f t="shared" si="40"/>
        <v>5</v>
      </c>
      <c r="AJ25" s="54">
        <f t="shared" si="41"/>
        <v>2</v>
      </c>
      <c r="AK25" s="54">
        <f t="shared" si="42"/>
        <v>5</v>
      </c>
      <c r="AL25" s="54">
        <f t="shared" si="43"/>
        <v>2</v>
      </c>
      <c r="AM25" s="54">
        <f t="shared" si="44"/>
        <v>5</v>
      </c>
      <c r="AN25" s="54">
        <f t="shared" si="45"/>
        <v>2</v>
      </c>
      <c r="AO25" s="54">
        <f t="shared" si="46"/>
        <v>5</v>
      </c>
      <c r="AP25" s="54">
        <f t="shared" si="47"/>
        <v>2</v>
      </c>
      <c r="AQ25" s="54">
        <f t="shared" si="48"/>
        <v>5</v>
      </c>
      <c r="AR25" s="54">
        <f t="shared" si="49"/>
        <v>2</v>
      </c>
      <c r="AS25" s="54">
        <f t="shared" si="50"/>
        <v>5</v>
      </c>
      <c r="AT25" s="54">
        <f t="shared" si="51"/>
        <v>2</v>
      </c>
      <c r="AU25" s="54">
        <f t="shared" si="52"/>
        <v>5</v>
      </c>
      <c r="AV25" s="54">
        <f t="shared" si="53"/>
        <v>2</v>
      </c>
      <c r="AW25" s="54">
        <f t="shared" si="54"/>
        <v>5</v>
      </c>
      <c r="AX25" s="54">
        <f t="shared" si="55"/>
        <v>2</v>
      </c>
      <c r="AY25" s="54">
        <f t="shared" si="56"/>
        <v>5</v>
      </c>
      <c r="AZ25" s="54">
        <f t="shared" si="57"/>
        <v>2</v>
      </c>
      <c r="BA25" s="54">
        <f t="shared" si="58"/>
        <v>5</v>
      </c>
      <c r="BB25" s="54">
        <f t="shared" si="59"/>
        <v>2</v>
      </c>
      <c r="BC25" s="54">
        <f t="shared" si="60"/>
        <v>5</v>
      </c>
      <c r="BD25" s="54">
        <f t="shared" si="61"/>
        <v>2</v>
      </c>
      <c r="BE25" s="54">
        <f t="shared" si="62"/>
        <v>5</v>
      </c>
      <c r="BF25" s="54">
        <f t="shared" si="63"/>
        <v>2</v>
      </c>
      <c r="BG25" s="54">
        <f t="shared" si="64"/>
        <v>5</v>
      </c>
      <c r="BH25" s="54">
        <f t="shared" si="65"/>
        <v>2</v>
      </c>
      <c r="BI25" s="54">
        <f t="shared" si="66"/>
        <v>5</v>
      </c>
      <c r="BJ25" s="54">
        <f t="shared" si="67"/>
        <v>2</v>
      </c>
      <c r="BK25" s="54">
        <f t="shared" si="68"/>
        <v>5</v>
      </c>
      <c r="BL25" s="54">
        <f t="shared" si="69"/>
        <v>2</v>
      </c>
      <c r="BM25" s="54">
        <f t="shared" si="70"/>
        <v>5</v>
      </c>
      <c r="BN25" s="54">
        <f t="shared" si="71"/>
        <v>2</v>
      </c>
      <c r="BO25" s="54">
        <f t="shared" si="72"/>
        <v>5</v>
      </c>
      <c r="BP25" s="54">
        <f t="shared" si="73"/>
        <v>2</v>
      </c>
      <c r="BQ25" s="54">
        <f t="shared" si="74"/>
        <v>5</v>
      </c>
      <c r="BR25" s="54">
        <f t="shared" si="75"/>
        <v>2</v>
      </c>
      <c r="BS25" s="54">
        <f t="shared" si="76"/>
        <v>5</v>
      </c>
      <c r="BT25" s="54">
        <f t="shared" si="77"/>
        <v>2</v>
      </c>
      <c r="BU25" s="54">
        <f t="shared" si="78"/>
        <v>5</v>
      </c>
      <c r="BV25" s="54">
        <f t="shared" si="79"/>
        <v>2</v>
      </c>
      <c r="BW25" s="54">
        <f t="shared" si="80"/>
        <v>5</v>
      </c>
      <c r="BX25" s="54">
        <f t="shared" si="81"/>
        <v>2</v>
      </c>
      <c r="BY25" s="54">
        <f t="shared" si="82"/>
        <v>5</v>
      </c>
      <c r="BZ25" s="54">
        <f t="shared" si="83"/>
        <v>2</v>
      </c>
      <c r="CA25" s="54">
        <f t="shared" si="84"/>
        <v>5</v>
      </c>
      <c r="CB25" s="54">
        <f t="shared" si="85"/>
        <v>2</v>
      </c>
      <c r="CC25" s="54">
        <f t="shared" si="86"/>
        <v>5</v>
      </c>
      <c r="CD25" s="54">
        <f t="shared" si="87"/>
        <v>2</v>
      </c>
      <c r="CE25" s="54">
        <f t="shared" si="88"/>
        <v>5</v>
      </c>
      <c r="CF25" s="54">
        <f t="shared" si="89"/>
        <v>2</v>
      </c>
      <c r="CG25" s="54">
        <f t="shared" si="90"/>
        <v>5</v>
      </c>
      <c r="CH25" s="54">
        <f t="shared" si="91"/>
        <v>2</v>
      </c>
      <c r="CI25" s="54">
        <f t="shared" si="92"/>
        <v>5</v>
      </c>
      <c r="CJ25" s="54">
        <f t="shared" si="93"/>
        <v>2</v>
      </c>
      <c r="CK25" s="54">
        <f t="shared" si="94"/>
        <v>5</v>
      </c>
      <c r="CL25" s="54">
        <f t="shared" si="95"/>
        <v>2</v>
      </c>
      <c r="CM25" s="54">
        <f t="shared" si="96"/>
        <v>5</v>
      </c>
      <c r="CN25" s="54">
        <f t="shared" si="97"/>
        <v>2</v>
      </c>
      <c r="CO25" s="54">
        <f t="shared" si="98"/>
        <v>5</v>
      </c>
      <c r="CP25" s="54">
        <f t="shared" si="99"/>
        <v>2</v>
      </c>
      <c r="CQ25" s="54">
        <f t="shared" si="100"/>
        <v>5</v>
      </c>
      <c r="CR25" s="54">
        <f t="shared" si="101"/>
        <v>2</v>
      </c>
      <c r="CS25" s="54">
        <f t="shared" si="102"/>
        <v>5</v>
      </c>
      <c r="CT25" s="54">
        <f t="shared" si="103"/>
        <v>2</v>
      </c>
      <c r="CU25" s="54">
        <f t="shared" si="104"/>
        <v>5</v>
      </c>
      <c r="CV25" s="54">
        <f t="shared" si="105"/>
        <v>2</v>
      </c>
      <c r="CW25" s="54">
        <f t="shared" si="106"/>
        <v>5</v>
      </c>
      <c r="CX25" s="54">
        <f t="shared" si="107"/>
        <v>2</v>
      </c>
      <c r="CY25" s="54">
        <f t="shared" si="108"/>
        <v>5</v>
      </c>
      <c r="CZ25" s="54">
        <f t="shared" si="109"/>
        <v>2</v>
      </c>
      <c r="DA25" s="54">
        <f t="shared" si="110"/>
        <v>5</v>
      </c>
      <c r="DB25" s="54">
        <f t="shared" si="111"/>
        <v>2</v>
      </c>
      <c r="DC25" s="54">
        <f t="shared" si="112"/>
        <v>5</v>
      </c>
      <c r="DD25" s="54">
        <f t="shared" si="113"/>
        <v>2</v>
      </c>
      <c r="DE25" s="54">
        <f t="shared" si="114"/>
        <v>5</v>
      </c>
      <c r="DF25" s="54">
        <f t="shared" si="115"/>
        <v>2</v>
      </c>
      <c r="DG25" s="54">
        <f t="shared" si="116"/>
        <v>5</v>
      </c>
      <c r="DH25" s="54">
        <f t="shared" si="117"/>
        <v>2</v>
      </c>
      <c r="DI25" s="54">
        <f t="shared" si="118"/>
        <v>5</v>
      </c>
      <c r="DJ25" s="54">
        <f t="shared" si="119"/>
        <v>2</v>
      </c>
      <c r="DK25" s="54">
        <f t="shared" si="120"/>
        <v>5</v>
      </c>
      <c r="DL25" s="54">
        <f t="shared" si="121"/>
        <v>2</v>
      </c>
      <c r="DM25" s="54">
        <f t="shared" si="122"/>
        <v>5</v>
      </c>
      <c r="DN25" s="54">
        <f t="shared" si="123"/>
        <v>2</v>
      </c>
      <c r="DO25" s="54">
        <f t="shared" si="124"/>
        <v>5</v>
      </c>
      <c r="DP25" s="54">
        <f t="shared" si="125"/>
        <v>2</v>
      </c>
      <c r="DQ25" s="54">
        <f t="shared" si="126"/>
        <v>5</v>
      </c>
      <c r="DR25" s="54">
        <f t="shared" si="127"/>
        <v>2</v>
      </c>
      <c r="DS25" s="54">
        <f t="shared" si="128"/>
        <v>5</v>
      </c>
      <c r="DT25" s="54">
        <f t="shared" si="129"/>
        <v>2</v>
      </c>
      <c r="DU25" s="54">
        <f t="shared" si="130"/>
        <v>5</v>
      </c>
      <c r="DV25" s="54">
        <f t="shared" si="131"/>
        <v>2</v>
      </c>
      <c r="DW25" s="54">
        <f t="shared" si="132"/>
        <v>5</v>
      </c>
      <c r="DX25" s="54">
        <f t="shared" si="133"/>
        <v>2</v>
      </c>
      <c r="DY25" s="54">
        <f t="shared" si="134"/>
        <v>5</v>
      </c>
      <c r="DZ25" s="54">
        <f t="shared" si="135"/>
        <v>2</v>
      </c>
      <c r="EA25" s="54">
        <f t="shared" si="134"/>
        <v>5</v>
      </c>
      <c r="EB25" s="54">
        <f t="shared" si="135"/>
        <v>2</v>
      </c>
      <c r="EC25" s="54">
        <f t="shared" si="135"/>
        <v>5</v>
      </c>
      <c r="ED25" s="54">
        <f t="shared" si="136"/>
        <v>2</v>
      </c>
      <c r="EE25" s="54">
        <f t="shared" si="137"/>
        <v>5</v>
      </c>
      <c r="EF25" s="54">
        <f t="shared" si="138"/>
        <v>2</v>
      </c>
      <c r="EG25" s="54">
        <f t="shared" ref="EG25:EN25" si="158">EG24</f>
        <v>5</v>
      </c>
      <c r="EH25" s="54">
        <f t="shared" si="158"/>
        <v>2</v>
      </c>
      <c r="EI25" s="54">
        <f t="shared" si="158"/>
        <v>5</v>
      </c>
      <c r="EJ25" s="54">
        <f t="shared" si="158"/>
        <v>2</v>
      </c>
      <c r="EK25" s="54">
        <f t="shared" si="158"/>
        <v>5</v>
      </c>
      <c r="EL25" s="54">
        <f t="shared" si="158"/>
        <v>2</v>
      </c>
      <c r="EM25" s="54">
        <f t="shared" si="158"/>
        <v>5</v>
      </c>
      <c r="EN25" s="54">
        <f t="shared" si="158"/>
        <v>2</v>
      </c>
      <c r="EO25" s="54">
        <f t="shared" si="7"/>
        <v>2</v>
      </c>
      <c r="EP25" s="54">
        <f t="shared" si="8"/>
        <v>2</v>
      </c>
    </row>
    <row r="26" spans="1:146" x14ac:dyDescent="0.2">
      <c r="A26" s="54"/>
      <c r="B26" t="s">
        <v>230</v>
      </c>
      <c r="C26" s="54">
        <f t="shared" si="9"/>
        <v>45474</v>
      </c>
      <c r="D26" s="54">
        <f t="shared" si="1"/>
        <v>1</v>
      </c>
      <c r="E26" s="54">
        <f t="shared" si="10"/>
        <v>4</v>
      </c>
      <c r="F26" s="54">
        <f t="shared" si="11"/>
        <v>2</v>
      </c>
      <c r="G26" s="54">
        <f t="shared" si="12"/>
        <v>5</v>
      </c>
      <c r="H26" s="54">
        <f t="shared" si="13"/>
        <v>2</v>
      </c>
      <c r="I26" s="54">
        <f t="shared" si="14"/>
        <v>5</v>
      </c>
      <c r="J26" s="54">
        <f t="shared" si="15"/>
        <v>2</v>
      </c>
      <c r="K26" s="54">
        <f t="shared" si="16"/>
        <v>5</v>
      </c>
      <c r="L26" s="54">
        <f t="shared" si="17"/>
        <v>2</v>
      </c>
      <c r="M26" s="54">
        <f t="shared" si="18"/>
        <v>5</v>
      </c>
      <c r="N26" s="54">
        <f t="shared" si="19"/>
        <v>2</v>
      </c>
      <c r="O26" s="54">
        <f t="shared" si="20"/>
        <v>5</v>
      </c>
      <c r="P26" s="54">
        <f t="shared" si="21"/>
        <v>2</v>
      </c>
      <c r="Q26" s="54">
        <f t="shared" si="22"/>
        <v>5</v>
      </c>
      <c r="R26" s="54">
        <f t="shared" si="23"/>
        <v>2</v>
      </c>
      <c r="S26" s="54">
        <f t="shared" si="24"/>
        <v>5</v>
      </c>
      <c r="T26" s="54">
        <f t="shared" si="25"/>
        <v>2</v>
      </c>
      <c r="U26" s="54">
        <f t="shared" si="26"/>
        <v>5</v>
      </c>
      <c r="V26" s="54">
        <f t="shared" si="27"/>
        <v>2</v>
      </c>
      <c r="W26" s="54">
        <f t="shared" si="28"/>
        <v>5</v>
      </c>
      <c r="X26" s="54">
        <f t="shared" si="29"/>
        <v>2</v>
      </c>
      <c r="Y26" s="54">
        <f t="shared" si="30"/>
        <v>5</v>
      </c>
      <c r="Z26" s="54">
        <f t="shared" si="31"/>
        <v>2</v>
      </c>
      <c r="AA26" s="54">
        <f t="shared" si="32"/>
        <v>5</v>
      </c>
      <c r="AB26" s="54">
        <f t="shared" si="33"/>
        <v>2</v>
      </c>
      <c r="AC26" s="54">
        <f t="shared" si="34"/>
        <v>5</v>
      </c>
      <c r="AD26" s="54">
        <f t="shared" si="35"/>
        <v>2</v>
      </c>
      <c r="AE26" s="54">
        <f t="shared" si="36"/>
        <v>5</v>
      </c>
      <c r="AF26" s="54">
        <f t="shared" si="37"/>
        <v>2</v>
      </c>
      <c r="AG26" s="54">
        <f t="shared" si="38"/>
        <v>5</v>
      </c>
      <c r="AH26" s="54">
        <f t="shared" si="39"/>
        <v>2</v>
      </c>
      <c r="AI26" s="54">
        <f t="shared" si="40"/>
        <v>5</v>
      </c>
      <c r="AJ26" s="54">
        <f t="shared" si="41"/>
        <v>2</v>
      </c>
      <c r="AK26" s="54">
        <f t="shared" si="42"/>
        <v>5</v>
      </c>
      <c r="AL26" s="54">
        <f t="shared" si="43"/>
        <v>2</v>
      </c>
      <c r="AM26" s="54">
        <f t="shared" si="44"/>
        <v>5</v>
      </c>
      <c r="AN26" s="54">
        <f t="shared" si="45"/>
        <v>2</v>
      </c>
      <c r="AO26" s="54">
        <f t="shared" si="46"/>
        <v>5</v>
      </c>
      <c r="AP26" s="54">
        <f t="shared" si="47"/>
        <v>2</v>
      </c>
      <c r="AQ26" s="54">
        <f t="shared" si="48"/>
        <v>5</v>
      </c>
      <c r="AR26" s="54">
        <f t="shared" si="49"/>
        <v>2</v>
      </c>
      <c r="AS26" s="54">
        <f t="shared" si="50"/>
        <v>5</v>
      </c>
      <c r="AT26" s="54">
        <f t="shared" si="51"/>
        <v>2</v>
      </c>
      <c r="AU26" s="54">
        <f t="shared" si="52"/>
        <v>5</v>
      </c>
      <c r="AV26" s="54">
        <f t="shared" si="53"/>
        <v>2</v>
      </c>
      <c r="AW26" s="54">
        <f t="shared" si="54"/>
        <v>5</v>
      </c>
      <c r="AX26" s="54">
        <f t="shared" si="55"/>
        <v>2</v>
      </c>
      <c r="AY26" s="54">
        <f t="shared" si="56"/>
        <v>5</v>
      </c>
      <c r="AZ26" s="54">
        <f t="shared" si="57"/>
        <v>2</v>
      </c>
      <c r="BA26" s="54">
        <f t="shared" si="58"/>
        <v>5</v>
      </c>
      <c r="BB26" s="54">
        <f t="shared" si="59"/>
        <v>2</v>
      </c>
      <c r="BC26" s="54">
        <f t="shared" si="60"/>
        <v>5</v>
      </c>
      <c r="BD26" s="54">
        <f t="shared" si="61"/>
        <v>2</v>
      </c>
      <c r="BE26" s="54">
        <f t="shared" si="62"/>
        <v>5</v>
      </c>
      <c r="BF26" s="54">
        <f t="shared" si="63"/>
        <v>2</v>
      </c>
      <c r="BG26" s="54">
        <f t="shared" si="64"/>
        <v>5</v>
      </c>
      <c r="BH26" s="54">
        <f t="shared" si="65"/>
        <v>2</v>
      </c>
      <c r="BI26" s="54">
        <f t="shared" si="66"/>
        <v>5</v>
      </c>
      <c r="BJ26" s="54">
        <f t="shared" si="67"/>
        <v>2</v>
      </c>
      <c r="BK26" s="54">
        <f t="shared" si="68"/>
        <v>5</v>
      </c>
      <c r="BL26" s="54">
        <f t="shared" si="69"/>
        <v>2</v>
      </c>
      <c r="BM26" s="54">
        <f t="shared" si="70"/>
        <v>5</v>
      </c>
      <c r="BN26" s="54">
        <f t="shared" si="71"/>
        <v>2</v>
      </c>
      <c r="BO26" s="54">
        <f t="shared" si="72"/>
        <v>5</v>
      </c>
      <c r="BP26" s="54">
        <f t="shared" si="73"/>
        <v>2</v>
      </c>
      <c r="BQ26" s="54">
        <f t="shared" si="74"/>
        <v>5</v>
      </c>
      <c r="BR26" s="54">
        <f t="shared" si="75"/>
        <v>2</v>
      </c>
      <c r="BS26" s="54">
        <f t="shared" si="76"/>
        <v>5</v>
      </c>
      <c r="BT26" s="54">
        <f t="shared" si="77"/>
        <v>2</v>
      </c>
      <c r="BU26" s="54">
        <f t="shared" si="78"/>
        <v>5</v>
      </c>
      <c r="BV26" s="54">
        <f t="shared" si="79"/>
        <v>2</v>
      </c>
      <c r="BW26" s="54">
        <f t="shared" si="80"/>
        <v>5</v>
      </c>
      <c r="BX26" s="54">
        <f t="shared" si="81"/>
        <v>2</v>
      </c>
      <c r="BY26" s="54">
        <f t="shared" si="82"/>
        <v>5</v>
      </c>
      <c r="BZ26" s="54">
        <f t="shared" si="83"/>
        <v>2</v>
      </c>
      <c r="CA26" s="54">
        <f t="shared" si="84"/>
        <v>5</v>
      </c>
      <c r="CB26" s="54">
        <f t="shared" si="85"/>
        <v>2</v>
      </c>
      <c r="CC26" s="54">
        <f t="shared" si="86"/>
        <v>5</v>
      </c>
      <c r="CD26" s="54">
        <f t="shared" si="87"/>
        <v>2</v>
      </c>
      <c r="CE26" s="54">
        <f t="shared" si="88"/>
        <v>5</v>
      </c>
      <c r="CF26" s="54">
        <f t="shared" si="89"/>
        <v>2</v>
      </c>
      <c r="CG26" s="54">
        <f t="shared" si="90"/>
        <v>5</v>
      </c>
      <c r="CH26" s="54">
        <f t="shared" si="91"/>
        <v>2</v>
      </c>
      <c r="CI26" s="54">
        <f t="shared" si="92"/>
        <v>5</v>
      </c>
      <c r="CJ26" s="54">
        <f t="shared" si="93"/>
        <v>2</v>
      </c>
      <c r="CK26" s="54">
        <f t="shared" si="94"/>
        <v>5</v>
      </c>
      <c r="CL26" s="54">
        <f t="shared" si="95"/>
        <v>2</v>
      </c>
      <c r="CM26" s="54">
        <f t="shared" si="96"/>
        <v>5</v>
      </c>
      <c r="CN26" s="54">
        <f t="shared" si="97"/>
        <v>2</v>
      </c>
      <c r="CO26" s="54">
        <f t="shared" si="98"/>
        <v>5</v>
      </c>
      <c r="CP26" s="54">
        <f t="shared" si="99"/>
        <v>2</v>
      </c>
      <c r="CQ26" s="54">
        <f t="shared" si="100"/>
        <v>5</v>
      </c>
      <c r="CR26" s="54">
        <f t="shared" si="101"/>
        <v>2</v>
      </c>
      <c r="CS26" s="54">
        <f t="shared" si="102"/>
        <v>5</v>
      </c>
      <c r="CT26" s="54">
        <f t="shared" si="103"/>
        <v>2</v>
      </c>
      <c r="CU26" s="54">
        <f t="shared" si="104"/>
        <v>5</v>
      </c>
      <c r="CV26" s="54">
        <f t="shared" si="105"/>
        <v>2</v>
      </c>
      <c r="CW26" s="54">
        <f t="shared" si="106"/>
        <v>5</v>
      </c>
      <c r="CX26" s="54">
        <f t="shared" si="107"/>
        <v>2</v>
      </c>
      <c r="CY26" s="54">
        <f t="shared" si="108"/>
        <v>5</v>
      </c>
      <c r="CZ26" s="54">
        <f t="shared" si="109"/>
        <v>2</v>
      </c>
      <c r="DA26" s="54">
        <f t="shared" si="110"/>
        <v>5</v>
      </c>
      <c r="DB26" s="54">
        <f t="shared" si="111"/>
        <v>2</v>
      </c>
      <c r="DC26" s="54">
        <f t="shared" si="112"/>
        <v>5</v>
      </c>
      <c r="DD26" s="54">
        <f t="shared" si="113"/>
        <v>2</v>
      </c>
      <c r="DE26" s="54">
        <f t="shared" si="114"/>
        <v>5</v>
      </c>
      <c r="DF26" s="54">
        <f t="shared" si="115"/>
        <v>2</v>
      </c>
      <c r="DG26" s="54">
        <f t="shared" si="116"/>
        <v>5</v>
      </c>
      <c r="DH26" s="54">
        <f t="shared" si="117"/>
        <v>2</v>
      </c>
      <c r="DI26" s="54">
        <f t="shared" si="118"/>
        <v>5</v>
      </c>
      <c r="DJ26" s="54">
        <f t="shared" si="119"/>
        <v>2</v>
      </c>
      <c r="DK26" s="54">
        <f t="shared" si="120"/>
        <v>5</v>
      </c>
      <c r="DL26" s="54">
        <f t="shared" si="121"/>
        <v>2</v>
      </c>
      <c r="DM26" s="54">
        <f t="shared" si="122"/>
        <v>5</v>
      </c>
      <c r="DN26" s="54">
        <f t="shared" si="123"/>
        <v>2</v>
      </c>
      <c r="DO26" s="54">
        <f t="shared" si="124"/>
        <v>5</v>
      </c>
      <c r="DP26" s="54">
        <f t="shared" si="125"/>
        <v>2</v>
      </c>
      <c r="DQ26" s="54">
        <f t="shared" si="126"/>
        <v>5</v>
      </c>
      <c r="DR26" s="54">
        <f t="shared" si="127"/>
        <v>2</v>
      </c>
      <c r="DS26" s="54">
        <f t="shared" si="128"/>
        <v>5</v>
      </c>
      <c r="DT26" s="54">
        <f t="shared" si="129"/>
        <v>2</v>
      </c>
      <c r="DU26" s="54">
        <f t="shared" si="130"/>
        <v>5</v>
      </c>
      <c r="DV26" s="54">
        <f t="shared" si="131"/>
        <v>2</v>
      </c>
      <c r="DW26" s="54">
        <f t="shared" si="132"/>
        <v>5</v>
      </c>
      <c r="DX26" s="54">
        <f t="shared" si="133"/>
        <v>2</v>
      </c>
      <c r="DY26" s="54">
        <f t="shared" si="134"/>
        <v>5</v>
      </c>
      <c r="DZ26" s="54">
        <f t="shared" si="135"/>
        <v>2</v>
      </c>
      <c r="EA26" s="54">
        <f t="shared" si="134"/>
        <v>5</v>
      </c>
      <c r="EB26" s="54">
        <f t="shared" si="135"/>
        <v>2</v>
      </c>
      <c r="EC26" s="54">
        <f t="shared" si="135"/>
        <v>5</v>
      </c>
      <c r="ED26" s="54">
        <f t="shared" si="136"/>
        <v>2</v>
      </c>
      <c r="EE26" s="54">
        <f t="shared" si="137"/>
        <v>5</v>
      </c>
      <c r="EF26" s="54">
        <f t="shared" si="138"/>
        <v>2</v>
      </c>
      <c r="EG26" s="54">
        <f t="shared" ref="EG26:EN26" si="159">EG25</f>
        <v>5</v>
      </c>
      <c r="EH26" s="54">
        <f t="shared" si="159"/>
        <v>2</v>
      </c>
      <c r="EI26" s="54">
        <f t="shared" si="159"/>
        <v>5</v>
      </c>
      <c r="EJ26" s="54">
        <f t="shared" si="159"/>
        <v>2</v>
      </c>
      <c r="EK26" s="54">
        <f t="shared" si="159"/>
        <v>5</v>
      </c>
      <c r="EL26" s="54">
        <f t="shared" si="159"/>
        <v>2</v>
      </c>
      <c r="EM26" s="54">
        <f t="shared" si="159"/>
        <v>5</v>
      </c>
      <c r="EN26" s="54">
        <f t="shared" si="159"/>
        <v>2</v>
      </c>
      <c r="EO26" s="54">
        <f t="shared" si="7"/>
        <v>2</v>
      </c>
      <c r="EP26" s="54">
        <f t="shared" si="8"/>
        <v>2</v>
      </c>
    </row>
    <row r="27" spans="1:146" x14ac:dyDescent="0.2">
      <c r="B27" t="s">
        <v>230</v>
      </c>
      <c r="C27" s="54">
        <f t="shared" si="9"/>
        <v>45474</v>
      </c>
      <c r="D27" s="54">
        <f t="shared" si="1"/>
        <v>1</v>
      </c>
      <c r="E27" s="54">
        <f t="shared" si="10"/>
        <v>4</v>
      </c>
      <c r="F27" s="54">
        <f t="shared" si="11"/>
        <v>2</v>
      </c>
      <c r="G27" s="54">
        <f t="shared" si="12"/>
        <v>5</v>
      </c>
      <c r="H27" s="54">
        <f t="shared" si="13"/>
        <v>2</v>
      </c>
      <c r="I27" s="54">
        <f t="shared" si="14"/>
        <v>5</v>
      </c>
      <c r="J27" s="54">
        <f t="shared" si="15"/>
        <v>2</v>
      </c>
      <c r="K27" s="54">
        <f t="shared" si="16"/>
        <v>5</v>
      </c>
      <c r="L27" s="54">
        <f t="shared" si="17"/>
        <v>2</v>
      </c>
      <c r="M27" s="54">
        <f t="shared" si="18"/>
        <v>5</v>
      </c>
      <c r="N27" s="54">
        <f t="shared" si="19"/>
        <v>2</v>
      </c>
      <c r="O27" s="54">
        <f t="shared" si="20"/>
        <v>5</v>
      </c>
      <c r="P27" s="54">
        <f t="shared" si="21"/>
        <v>2</v>
      </c>
      <c r="Q27" s="54">
        <f t="shared" si="22"/>
        <v>5</v>
      </c>
      <c r="R27" s="54">
        <f t="shared" si="23"/>
        <v>2</v>
      </c>
      <c r="S27" s="54">
        <f t="shared" si="24"/>
        <v>5</v>
      </c>
      <c r="T27" s="54">
        <f t="shared" si="25"/>
        <v>2</v>
      </c>
      <c r="U27" s="54">
        <f t="shared" si="26"/>
        <v>5</v>
      </c>
      <c r="V27" s="54">
        <f t="shared" si="27"/>
        <v>2</v>
      </c>
      <c r="W27" s="54">
        <f t="shared" si="28"/>
        <v>5</v>
      </c>
      <c r="X27" s="54">
        <f t="shared" si="29"/>
        <v>2</v>
      </c>
      <c r="Y27" s="54">
        <f t="shared" si="30"/>
        <v>5</v>
      </c>
      <c r="Z27" s="54">
        <f t="shared" si="31"/>
        <v>2</v>
      </c>
      <c r="AA27" s="54">
        <f t="shared" si="32"/>
        <v>5</v>
      </c>
      <c r="AB27" s="54">
        <f t="shared" si="33"/>
        <v>2</v>
      </c>
      <c r="AC27" s="54">
        <f t="shared" si="34"/>
        <v>5</v>
      </c>
      <c r="AD27" s="54">
        <f t="shared" si="35"/>
        <v>2</v>
      </c>
      <c r="AE27" s="54">
        <f t="shared" si="36"/>
        <v>5</v>
      </c>
      <c r="AF27" s="54">
        <f t="shared" si="37"/>
        <v>2</v>
      </c>
      <c r="AG27" s="54">
        <f t="shared" si="38"/>
        <v>5</v>
      </c>
      <c r="AH27" s="54">
        <f t="shared" si="39"/>
        <v>2</v>
      </c>
      <c r="AI27" s="54">
        <f t="shared" si="40"/>
        <v>5</v>
      </c>
      <c r="AJ27" s="54">
        <f t="shared" si="41"/>
        <v>2</v>
      </c>
      <c r="AK27" s="54">
        <f t="shared" si="42"/>
        <v>5</v>
      </c>
      <c r="AL27" s="54">
        <f t="shared" si="43"/>
        <v>2</v>
      </c>
      <c r="AM27" s="54">
        <f t="shared" si="44"/>
        <v>5</v>
      </c>
      <c r="AN27" s="54">
        <f t="shared" si="45"/>
        <v>2</v>
      </c>
      <c r="AO27" s="54">
        <f t="shared" si="46"/>
        <v>5</v>
      </c>
      <c r="AP27" s="54">
        <f t="shared" si="47"/>
        <v>2</v>
      </c>
      <c r="AQ27" s="54">
        <f t="shared" si="48"/>
        <v>5</v>
      </c>
      <c r="AR27" s="54">
        <f t="shared" si="49"/>
        <v>2</v>
      </c>
      <c r="AS27" s="54">
        <f t="shared" si="50"/>
        <v>5</v>
      </c>
      <c r="AT27" s="54">
        <f t="shared" si="51"/>
        <v>2</v>
      </c>
      <c r="AU27" s="54">
        <f t="shared" si="52"/>
        <v>5</v>
      </c>
      <c r="AV27" s="54">
        <f t="shared" si="53"/>
        <v>2</v>
      </c>
      <c r="AW27" s="54">
        <f t="shared" si="54"/>
        <v>5</v>
      </c>
      <c r="AX27" s="54">
        <f t="shared" si="55"/>
        <v>2</v>
      </c>
      <c r="AY27" s="54">
        <f t="shared" si="56"/>
        <v>5</v>
      </c>
      <c r="AZ27" s="54">
        <f t="shared" si="57"/>
        <v>2</v>
      </c>
      <c r="BA27" s="54">
        <f t="shared" si="58"/>
        <v>5</v>
      </c>
      <c r="BB27" s="54">
        <f t="shared" si="59"/>
        <v>2</v>
      </c>
      <c r="BC27" s="54">
        <f t="shared" si="60"/>
        <v>5</v>
      </c>
      <c r="BD27" s="54">
        <f t="shared" si="61"/>
        <v>2</v>
      </c>
      <c r="BE27" s="54">
        <f t="shared" si="62"/>
        <v>5</v>
      </c>
      <c r="BF27" s="54">
        <f t="shared" si="63"/>
        <v>2</v>
      </c>
      <c r="BG27" s="54">
        <f t="shared" si="64"/>
        <v>5</v>
      </c>
      <c r="BH27" s="54">
        <f t="shared" si="65"/>
        <v>2</v>
      </c>
      <c r="BI27" s="54">
        <f t="shared" si="66"/>
        <v>5</v>
      </c>
      <c r="BJ27" s="54">
        <f t="shared" si="67"/>
        <v>2</v>
      </c>
      <c r="BK27" s="54">
        <f t="shared" si="68"/>
        <v>5</v>
      </c>
      <c r="BL27" s="54">
        <f t="shared" si="69"/>
        <v>2</v>
      </c>
      <c r="BM27" s="54">
        <f t="shared" si="70"/>
        <v>5</v>
      </c>
      <c r="BN27" s="54">
        <f t="shared" si="71"/>
        <v>2</v>
      </c>
      <c r="BO27" s="54">
        <f t="shared" si="72"/>
        <v>5</v>
      </c>
      <c r="BP27" s="54">
        <f t="shared" si="73"/>
        <v>2</v>
      </c>
      <c r="BQ27" s="54">
        <f t="shared" si="74"/>
        <v>5</v>
      </c>
      <c r="BR27" s="54">
        <f t="shared" si="75"/>
        <v>2</v>
      </c>
      <c r="BS27" s="54">
        <f t="shared" si="76"/>
        <v>5</v>
      </c>
      <c r="BT27" s="54">
        <f t="shared" si="77"/>
        <v>2</v>
      </c>
      <c r="BU27" s="54">
        <f t="shared" si="78"/>
        <v>5</v>
      </c>
      <c r="BV27" s="54">
        <f t="shared" si="79"/>
        <v>2</v>
      </c>
      <c r="BW27" s="54">
        <f t="shared" si="80"/>
        <v>5</v>
      </c>
      <c r="BX27" s="54">
        <f t="shared" si="81"/>
        <v>2</v>
      </c>
      <c r="BY27" s="54">
        <f t="shared" si="82"/>
        <v>5</v>
      </c>
      <c r="BZ27" s="54">
        <f t="shared" si="83"/>
        <v>2</v>
      </c>
      <c r="CA27" s="54">
        <f t="shared" si="84"/>
        <v>5</v>
      </c>
      <c r="CB27" s="54">
        <f t="shared" si="85"/>
        <v>2</v>
      </c>
      <c r="CC27" s="54">
        <f t="shared" si="86"/>
        <v>5</v>
      </c>
      <c r="CD27" s="54">
        <f t="shared" si="87"/>
        <v>2</v>
      </c>
      <c r="CE27" s="54">
        <f t="shared" si="88"/>
        <v>5</v>
      </c>
      <c r="CF27" s="54">
        <f t="shared" si="89"/>
        <v>2</v>
      </c>
      <c r="CG27" s="54">
        <f t="shared" si="90"/>
        <v>5</v>
      </c>
      <c r="CH27" s="54">
        <f t="shared" si="91"/>
        <v>2</v>
      </c>
      <c r="CI27" s="54">
        <f t="shared" si="92"/>
        <v>5</v>
      </c>
      <c r="CJ27" s="54">
        <f t="shared" si="93"/>
        <v>2</v>
      </c>
      <c r="CK27" s="54">
        <f t="shared" si="94"/>
        <v>5</v>
      </c>
      <c r="CL27" s="54">
        <f t="shared" si="95"/>
        <v>2</v>
      </c>
      <c r="CM27" s="54">
        <f t="shared" si="96"/>
        <v>5</v>
      </c>
      <c r="CN27" s="54">
        <f t="shared" si="97"/>
        <v>2</v>
      </c>
      <c r="CO27" s="54">
        <f t="shared" si="98"/>
        <v>5</v>
      </c>
      <c r="CP27" s="54">
        <f t="shared" si="99"/>
        <v>2</v>
      </c>
      <c r="CQ27" s="54">
        <f t="shared" si="100"/>
        <v>5</v>
      </c>
      <c r="CR27" s="54">
        <f t="shared" si="101"/>
        <v>2</v>
      </c>
      <c r="CS27" s="54">
        <f t="shared" si="102"/>
        <v>5</v>
      </c>
      <c r="CT27" s="54">
        <f t="shared" si="103"/>
        <v>2</v>
      </c>
      <c r="CU27" s="54">
        <f t="shared" si="104"/>
        <v>5</v>
      </c>
      <c r="CV27" s="54">
        <f t="shared" si="105"/>
        <v>2</v>
      </c>
      <c r="CW27" s="54">
        <f t="shared" si="106"/>
        <v>5</v>
      </c>
      <c r="CX27" s="54">
        <f t="shared" si="107"/>
        <v>2</v>
      </c>
      <c r="CY27" s="54">
        <f t="shared" si="108"/>
        <v>5</v>
      </c>
      <c r="CZ27" s="54">
        <f t="shared" si="109"/>
        <v>2</v>
      </c>
      <c r="DA27" s="54">
        <f t="shared" si="110"/>
        <v>5</v>
      </c>
      <c r="DB27" s="54">
        <f t="shared" si="111"/>
        <v>2</v>
      </c>
      <c r="DC27" s="54">
        <f t="shared" si="112"/>
        <v>5</v>
      </c>
      <c r="DD27" s="54">
        <f t="shared" si="113"/>
        <v>2</v>
      </c>
      <c r="DE27" s="54">
        <f t="shared" si="114"/>
        <v>5</v>
      </c>
      <c r="DF27" s="54">
        <f t="shared" si="115"/>
        <v>2</v>
      </c>
      <c r="DG27" s="54">
        <f t="shared" si="116"/>
        <v>5</v>
      </c>
      <c r="DH27" s="54">
        <f t="shared" si="117"/>
        <v>2</v>
      </c>
      <c r="DI27" s="54">
        <f t="shared" si="118"/>
        <v>5</v>
      </c>
      <c r="DJ27" s="54">
        <f t="shared" si="119"/>
        <v>2</v>
      </c>
      <c r="DK27" s="54">
        <f t="shared" si="120"/>
        <v>5</v>
      </c>
      <c r="DL27" s="54">
        <f t="shared" si="121"/>
        <v>2</v>
      </c>
      <c r="DM27" s="54">
        <f t="shared" si="122"/>
        <v>5</v>
      </c>
      <c r="DN27" s="54">
        <f t="shared" si="123"/>
        <v>2</v>
      </c>
      <c r="DO27" s="54">
        <f t="shared" si="124"/>
        <v>5</v>
      </c>
      <c r="DP27" s="54">
        <f t="shared" si="125"/>
        <v>2</v>
      </c>
      <c r="DQ27" s="54">
        <f t="shared" si="126"/>
        <v>5</v>
      </c>
      <c r="DR27" s="54">
        <f t="shared" si="127"/>
        <v>2</v>
      </c>
      <c r="DS27" s="54">
        <f t="shared" si="128"/>
        <v>5</v>
      </c>
      <c r="DT27" s="54">
        <f t="shared" si="129"/>
        <v>2</v>
      </c>
      <c r="DU27" s="54">
        <f t="shared" si="130"/>
        <v>5</v>
      </c>
      <c r="DV27" s="54">
        <f t="shared" si="131"/>
        <v>2</v>
      </c>
      <c r="DW27" s="54">
        <f t="shared" si="132"/>
        <v>5</v>
      </c>
      <c r="DX27" s="54">
        <f t="shared" si="133"/>
        <v>2</v>
      </c>
      <c r="DY27" s="54">
        <f t="shared" si="134"/>
        <v>5</v>
      </c>
      <c r="DZ27" s="54">
        <f t="shared" si="135"/>
        <v>2</v>
      </c>
      <c r="EA27" s="54">
        <f t="shared" si="134"/>
        <v>5</v>
      </c>
      <c r="EB27" s="54">
        <f t="shared" si="135"/>
        <v>2</v>
      </c>
      <c r="EC27" s="54">
        <f t="shared" si="135"/>
        <v>5</v>
      </c>
      <c r="ED27" s="54">
        <f t="shared" si="136"/>
        <v>2</v>
      </c>
      <c r="EE27" s="54">
        <f t="shared" si="137"/>
        <v>5</v>
      </c>
      <c r="EF27" s="54">
        <f t="shared" si="138"/>
        <v>2</v>
      </c>
      <c r="EG27" s="54">
        <f t="shared" ref="EG27:EN27" si="160">EG26</f>
        <v>5</v>
      </c>
      <c r="EH27" s="54">
        <f t="shared" si="160"/>
        <v>2</v>
      </c>
      <c r="EI27" s="54">
        <f t="shared" si="160"/>
        <v>5</v>
      </c>
      <c r="EJ27" s="54">
        <f t="shared" si="160"/>
        <v>2</v>
      </c>
      <c r="EK27" s="54">
        <f t="shared" si="160"/>
        <v>5</v>
      </c>
      <c r="EL27" s="54">
        <f t="shared" si="160"/>
        <v>2</v>
      </c>
      <c r="EM27" s="54">
        <f t="shared" si="160"/>
        <v>5</v>
      </c>
      <c r="EN27" s="54">
        <f t="shared" si="160"/>
        <v>2</v>
      </c>
      <c r="EO27" s="54">
        <f t="shared" si="7"/>
        <v>2</v>
      </c>
      <c r="EP27" s="54">
        <f t="shared" si="8"/>
        <v>2</v>
      </c>
    </row>
    <row r="28" spans="1:146" x14ac:dyDescent="0.2">
      <c r="B28" t="s">
        <v>230</v>
      </c>
      <c r="C28" s="54">
        <f t="shared" si="9"/>
        <v>45474</v>
      </c>
      <c r="D28" s="54">
        <f t="shared" si="1"/>
        <v>1</v>
      </c>
      <c r="E28" s="54">
        <f t="shared" si="10"/>
        <v>4</v>
      </c>
      <c r="F28" s="54">
        <f t="shared" si="11"/>
        <v>2</v>
      </c>
      <c r="G28" s="54">
        <f t="shared" si="12"/>
        <v>5</v>
      </c>
      <c r="H28" s="54">
        <f t="shared" si="13"/>
        <v>2</v>
      </c>
      <c r="I28" s="54">
        <f t="shared" si="14"/>
        <v>5</v>
      </c>
      <c r="J28" s="54">
        <f t="shared" si="15"/>
        <v>2</v>
      </c>
      <c r="K28" s="54">
        <f t="shared" si="16"/>
        <v>5</v>
      </c>
      <c r="L28" s="54">
        <f t="shared" si="17"/>
        <v>2</v>
      </c>
      <c r="M28" s="54">
        <f t="shared" si="18"/>
        <v>5</v>
      </c>
      <c r="N28" s="54">
        <f t="shared" si="19"/>
        <v>2</v>
      </c>
      <c r="O28" s="54">
        <f t="shared" si="20"/>
        <v>5</v>
      </c>
      <c r="P28" s="54">
        <f t="shared" si="21"/>
        <v>2</v>
      </c>
      <c r="Q28" s="54">
        <f t="shared" si="22"/>
        <v>5</v>
      </c>
      <c r="R28" s="54">
        <f t="shared" si="23"/>
        <v>2</v>
      </c>
      <c r="S28" s="54">
        <f t="shared" si="24"/>
        <v>5</v>
      </c>
      <c r="T28" s="54">
        <f t="shared" si="25"/>
        <v>2</v>
      </c>
      <c r="U28" s="54">
        <f t="shared" si="26"/>
        <v>5</v>
      </c>
      <c r="V28" s="54">
        <f t="shared" si="27"/>
        <v>2</v>
      </c>
      <c r="W28" s="54">
        <f t="shared" si="28"/>
        <v>5</v>
      </c>
      <c r="X28" s="54">
        <f t="shared" si="29"/>
        <v>2</v>
      </c>
      <c r="Y28" s="54">
        <f t="shared" si="30"/>
        <v>5</v>
      </c>
      <c r="Z28" s="54">
        <f t="shared" si="31"/>
        <v>2</v>
      </c>
      <c r="AA28" s="54">
        <f t="shared" si="32"/>
        <v>5</v>
      </c>
      <c r="AB28" s="54">
        <f t="shared" si="33"/>
        <v>2</v>
      </c>
      <c r="AC28" s="54">
        <f t="shared" si="34"/>
        <v>5</v>
      </c>
      <c r="AD28" s="54">
        <f t="shared" si="35"/>
        <v>2</v>
      </c>
      <c r="AE28" s="54">
        <f t="shared" si="36"/>
        <v>5</v>
      </c>
      <c r="AF28" s="54">
        <f t="shared" si="37"/>
        <v>2</v>
      </c>
      <c r="AG28" s="54">
        <f t="shared" si="38"/>
        <v>5</v>
      </c>
      <c r="AH28" s="54">
        <f t="shared" si="39"/>
        <v>2</v>
      </c>
      <c r="AI28" s="54">
        <f t="shared" si="40"/>
        <v>5</v>
      </c>
      <c r="AJ28" s="54">
        <f t="shared" si="41"/>
        <v>2</v>
      </c>
      <c r="AK28" s="54">
        <f t="shared" si="42"/>
        <v>5</v>
      </c>
      <c r="AL28" s="54">
        <f t="shared" si="43"/>
        <v>2</v>
      </c>
      <c r="AM28" s="54">
        <f t="shared" si="44"/>
        <v>5</v>
      </c>
      <c r="AN28" s="54">
        <f t="shared" si="45"/>
        <v>2</v>
      </c>
      <c r="AO28" s="54">
        <f t="shared" si="46"/>
        <v>5</v>
      </c>
      <c r="AP28" s="54">
        <f t="shared" si="47"/>
        <v>2</v>
      </c>
      <c r="AQ28" s="54">
        <f t="shared" si="48"/>
        <v>5</v>
      </c>
      <c r="AR28" s="54">
        <f t="shared" si="49"/>
        <v>2</v>
      </c>
      <c r="AS28" s="54">
        <f t="shared" si="50"/>
        <v>5</v>
      </c>
      <c r="AT28" s="54">
        <f t="shared" si="51"/>
        <v>2</v>
      </c>
      <c r="AU28" s="54">
        <f t="shared" si="52"/>
        <v>5</v>
      </c>
      <c r="AV28" s="54">
        <f t="shared" si="53"/>
        <v>2</v>
      </c>
      <c r="AW28" s="54">
        <f t="shared" si="54"/>
        <v>5</v>
      </c>
      <c r="AX28" s="54">
        <f t="shared" si="55"/>
        <v>2</v>
      </c>
      <c r="AY28" s="54">
        <f t="shared" si="56"/>
        <v>5</v>
      </c>
      <c r="AZ28" s="54">
        <f t="shared" si="57"/>
        <v>2</v>
      </c>
      <c r="BA28" s="54">
        <f t="shared" si="58"/>
        <v>5</v>
      </c>
      <c r="BB28" s="54">
        <f t="shared" si="59"/>
        <v>2</v>
      </c>
      <c r="BC28" s="54">
        <f t="shared" si="60"/>
        <v>5</v>
      </c>
      <c r="BD28" s="54">
        <f t="shared" si="61"/>
        <v>2</v>
      </c>
      <c r="BE28" s="54">
        <f t="shared" si="62"/>
        <v>5</v>
      </c>
      <c r="BF28" s="54">
        <f t="shared" si="63"/>
        <v>2</v>
      </c>
      <c r="BG28" s="54">
        <f t="shared" si="64"/>
        <v>5</v>
      </c>
      <c r="BH28" s="54">
        <f t="shared" si="65"/>
        <v>2</v>
      </c>
      <c r="BI28" s="54">
        <f t="shared" si="66"/>
        <v>5</v>
      </c>
      <c r="BJ28" s="54">
        <f t="shared" si="67"/>
        <v>2</v>
      </c>
      <c r="BK28" s="54">
        <f t="shared" si="68"/>
        <v>5</v>
      </c>
      <c r="BL28" s="54">
        <f t="shared" si="69"/>
        <v>2</v>
      </c>
      <c r="BM28" s="54">
        <f t="shared" si="70"/>
        <v>5</v>
      </c>
      <c r="BN28" s="54">
        <f t="shared" si="71"/>
        <v>2</v>
      </c>
      <c r="BO28" s="54">
        <f t="shared" si="72"/>
        <v>5</v>
      </c>
      <c r="BP28" s="54">
        <f t="shared" si="73"/>
        <v>2</v>
      </c>
      <c r="BQ28" s="54">
        <f t="shared" si="74"/>
        <v>5</v>
      </c>
      <c r="BR28" s="54">
        <f t="shared" si="75"/>
        <v>2</v>
      </c>
      <c r="BS28" s="54">
        <f t="shared" si="76"/>
        <v>5</v>
      </c>
      <c r="BT28" s="54">
        <f t="shared" si="77"/>
        <v>2</v>
      </c>
      <c r="BU28" s="54">
        <f t="shared" si="78"/>
        <v>5</v>
      </c>
      <c r="BV28" s="54">
        <f t="shared" si="79"/>
        <v>2</v>
      </c>
      <c r="BW28" s="54">
        <f t="shared" si="80"/>
        <v>5</v>
      </c>
      <c r="BX28" s="54">
        <f t="shared" si="81"/>
        <v>2</v>
      </c>
      <c r="BY28" s="54">
        <f t="shared" si="82"/>
        <v>5</v>
      </c>
      <c r="BZ28" s="54">
        <f t="shared" si="83"/>
        <v>2</v>
      </c>
      <c r="CA28" s="54">
        <f t="shared" si="84"/>
        <v>5</v>
      </c>
      <c r="CB28" s="54">
        <f t="shared" si="85"/>
        <v>2</v>
      </c>
      <c r="CC28" s="54">
        <f t="shared" si="86"/>
        <v>5</v>
      </c>
      <c r="CD28" s="54">
        <f t="shared" si="87"/>
        <v>2</v>
      </c>
      <c r="CE28" s="54">
        <f t="shared" si="88"/>
        <v>5</v>
      </c>
      <c r="CF28" s="54">
        <f t="shared" si="89"/>
        <v>2</v>
      </c>
      <c r="CG28" s="54">
        <f t="shared" si="90"/>
        <v>5</v>
      </c>
      <c r="CH28" s="54">
        <f t="shared" si="91"/>
        <v>2</v>
      </c>
      <c r="CI28" s="54">
        <f t="shared" si="92"/>
        <v>5</v>
      </c>
      <c r="CJ28" s="54">
        <f t="shared" si="93"/>
        <v>2</v>
      </c>
      <c r="CK28" s="54">
        <f t="shared" si="94"/>
        <v>5</v>
      </c>
      <c r="CL28" s="54">
        <f t="shared" si="95"/>
        <v>2</v>
      </c>
      <c r="CM28" s="54">
        <f t="shared" si="96"/>
        <v>5</v>
      </c>
      <c r="CN28" s="54">
        <f t="shared" si="97"/>
        <v>2</v>
      </c>
      <c r="CO28" s="54">
        <f t="shared" si="98"/>
        <v>5</v>
      </c>
      <c r="CP28" s="54">
        <f t="shared" si="99"/>
        <v>2</v>
      </c>
      <c r="CQ28" s="54">
        <f t="shared" si="100"/>
        <v>5</v>
      </c>
      <c r="CR28" s="54">
        <f t="shared" si="101"/>
        <v>2</v>
      </c>
      <c r="CS28" s="54">
        <f t="shared" si="102"/>
        <v>5</v>
      </c>
      <c r="CT28" s="54">
        <f t="shared" si="103"/>
        <v>2</v>
      </c>
      <c r="CU28" s="54">
        <f t="shared" si="104"/>
        <v>5</v>
      </c>
      <c r="CV28" s="54">
        <f t="shared" si="105"/>
        <v>2</v>
      </c>
      <c r="CW28" s="54">
        <f t="shared" si="106"/>
        <v>5</v>
      </c>
      <c r="CX28" s="54">
        <f t="shared" si="107"/>
        <v>2</v>
      </c>
      <c r="CY28" s="54">
        <f t="shared" si="108"/>
        <v>5</v>
      </c>
      <c r="CZ28" s="54">
        <f t="shared" si="109"/>
        <v>2</v>
      </c>
      <c r="DA28" s="54">
        <f t="shared" si="110"/>
        <v>5</v>
      </c>
      <c r="DB28" s="54">
        <f t="shared" si="111"/>
        <v>2</v>
      </c>
      <c r="DC28" s="54">
        <f t="shared" si="112"/>
        <v>5</v>
      </c>
      <c r="DD28" s="54">
        <f t="shared" si="113"/>
        <v>2</v>
      </c>
      <c r="DE28" s="54">
        <f t="shared" si="114"/>
        <v>5</v>
      </c>
      <c r="DF28" s="54">
        <f t="shared" si="115"/>
        <v>2</v>
      </c>
      <c r="DG28" s="54">
        <f t="shared" si="116"/>
        <v>5</v>
      </c>
      <c r="DH28" s="54">
        <f t="shared" si="117"/>
        <v>2</v>
      </c>
      <c r="DI28" s="54">
        <f t="shared" si="118"/>
        <v>5</v>
      </c>
      <c r="DJ28" s="54">
        <f t="shared" si="119"/>
        <v>2</v>
      </c>
      <c r="DK28" s="54">
        <f t="shared" si="120"/>
        <v>5</v>
      </c>
      <c r="DL28" s="54">
        <f t="shared" si="121"/>
        <v>2</v>
      </c>
      <c r="DM28" s="54">
        <f t="shared" si="122"/>
        <v>5</v>
      </c>
      <c r="DN28" s="54">
        <f t="shared" si="123"/>
        <v>2</v>
      </c>
      <c r="DO28" s="54">
        <f t="shared" si="124"/>
        <v>5</v>
      </c>
      <c r="DP28" s="54">
        <f t="shared" si="125"/>
        <v>2</v>
      </c>
      <c r="DQ28" s="54">
        <f t="shared" si="126"/>
        <v>5</v>
      </c>
      <c r="DR28" s="54">
        <f t="shared" si="127"/>
        <v>2</v>
      </c>
      <c r="DS28" s="54">
        <f t="shared" si="128"/>
        <v>5</v>
      </c>
      <c r="DT28" s="54">
        <f t="shared" si="129"/>
        <v>2</v>
      </c>
      <c r="DU28" s="54">
        <f t="shared" si="130"/>
        <v>5</v>
      </c>
      <c r="DV28" s="54">
        <f t="shared" si="131"/>
        <v>2</v>
      </c>
      <c r="DW28" s="54">
        <f t="shared" si="132"/>
        <v>5</v>
      </c>
      <c r="DX28" s="54">
        <f t="shared" si="133"/>
        <v>2</v>
      </c>
      <c r="DY28" s="54">
        <f t="shared" si="134"/>
        <v>5</v>
      </c>
      <c r="DZ28" s="54">
        <f t="shared" si="135"/>
        <v>2</v>
      </c>
      <c r="EA28" s="54">
        <f t="shared" si="134"/>
        <v>5</v>
      </c>
      <c r="EB28" s="54">
        <f t="shared" si="135"/>
        <v>2</v>
      </c>
      <c r="EC28" s="54">
        <f t="shared" si="135"/>
        <v>5</v>
      </c>
      <c r="ED28" s="54">
        <f t="shared" si="136"/>
        <v>2</v>
      </c>
      <c r="EE28" s="54">
        <f t="shared" si="137"/>
        <v>5</v>
      </c>
      <c r="EF28" s="54">
        <f t="shared" si="138"/>
        <v>2</v>
      </c>
      <c r="EG28" s="54">
        <f t="shared" ref="EG28:EN28" si="161">EG27</f>
        <v>5</v>
      </c>
      <c r="EH28" s="54">
        <f t="shared" si="161"/>
        <v>2</v>
      </c>
      <c r="EI28" s="54">
        <f t="shared" si="161"/>
        <v>5</v>
      </c>
      <c r="EJ28" s="54">
        <f t="shared" si="161"/>
        <v>2</v>
      </c>
      <c r="EK28" s="54">
        <f t="shared" si="161"/>
        <v>5</v>
      </c>
      <c r="EL28" s="54">
        <f t="shared" si="161"/>
        <v>2</v>
      </c>
      <c r="EM28" s="54">
        <f t="shared" si="161"/>
        <v>5</v>
      </c>
      <c r="EN28" s="54">
        <f t="shared" si="161"/>
        <v>2</v>
      </c>
      <c r="EO28" s="54">
        <f t="shared" si="7"/>
        <v>2</v>
      </c>
      <c r="EP28" s="54">
        <f t="shared" si="8"/>
        <v>2</v>
      </c>
    </row>
    <row r="29" spans="1:146" x14ac:dyDescent="0.2">
      <c r="A29" s="54"/>
      <c r="B29" t="s">
        <v>230</v>
      </c>
      <c r="C29" s="54">
        <f t="shared" si="9"/>
        <v>45474</v>
      </c>
      <c r="D29" s="54">
        <f t="shared" si="1"/>
        <v>1</v>
      </c>
      <c r="E29" s="54">
        <f t="shared" si="10"/>
        <v>4</v>
      </c>
      <c r="F29" s="54">
        <f t="shared" si="11"/>
        <v>2</v>
      </c>
      <c r="G29" s="54">
        <f t="shared" si="12"/>
        <v>5</v>
      </c>
      <c r="H29" s="54">
        <f t="shared" si="13"/>
        <v>2</v>
      </c>
      <c r="I29" s="54">
        <f t="shared" si="14"/>
        <v>5</v>
      </c>
      <c r="J29" s="54">
        <f t="shared" si="15"/>
        <v>2</v>
      </c>
      <c r="K29" s="54">
        <f t="shared" si="16"/>
        <v>5</v>
      </c>
      <c r="L29" s="54">
        <f t="shared" si="17"/>
        <v>2</v>
      </c>
      <c r="M29" s="54">
        <f t="shared" si="18"/>
        <v>5</v>
      </c>
      <c r="N29" s="54">
        <f t="shared" si="19"/>
        <v>2</v>
      </c>
      <c r="O29" s="54">
        <f t="shared" si="20"/>
        <v>5</v>
      </c>
      <c r="P29" s="54">
        <f t="shared" si="21"/>
        <v>2</v>
      </c>
      <c r="Q29" s="54">
        <f t="shared" si="22"/>
        <v>5</v>
      </c>
      <c r="R29" s="54">
        <f t="shared" si="23"/>
        <v>2</v>
      </c>
      <c r="S29" s="54">
        <f t="shared" si="24"/>
        <v>5</v>
      </c>
      <c r="T29" s="54">
        <f t="shared" si="25"/>
        <v>2</v>
      </c>
      <c r="U29" s="54">
        <f t="shared" si="26"/>
        <v>5</v>
      </c>
      <c r="V29" s="54">
        <f t="shared" si="27"/>
        <v>2</v>
      </c>
      <c r="W29" s="54">
        <f t="shared" si="28"/>
        <v>5</v>
      </c>
      <c r="X29" s="54">
        <f t="shared" si="29"/>
        <v>2</v>
      </c>
      <c r="Y29" s="54">
        <f t="shared" si="30"/>
        <v>5</v>
      </c>
      <c r="Z29" s="54">
        <f t="shared" si="31"/>
        <v>2</v>
      </c>
      <c r="AA29" s="54">
        <f t="shared" si="32"/>
        <v>5</v>
      </c>
      <c r="AB29" s="54">
        <f t="shared" si="33"/>
        <v>2</v>
      </c>
      <c r="AC29" s="54">
        <f t="shared" si="34"/>
        <v>5</v>
      </c>
      <c r="AD29" s="54">
        <f t="shared" si="35"/>
        <v>2</v>
      </c>
      <c r="AE29" s="54">
        <f t="shared" si="36"/>
        <v>5</v>
      </c>
      <c r="AF29" s="54">
        <f t="shared" si="37"/>
        <v>2</v>
      </c>
      <c r="AG29" s="54">
        <f t="shared" si="38"/>
        <v>5</v>
      </c>
      <c r="AH29" s="54">
        <f t="shared" si="39"/>
        <v>2</v>
      </c>
      <c r="AI29" s="54">
        <f t="shared" si="40"/>
        <v>5</v>
      </c>
      <c r="AJ29" s="54">
        <f t="shared" si="41"/>
        <v>2</v>
      </c>
      <c r="AK29" s="54">
        <f t="shared" si="42"/>
        <v>5</v>
      </c>
      <c r="AL29" s="54">
        <f t="shared" si="43"/>
        <v>2</v>
      </c>
      <c r="AM29" s="54">
        <f t="shared" si="44"/>
        <v>5</v>
      </c>
      <c r="AN29" s="54">
        <f t="shared" si="45"/>
        <v>2</v>
      </c>
      <c r="AO29" s="54">
        <f t="shared" si="46"/>
        <v>5</v>
      </c>
      <c r="AP29" s="54">
        <f t="shared" si="47"/>
        <v>2</v>
      </c>
      <c r="AQ29" s="54">
        <f t="shared" si="48"/>
        <v>5</v>
      </c>
      <c r="AR29" s="54">
        <f t="shared" si="49"/>
        <v>2</v>
      </c>
      <c r="AS29" s="54">
        <f t="shared" si="50"/>
        <v>5</v>
      </c>
      <c r="AT29" s="54">
        <f t="shared" si="51"/>
        <v>2</v>
      </c>
      <c r="AU29" s="54">
        <f t="shared" si="52"/>
        <v>5</v>
      </c>
      <c r="AV29" s="54">
        <f t="shared" si="53"/>
        <v>2</v>
      </c>
      <c r="AW29" s="54">
        <f t="shared" si="54"/>
        <v>5</v>
      </c>
      <c r="AX29" s="54">
        <f t="shared" si="55"/>
        <v>2</v>
      </c>
      <c r="AY29" s="54">
        <f t="shared" si="56"/>
        <v>5</v>
      </c>
      <c r="AZ29" s="54">
        <f t="shared" si="57"/>
        <v>2</v>
      </c>
      <c r="BA29" s="54">
        <f t="shared" si="58"/>
        <v>5</v>
      </c>
      <c r="BB29" s="54">
        <f t="shared" si="59"/>
        <v>2</v>
      </c>
      <c r="BC29" s="54">
        <f t="shared" si="60"/>
        <v>5</v>
      </c>
      <c r="BD29" s="54">
        <f t="shared" si="61"/>
        <v>2</v>
      </c>
      <c r="BE29" s="54">
        <f t="shared" si="62"/>
        <v>5</v>
      </c>
      <c r="BF29" s="54">
        <f t="shared" si="63"/>
        <v>2</v>
      </c>
      <c r="BG29" s="54">
        <f t="shared" si="64"/>
        <v>5</v>
      </c>
      <c r="BH29" s="54">
        <f t="shared" si="65"/>
        <v>2</v>
      </c>
      <c r="BI29" s="54">
        <f t="shared" si="66"/>
        <v>5</v>
      </c>
      <c r="BJ29" s="54">
        <f t="shared" si="67"/>
        <v>2</v>
      </c>
      <c r="BK29" s="54">
        <f t="shared" si="68"/>
        <v>5</v>
      </c>
      <c r="BL29" s="54">
        <f t="shared" si="69"/>
        <v>2</v>
      </c>
      <c r="BM29" s="54">
        <f t="shared" si="70"/>
        <v>5</v>
      </c>
      <c r="BN29" s="54">
        <f t="shared" si="71"/>
        <v>2</v>
      </c>
      <c r="BO29" s="54">
        <f t="shared" si="72"/>
        <v>5</v>
      </c>
      <c r="BP29" s="54">
        <f t="shared" si="73"/>
        <v>2</v>
      </c>
      <c r="BQ29" s="54">
        <f t="shared" si="74"/>
        <v>5</v>
      </c>
      <c r="BR29" s="54">
        <f t="shared" si="75"/>
        <v>2</v>
      </c>
      <c r="BS29" s="54">
        <f t="shared" si="76"/>
        <v>5</v>
      </c>
      <c r="BT29" s="54">
        <f t="shared" si="77"/>
        <v>2</v>
      </c>
      <c r="BU29" s="54">
        <f t="shared" si="78"/>
        <v>5</v>
      </c>
      <c r="BV29" s="54">
        <f t="shared" si="79"/>
        <v>2</v>
      </c>
      <c r="BW29" s="54">
        <f t="shared" si="80"/>
        <v>5</v>
      </c>
      <c r="BX29" s="54">
        <f t="shared" si="81"/>
        <v>2</v>
      </c>
      <c r="BY29" s="54">
        <f t="shared" si="82"/>
        <v>5</v>
      </c>
      <c r="BZ29" s="54">
        <f t="shared" si="83"/>
        <v>2</v>
      </c>
      <c r="CA29" s="54">
        <f t="shared" si="84"/>
        <v>5</v>
      </c>
      <c r="CB29" s="54">
        <f t="shared" si="85"/>
        <v>2</v>
      </c>
      <c r="CC29" s="54">
        <f t="shared" si="86"/>
        <v>5</v>
      </c>
      <c r="CD29" s="54">
        <f t="shared" si="87"/>
        <v>2</v>
      </c>
      <c r="CE29" s="54">
        <f t="shared" si="88"/>
        <v>5</v>
      </c>
      <c r="CF29" s="54">
        <f t="shared" si="89"/>
        <v>2</v>
      </c>
      <c r="CG29" s="54">
        <f t="shared" si="90"/>
        <v>5</v>
      </c>
      <c r="CH29" s="54">
        <f t="shared" si="91"/>
        <v>2</v>
      </c>
      <c r="CI29" s="54">
        <f t="shared" si="92"/>
        <v>5</v>
      </c>
      <c r="CJ29" s="54">
        <f t="shared" si="93"/>
        <v>2</v>
      </c>
      <c r="CK29" s="54">
        <f t="shared" si="94"/>
        <v>5</v>
      </c>
      <c r="CL29" s="54">
        <f t="shared" si="95"/>
        <v>2</v>
      </c>
      <c r="CM29" s="54">
        <f t="shared" si="96"/>
        <v>5</v>
      </c>
      <c r="CN29" s="54">
        <f t="shared" si="97"/>
        <v>2</v>
      </c>
      <c r="CO29" s="54">
        <f t="shared" si="98"/>
        <v>5</v>
      </c>
      <c r="CP29" s="54">
        <f t="shared" si="99"/>
        <v>2</v>
      </c>
      <c r="CQ29" s="54">
        <f t="shared" si="100"/>
        <v>5</v>
      </c>
      <c r="CR29" s="54">
        <f t="shared" si="101"/>
        <v>2</v>
      </c>
      <c r="CS29" s="54">
        <f t="shared" si="102"/>
        <v>5</v>
      </c>
      <c r="CT29" s="54">
        <f t="shared" si="103"/>
        <v>2</v>
      </c>
      <c r="CU29" s="54">
        <f t="shared" si="104"/>
        <v>5</v>
      </c>
      <c r="CV29" s="54">
        <f t="shared" si="105"/>
        <v>2</v>
      </c>
      <c r="CW29" s="54">
        <f t="shared" si="106"/>
        <v>5</v>
      </c>
      <c r="CX29" s="54">
        <f t="shared" si="107"/>
        <v>2</v>
      </c>
      <c r="CY29" s="54">
        <f t="shared" si="108"/>
        <v>5</v>
      </c>
      <c r="CZ29" s="54">
        <f t="shared" si="109"/>
        <v>2</v>
      </c>
      <c r="DA29" s="54">
        <f t="shared" si="110"/>
        <v>5</v>
      </c>
      <c r="DB29" s="54">
        <f t="shared" si="111"/>
        <v>2</v>
      </c>
      <c r="DC29" s="54">
        <f t="shared" si="112"/>
        <v>5</v>
      </c>
      <c r="DD29" s="54">
        <f t="shared" si="113"/>
        <v>2</v>
      </c>
      <c r="DE29" s="54">
        <f t="shared" si="114"/>
        <v>5</v>
      </c>
      <c r="DF29" s="54">
        <f t="shared" si="115"/>
        <v>2</v>
      </c>
      <c r="DG29" s="54">
        <f t="shared" si="116"/>
        <v>5</v>
      </c>
      <c r="DH29" s="54">
        <f t="shared" si="117"/>
        <v>2</v>
      </c>
      <c r="DI29" s="54">
        <f t="shared" si="118"/>
        <v>5</v>
      </c>
      <c r="DJ29" s="54">
        <f t="shared" si="119"/>
        <v>2</v>
      </c>
      <c r="DK29" s="54">
        <f t="shared" si="120"/>
        <v>5</v>
      </c>
      <c r="DL29" s="54">
        <f t="shared" si="121"/>
        <v>2</v>
      </c>
      <c r="DM29" s="54">
        <f t="shared" si="122"/>
        <v>5</v>
      </c>
      <c r="DN29" s="54">
        <f t="shared" si="123"/>
        <v>2</v>
      </c>
      <c r="DO29" s="54">
        <f t="shared" si="124"/>
        <v>5</v>
      </c>
      <c r="DP29" s="54">
        <f t="shared" si="125"/>
        <v>2</v>
      </c>
      <c r="DQ29" s="54">
        <f t="shared" si="126"/>
        <v>5</v>
      </c>
      <c r="DR29" s="54">
        <f t="shared" si="127"/>
        <v>2</v>
      </c>
      <c r="DS29" s="54">
        <f t="shared" si="128"/>
        <v>5</v>
      </c>
      <c r="DT29" s="54">
        <f t="shared" si="129"/>
        <v>2</v>
      </c>
      <c r="DU29" s="54">
        <f t="shared" si="130"/>
        <v>5</v>
      </c>
      <c r="DV29" s="54">
        <f t="shared" si="131"/>
        <v>2</v>
      </c>
      <c r="DW29" s="54">
        <f t="shared" si="132"/>
        <v>5</v>
      </c>
      <c r="DX29" s="54">
        <f t="shared" si="133"/>
        <v>2</v>
      </c>
      <c r="DY29" s="54">
        <f t="shared" si="134"/>
        <v>5</v>
      </c>
      <c r="DZ29" s="54">
        <f t="shared" si="135"/>
        <v>2</v>
      </c>
      <c r="EA29" s="54">
        <f t="shared" si="134"/>
        <v>5</v>
      </c>
      <c r="EB29" s="54">
        <f t="shared" si="135"/>
        <v>2</v>
      </c>
      <c r="EC29" s="54">
        <f t="shared" si="135"/>
        <v>5</v>
      </c>
      <c r="ED29" s="54">
        <f t="shared" si="136"/>
        <v>2</v>
      </c>
      <c r="EE29" s="54">
        <f t="shared" si="137"/>
        <v>5</v>
      </c>
      <c r="EF29" s="54">
        <f t="shared" si="138"/>
        <v>2</v>
      </c>
      <c r="EG29" s="54">
        <f t="shared" ref="EG29:EN29" si="162">EG28</f>
        <v>5</v>
      </c>
      <c r="EH29" s="54">
        <f t="shared" si="162"/>
        <v>2</v>
      </c>
      <c r="EI29" s="54">
        <f t="shared" si="162"/>
        <v>5</v>
      </c>
      <c r="EJ29" s="54">
        <f t="shared" si="162"/>
        <v>2</v>
      </c>
      <c r="EK29" s="54">
        <f t="shared" si="162"/>
        <v>5</v>
      </c>
      <c r="EL29" s="54">
        <f t="shared" si="162"/>
        <v>2</v>
      </c>
      <c r="EM29" s="54">
        <f t="shared" si="162"/>
        <v>5</v>
      </c>
      <c r="EN29" s="54">
        <f t="shared" si="162"/>
        <v>2</v>
      </c>
      <c r="EO29" s="54">
        <f t="shared" si="7"/>
        <v>2</v>
      </c>
      <c r="EP29" s="54">
        <f t="shared" si="8"/>
        <v>2</v>
      </c>
    </row>
    <row r="30" spans="1:146" x14ac:dyDescent="0.2">
      <c r="B30" t="s">
        <v>230</v>
      </c>
      <c r="C30" s="54">
        <f t="shared" si="9"/>
        <v>45474</v>
      </c>
      <c r="D30" s="54">
        <f t="shared" si="1"/>
        <v>1</v>
      </c>
      <c r="E30" s="54">
        <f t="shared" si="10"/>
        <v>4</v>
      </c>
      <c r="F30" s="54">
        <f t="shared" si="11"/>
        <v>2</v>
      </c>
      <c r="G30" s="54">
        <f t="shared" si="12"/>
        <v>5</v>
      </c>
      <c r="H30" s="54">
        <f t="shared" si="13"/>
        <v>2</v>
      </c>
      <c r="I30" s="54">
        <f t="shared" si="14"/>
        <v>5</v>
      </c>
      <c r="J30" s="54">
        <f t="shared" si="15"/>
        <v>2</v>
      </c>
      <c r="K30" s="54">
        <f t="shared" si="16"/>
        <v>5</v>
      </c>
      <c r="L30" s="54">
        <f t="shared" si="17"/>
        <v>2</v>
      </c>
      <c r="M30" s="54">
        <f t="shared" si="18"/>
        <v>5</v>
      </c>
      <c r="N30" s="54">
        <f t="shared" si="19"/>
        <v>2</v>
      </c>
      <c r="O30" s="54">
        <f t="shared" si="20"/>
        <v>5</v>
      </c>
      <c r="P30" s="54">
        <f t="shared" si="21"/>
        <v>2</v>
      </c>
      <c r="Q30" s="54">
        <f t="shared" si="22"/>
        <v>5</v>
      </c>
      <c r="R30" s="54">
        <f t="shared" si="23"/>
        <v>2</v>
      </c>
      <c r="S30" s="54">
        <f t="shared" si="24"/>
        <v>5</v>
      </c>
      <c r="T30" s="54">
        <f t="shared" si="25"/>
        <v>2</v>
      </c>
      <c r="U30" s="54">
        <f t="shared" si="26"/>
        <v>5</v>
      </c>
      <c r="V30" s="54">
        <f t="shared" si="27"/>
        <v>2</v>
      </c>
      <c r="W30" s="54">
        <f t="shared" si="28"/>
        <v>5</v>
      </c>
      <c r="X30" s="54">
        <f t="shared" si="29"/>
        <v>2</v>
      </c>
      <c r="Y30" s="54">
        <f t="shared" si="30"/>
        <v>5</v>
      </c>
      <c r="Z30" s="54">
        <f t="shared" si="31"/>
        <v>2</v>
      </c>
      <c r="AA30" s="54">
        <f t="shared" si="32"/>
        <v>5</v>
      </c>
      <c r="AB30" s="54">
        <f t="shared" si="33"/>
        <v>2</v>
      </c>
      <c r="AC30" s="54">
        <f t="shared" si="34"/>
        <v>5</v>
      </c>
      <c r="AD30" s="54">
        <f t="shared" si="35"/>
        <v>2</v>
      </c>
      <c r="AE30" s="54">
        <f t="shared" si="36"/>
        <v>5</v>
      </c>
      <c r="AF30" s="54">
        <f t="shared" si="37"/>
        <v>2</v>
      </c>
      <c r="AG30" s="54">
        <f t="shared" si="38"/>
        <v>5</v>
      </c>
      <c r="AH30" s="54">
        <f t="shared" si="39"/>
        <v>2</v>
      </c>
      <c r="AI30" s="54">
        <f t="shared" si="40"/>
        <v>5</v>
      </c>
      <c r="AJ30" s="54">
        <f t="shared" si="41"/>
        <v>2</v>
      </c>
      <c r="AK30" s="54">
        <f t="shared" si="42"/>
        <v>5</v>
      </c>
      <c r="AL30" s="54">
        <f t="shared" si="43"/>
        <v>2</v>
      </c>
      <c r="AM30" s="54">
        <f t="shared" si="44"/>
        <v>5</v>
      </c>
      <c r="AN30" s="54">
        <f t="shared" si="45"/>
        <v>2</v>
      </c>
      <c r="AO30" s="54">
        <f t="shared" si="46"/>
        <v>5</v>
      </c>
      <c r="AP30" s="54">
        <f t="shared" si="47"/>
        <v>2</v>
      </c>
      <c r="AQ30" s="54">
        <f t="shared" si="48"/>
        <v>5</v>
      </c>
      <c r="AR30" s="54">
        <f t="shared" si="49"/>
        <v>2</v>
      </c>
      <c r="AS30" s="54">
        <f t="shared" si="50"/>
        <v>5</v>
      </c>
      <c r="AT30" s="54">
        <f t="shared" si="51"/>
        <v>2</v>
      </c>
      <c r="AU30" s="54">
        <f t="shared" si="52"/>
        <v>5</v>
      </c>
      <c r="AV30" s="54">
        <f t="shared" si="53"/>
        <v>2</v>
      </c>
      <c r="AW30" s="54">
        <f t="shared" si="54"/>
        <v>5</v>
      </c>
      <c r="AX30" s="54">
        <f t="shared" si="55"/>
        <v>2</v>
      </c>
      <c r="AY30" s="54">
        <f t="shared" si="56"/>
        <v>5</v>
      </c>
      <c r="AZ30" s="54">
        <f t="shared" si="57"/>
        <v>2</v>
      </c>
      <c r="BA30" s="54">
        <f t="shared" si="58"/>
        <v>5</v>
      </c>
      <c r="BB30" s="54">
        <f t="shared" si="59"/>
        <v>2</v>
      </c>
      <c r="BC30" s="54">
        <f t="shared" si="60"/>
        <v>5</v>
      </c>
      <c r="BD30" s="54">
        <f t="shared" si="61"/>
        <v>2</v>
      </c>
      <c r="BE30" s="54">
        <f t="shared" si="62"/>
        <v>5</v>
      </c>
      <c r="BF30" s="54">
        <f t="shared" si="63"/>
        <v>2</v>
      </c>
      <c r="BG30" s="54">
        <f t="shared" si="64"/>
        <v>5</v>
      </c>
      <c r="BH30" s="54">
        <f t="shared" si="65"/>
        <v>2</v>
      </c>
      <c r="BI30" s="54">
        <f t="shared" si="66"/>
        <v>5</v>
      </c>
      <c r="BJ30" s="54">
        <f t="shared" si="67"/>
        <v>2</v>
      </c>
      <c r="BK30" s="54">
        <f t="shared" si="68"/>
        <v>5</v>
      </c>
      <c r="BL30" s="54">
        <f t="shared" si="69"/>
        <v>2</v>
      </c>
      <c r="BM30" s="54">
        <f t="shared" si="70"/>
        <v>5</v>
      </c>
      <c r="BN30" s="54">
        <f t="shared" si="71"/>
        <v>2</v>
      </c>
      <c r="BO30" s="54">
        <f t="shared" si="72"/>
        <v>5</v>
      </c>
      <c r="BP30" s="54">
        <f t="shared" si="73"/>
        <v>2</v>
      </c>
      <c r="BQ30" s="54">
        <f t="shared" si="74"/>
        <v>5</v>
      </c>
      <c r="BR30" s="54">
        <f t="shared" si="75"/>
        <v>2</v>
      </c>
      <c r="BS30" s="54">
        <f t="shared" si="76"/>
        <v>5</v>
      </c>
      <c r="BT30" s="54">
        <f t="shared" si="77"/>
        <v>2</v>
      </c>
      <c r="BU30" s="54">
        <f t="shared" si="78"/>
        <v>5</v>
      </c>
      <c r="BV30" s="54">
        <f t="shared" si="79"/>
        <v>2</v>
      </c>
      <c r="BW30" s="54">
        <f t="shared" si="80"/>
        <v>5</v>
      </c>
      <c r="BX30" s="54">
        <f t="shared" si="81"/>
        <v>2</v>
      </c>
      <c r="BY30" s="54">
        <f t="shared" si="82"/>
        <v>5</v>
      </c>
      <c r="BZ30" s="54">
        <f t="shared" si="83"/>
        <v>2</v>
      </c>
      <c r="CA30" s="54">
        <f t="shared" si="84"/>
        <v>5</v>
      </c>
      <c r="CB30" s="54">
        <f t="shared" si="85"/>
        <v>2</v>
      </c>
      <c r="CC30" s="54">
        <f t="shared" si="86"/>
        <v>5</v>
      </c>
      <c r="CD30" s="54">
        <f t="shared" si="87"/>
        <v>2</v>
      </c>
      <c r="CE30" s="54">
        <f t="shared" si="88"/>
        <v>5</v>
      </c>
      <c r="CF30" s="54">
        <f t="shared" si="89"/>
        <v>2</v>
      </c>
      <c r="CG30" s="54">
        <f t="shared" si="90"/>
        <v>5</v>
      </c>
      <c r="CH30" s="54">
        <f t="shared" si="91"/>
        <v>2</v>
      </c>
      <c r="CI30" s="54">
        <f t="shared" si="92"/>
        <v>5</v>
      </c>
      <c r="CJ30" s="54">
        <f t="shared" si="93"/>
        <v>2</v>
      </c>
      <c r="CK30" s="54">
        <f t="shared" si="94"/>
        <v>5</v>
      </c>
      <c r="CL30" s="54">
        <f t="shared" si="95"/>
        <v>2</v>
      </c>
      <c r="CM30" s="54">
        <f t="shared" si="96"/>
        <v>5</v>
      </c>
      <c r="CN30" s="54">
        <f t="shared" si="97"/>
        <v>2</v>
      </c>
      <c r="CO30" s="54">
        <f t="shared" si="98"/>
        <v>5</v>
      </c>
      <c r="CP30" s="54">
        <f t="shared" si="99"/>
        <v>2</v>
      </c>
      <c r="CQ30" s="54">
        <f t="shared" si="100"/>
        <v>5</v>
      </c>
      <c r="CR30" s="54">
        <f t="shared" si="101"/>
        <v>2</v>
      </c>
      <c r="CS30" s="54">
        <f t="shared" si="102"/>
        <v>5</v>
      </c>
      <c r="CT30" s="54">
        <f t="shared" si="103"/>
        <v>2</v>
      </c>
      <c r="CU30" s="54">
        <f t="shared" si="104"/>
        <v>5</v>
      </c>
      <c r="CV30" s="54">
        <f t="shared" si="105"/>
        <v>2</v>
      </c>
      <c r="CW30" s="54">
        <f t="shared" si="106"/>
        <v>5</v>
      </c>
      <c r="CX30" s="54">
        <f t="shared" si="107"/>
        <v>2</v>
      </c>
      <c r="CY30" s="54">
        <f t="shared" si="108"/>
        <v>5</v>
      </c>
      <c r="CZ30" s="54">
        <f t="shared" si="109"/>
        <v>2</v>
      </c>
      <c r="DA30" s="54">
        <f t="shared" si="110"/>
        <v>5</v>
      </c>
      <c r="DB30" s="54">
        <f t="shared" si="111"/>
        <v>2</v>
      </c>
      <c r="DC30" s="54">
        <f t="shared" si="112"/>
        <v>5</v>
      </c>
      <c r="DD30" s="54">
        <f t="shared" si="113"/>
        <v>2</v>
      </c>
      <c r="DE30" s="54">
        <f t="shared" si="114"/>
        <v>5</v>
      </c>
      <c r="DF30" s="54">
        <f t="shared" si="115"/>
        <v>2</v>
      </c>
      <c r="DG30" s="54">
        <f t="shared" si="116"/>
        <v>5</v>
      </c>
      <c r="DH30" s="54">
        <f t="shared" si="117"/>
        <v>2</v>
      </c>
      <c r="DI30" s="54">
        <f t="shared" si="118"/>
        <v>5</v>
      </c>
      <c r="DJ30" s="54">
        <f t="shared" si="119"/>
        <v>2</v>
      </c>
      <c r="DK30" s="54">
        <f t="shared" si="120"/>
        <v>5</v>
      </c>
      <c r="DL30" s="54">
        <f t="shared" si="121"/>
        <v>2</v>
      </c>
      <c r="DM30" s="54">
        <f t="shared" si="122"/>
        <v>5</v>
      </c>
      <c r="DN30" s="54">
        <f t="shared" si="123"/>
        <v>2</v>
      </c>
      <c r="DO30" s="54">
        <f t="shared" si="124"/>
        <v>5</v>
      </c>
      <c r="DP30" s="54">
        <f t="shared" si="125"/>
        <v>2</v>
      </c>
      <c r="DQ30" s="54">
        <f t="shared" si="126"/>
        <v>5</v>
      </c>
      <c r="DR30" s="54">
        <f t="shared" si="127"/>
        <v>2</v>
      </c>
      <c r="DS30" s="54">
        <f t="shared" si="128"/>
        <v>5</v>
      </c>
      <c r="DT30" s="54">
        <f t="shared" si="129"/>
        <v>2</v>
      </c>
      <c r="DU30" s="54">
        <f t="shared" si="130"/>
        <v>5</v>
      </c>
      <c r="DV30" s="54">
        <f t="shared" si="131"/>
        <v>2</v>
      </c>
      <c r="DW30" s="54">
        <f t="shared" si="132"/>
        <v>5</v>
      </c>
      <c r="DX30" s="54">
        <f t="shared" si="133"/>
        <v>2</v>
      </c>
      <c r="DY30" s="54">
        <f t="shared" si="134"/>
        <v>5</v>
      </c>
      <c r="DZ30" s="54">
        <f t="shared" si="135"/>
        <v>2</v>
      </c>
      <c r="EA30" s="54">
        <f t="shared" si="134"/>
        <v>5</v>
      </c>
      <c r="EB30" s="54">
        <f t="shared" si="135"/>
        <v>2</v>
      </c>
      <c r="EC30" s="54">
        <f t="shared" si="135"/>
        <v>5</v>
      </c>
      <c r="ED30" s="54">
        <f t="shared" si="136"/>
        <v>2</v>
      </c>
      <c r="EE30" s="54">
        <f t="shared" si="137"/>
        <v>5</v>
      </c>
      <c r="EF30" s="54">
        <f t="shared" si="138"/>
        <v>2</v>
      </c>
      <c r="EG30" s="54">
        <f t="shared" ref="EG30:EN30" si="163">EG29</f>
        <v>5</v>
      </c>
      <c r="EH30" s="54">
        <f t="shared" si="163"/>
        <v>2</v>
      </c>
      <c r="EI30" s="54">
        <f t="shared" si="163"/>
        <v>5</v>
      </c>
      <c r="EJ30" s="54">
        <f t="shared" si="163"/>
        <v>2</v>
      </c>
      <c r="EK30" s="54">
        <f t="shared" si="163"/>
        <v>5</v>
      </c>
      <c r="EL30" s="54">
        <f t="shared" si="163"/>
        <v>2</v>
      </c>
      <c r="EM30" s="54">
        <f t="shared" si="163"/>
        <v>5</v>
      </c>
      <c r="EN30" s="54">
        <f t="shared" si="163"/>
        <v>2</v>
      </c>
      <c r="EO30" s="54">
        <f t="shared" si="7"/>
        <v>2</v>
      </c>
      <c r="EP30" s="54">
        <f t="shared" si="8"/>
        <v>2</v>
      </c>
    </row>
    <row r="31" spans="1:146" x14ac:dyDescent="0.2">
      <c r="B31" t="s">
        <v>230</v>
      </c>
      <c r="C31" s="54">
        <f t="shared" si="9"/>
        <v>45474</v>
      </c>
      <c r="D31" s="54">
        <f t="shared" si="1"/>
        <v>1</v>
      </c>
      <c r="E31" s="54">
        <f t="shared" si="10"/>
        <v>4</v>
      </c>
      <c r="F31" s="54">
        <f t="shared" si="11"/>
        <v>2</v>
      </c>
      <c r="G31" s="54">
        <f t="shared" si="12"/>
        <v>5</v>
      </c>
      <c r="H31" s="54">
        <f t="shared" si="13"/>
        <v>2</v>
      </c>
      <c r="I31" s="54">
        <f t="shared" si="14"/>
        <v>5</v>
      </c>
      <c r="J31" s="54">
        <f t="shared" si="15"/>
        <v>2</v>
      </c>
      <c r="K31" s="54">
        <f t="shared" si="16"/>
        <v>5</v>
      </c>
      <c r="L31" s="54">
        <f t="shared" si="17"/>
        <v>2</v>
      </c>
      <c r="M31" s="54">
        <f t="shared" si="18"/>
        <v>5</v>
      </c>
      <c r="N31" s="54">
        <f t="shared" si="19"/>
        <v>2</v>
      </c>
      <c r="O31" s="54">
        <f t="shared" si="20"/>
        <v>5</v>
      </c>
      <c r="P31" s="54">
        <f t="shared" si="21"/>
        <v>2</v>
      </c>
      <c r="Q31" s="54">
        <f t="shared" si="22"/>
        <v>5</v>
      </c>
      <c r="R31" s="54">
        <f t="shared" si="23"/>
        <v>2</v>
      </c>
      <c r="S31" s="54">
        <f t="shared" si="24"/>
        <v>5</v>
      </c>
      <c r="T31" s="54">
        <f t="shared" si="25"/>
        <v>2</v>
      </c>
      <c r="U31" s="54">
        <f t="shared" si="26"/>
        <v>5</v>
      </c>
      <c r="V31" s="54">
        <f t="shared" si="27"/>
        <v>2</v>
      </c>
      <c r="W31" s="54">
        <f t="shared" si="28"/>
        <v>5</v>
      </c>
      <c r="X31" s="54">
        <f t="shared" si="29"/>
        <v>2</v>
      </c>
      <c r="Y31" s="54">
        <f t="shared" si="30"/>
        <v>5</v>
      </c>
      <c r="Z31" s="54">
        <f t="shared" si="31"/>
        <v>2</v>
      </c>
      <c r="AA31" s="54">
        <f t="shared" si="32"/>
        <v>5</v>
      </c>
      <c r="AB31" s="54">
        <f t="shared" si="33"/>
        <v>2</v>
      </c>
      <c r="AC31" s="54">
        <f t="shared" si="34"/>
        <v>5</v>
      </c>
      <c r="AD31" s="54">
        <f t="shared" si="35"/>
        <v>2</v>
      </c>
      <c r="AE31" s="54">
        <f t="shared" si="36"/>
        <v>5</v>
      </c>
      <c r="AF31" s="54">
        <f t="shared" si="37"/>
        <v>2</v>
      </c>
      <c r="AG31" s="54">
        <f t="shared" si="38"/>
        <v>5</v>
      </c>
      <c r="AH31" s="54">
        <f t="shared" si="39"/>
        <v>2</v>
      </c>
      <c r="AI31" s="54">
        <f t="shared" si="40"/>
        <v>5</v>
      </c>
      <c r="AJ31" s="54">
        <f t="shared" si="41"/>
        <v>2</v>
      </c>
      <c r="AK31" s="54">
        <f t="shared" si="42"/>
        <v>5</v>
      </c>
      <c r="AL31" s="54">
        <f t="shared" si="43"/>
        <v>2</v>
      </c>
      <c r="AM31" s="54">
        <f t="shared" si="44"/>
        <v>5</v>
      </c>
      <c r="AN31" s="54">
        <f t="shared" si="45"/>
        <v>2</v>
      </c>
      <c r="AO31" s="54">
        <f t="shared" si="46"/>
        <v>5</v>
      </c>
      <c r="AP31" s="54">
        <f t="shared" si="47"/>
        <v>2</v>
      </c>
      <c r="AQ31" s="54">
        <f t="shared" si="48"/>
        <v>5</v>
      </c>
      <c r="AR31" s="54">
        <f t="shared" si="49"/>
        <v>2</v>
      </c>
      <c r="AS31" s="54">
        <f t="shared" si="50"/>
        <v>5</v>
      </c>
      <c r="AT31" s="54">
        <f t="shared" si="51"/>
        <v>2</v>
      </c>
      <c r="AU31" s="54">
        <f t="shared" si="52"/>
        <v>5</v>
      </c>
      <c r="AV31" s="54">
        <f t="shared" si="53"/>
        <v>2</v>
      </c>
      <c r="AW31" s="54">
        <f t="shared" si="54"/>
        <v>5</v>
      </c>
      <c r="AX31" s="54">
        <f t="shared" si="55"/>
        <v>2</v>
      </c>
      <c r="AY31" s="54">
        <f t="shared" si="56"/>
        <v>5</v>
      </c>
      <c r="AZ31" s="54">
        <f t="shared" si="57"/>
        <v>2</v>
      </c>
      <c r="BA31" s="54">
        <f t="shared" si="58"/>
        <v>5</v>
      </c>
      <c r="BB31" s="54">
        <f t="shared" si="59"/>
        <v>2</v>
      </c>
      <c r="BC31" s="54">
        <f t="shared" si="60"/>
        <v>5</v>
      </c>
      <c r="BD31" s="54">
        <f t="shared" si="61"/>
        <v>2</v>
      </c>
      <c r="BE31" s="54">
        <f t="shared" si="62"/>
        <v>5</v>
      </c>
      <c r="BF31" s="54">
        <f t="shared" si="63"/>
        <v>2</v>
      </c>
      <c r="BG31" s="54">
        <f t="shared" si="64"/>
        <v>5</v>
      </c>
      <c r="BH31" s="54">
        <f t="shared" si="65"/>
        <v>2</v>
      </c>
      <c r="BI31" s="54">
        <f t="shared" si="66"/>
        <v>5</v>
      </c>
      <c r="BJ31" s="54">
        <f t="shared" si="67"/>
        <v>2</v>
      </c>
      <c r="BK31" s="54">
        <f t="shared" si="68"/>
        <v>5</v>
      </c>
      <c r="BL31" s="54">
        <f t="shared" si="69"/>
        <v>2</v>
      </c>
      <c r="BM31" s="54">
        <f t="shared" si="70"/>
        <v>5</v>
      </c>
      <c r="BN31" s="54">
        <f t="shared" si="71"/>
        <v>2</v>
      </c>
      <c r="BO31" s="54">
        <f t="shared" si="72"/>
        <v>5</v>
      </c>
      <c r="BP31" s="54">
        <f t="shared" si="73"/>
        <v>2</v>
      </c>
      <c r="BQ31" s="54">
        <f t="shared" si="74"/>
        <v>5</v>
      </c>
      <c r="BR31" s="54">
        <f t="shared" si="75"/>
        <v>2</v>
      </c>
      <c r="BS31" s="54">
        <f t="shared" si="76"/>
        <v>5</v>
      </c>
      <c r="BT31" s="54">
        <f t="shared" si="77"/>
        <v>2</v>
      </c>
      <c r="BU31" s="54">
        <f t="shared" si="78"/>
        <v>5</v>
      </c>
      <c r="BV31" s="54">
        <f t="shared" si="79"/>
        <v>2</v>
      </c>
      <c r="BW31" s="54">
        <f t="shared" si="80"/>
        <v>5</v>
      </c>
      <c r="BX31" s="54">
        <f t="shared" si="81"/>
        <v>2</v>
      </c>
      <c r="BY31" s="54">
        <f t="shared" si="82"/>
        <v>5</v>
      </c>
      <c r="BZ31" s="54">
        <f t="shared" si="83"/>
        <v>2</v>
      </c>
      <c r="CA31" s="54">
        <f t="shared" si="84"/>
        <v>5</v>
      </c>
      <c r="CB31" s="54">
        <f t="shared" si="85"/>
        <v>2</v>
      </c>
      <c r="CC31" s="54">
        <f t="shared" si="86"/>
        <v>5</v>
      </c>
      <c r="CD31" s="54">
        <f t="shared" si="87"/>
        <v>2</v>
      </c>
      <c r="CE31" s="54">
        <f t="shared" si="88"/>
        <v>5</v>
      </c>
      <c r="CF31" s="54">
        <f t="shared" si="89"/>
        <v>2</v>
      </c>
      <c r="CG31" s="54">
        <f t="shared" si="90"/>
        <v>5</v>
      </c>
      <c r="CH31" s="54">
        <f t="shared" si="91"/>
        <v>2</v>
      </c>
      <c r="CI31" s="54">
        <f t="shared" si="92"/>
        <v>5</v>
      </c>
      <c r="CJ31" s="54">
        <f t="shared" si="93"/>
        <v>2</v>
      </c>
      <c r="CK31" s="54">
        <f t="shared" si="94"/>
        <v>5</v>
      </c>
      <c r="CL31" s="54">
        <f t="shared" si="95"/>
        <v>2</v>
      </c>
      <c r="CM31" s="54">
        <f t="shared" si="96"/>
        <v>5</v>
      </c>
      <c r="CN31" s="54">
        <f t="shared" si="97"/>
        <v>2</v>
      </c>
      <c r="CO31" s="54">
        <f t="shared" si="98"/>
        <v>5</v>
      </c>
      <c r="CP31" s="54">
        <f t="shared" si="99"/>
        <v>2</v>
      </c>
      <c r="CQ31" s="54">
        <f t="shared" si="100"/>
        <v>5</v>
      </c>
      <c r="CR31" s="54">
        <f t="shared" si="101"/>
        <v>2</v>
      </c>
      <c r="CS31" s="54">
        <f t="shared" si="102"/>
        <v>5</v>
      </c>
      <c r="CT31" s="54">
        <f t="shared" si="103"/>
        <v>2</v>
      </c>
      <c r="CU31" s="54">
        <f t="shared" si="104"/>
        <v>5</v>
      </c>
      <c r="CV31" s="54">
        <f t="shared" si="105"/>
        <v>2</v>
      </c>
      <c r="CW31" s="54">
        <f t="shared" si="106"/>
        <v>5</v>
      </c>
      <c r="CX31" s="54">
        <f t="shared" si="107"/>
        <v>2</v>
      </c>
      <c r="CY31" s="54">
        <f t="shared" si="108"/>
        <v>5</v>
      </c>
      <c r="CZ31" s="54">
        <f t="shared" si="109"/>
        <v>2</v>
      </c>
      <c r="DA31" s="54">
        <f t="shared" si="110"/>
        <v>5</v>
      </c>
      <c r="DB31" s="54">
        <f t="shared" si="111"/>
        <v>2</v>
      </c>
      <c r="DC31" s="54">
        <f t="shared" si="112"/>
        <v>5</v>
      </c>
      <c r="DD31" s="54">
        <f t="shared" si="113"/>
        <v>2</v>
      </c>
      <c r="DE31" s="54">
        <f t="shared" si="114"/>
        <v>5</v>
      </c>
      <c r="DF31" s="54">
        <f t="shared" si="115"/>
        <v>2</v>
      </c>
      <c r="DG31" s="54">
        <f t="shared" si="116"/>
        <v>5</v>
      </c>
      <c r="DH31" s="54">
        <f t="shared" si="117"/>
        <v>2</v>
      </c>
      <c r="DI31" s="54">
        <f t="shared" si="118"/>
        <v>5</v>
      </c>
      <c r="DJ31" s="54">
        <f t="shared" si="119"/>
        <v>2</v>
      </c>
      <c r="DK31" s="54">
        <f t="shared" si="120"/>
        <v>5</v>
      </c>
      <c r="DL31" s="54">
        <f t="shared" si="121"/>
        <v>2</v>
      </c>
      <c r="DM31" s="54">
        <f t="shared" si="122"/>
        <v>5</v>
      </c>
      <c r="DN31" s="54">
        <f t="shared" si="123"/>
        <v>2</v>
      </c>
      <c r="DO31" s="54">
        <f t="shared" si="124"/>
        <v>5</v>
      </c>
      <c r="DP31" s="54">
        <f t="shared" si="125"/>
        <v>2</v>
      </c>
      <c r="DQ31" s="54">
        <f t="shared" si="126"/>
        <v>5</v>
      </c>
      <c r="DR31" s="54">
        <f t="shared" si="127"/>
        <v>2</v>
      </c>
      <c r="DS31" s="54">
        <f t="shared" si="128"/>
        <v>5</v>
      </c>
      <c r="DT31" s="54">
        <f t="shared" si="129"/>
        <v>2</v>
      </c>
      <c r="DU31" s="54">
        <f t="shared" si="130"/>
        <v>5</v>
      </c>
      <c r="DV31" s="54">
        <f t="shared" si="131"/>
        <v>2</v>
      </c>
      <c r="DW31" s="54">
        <f t="shared" si="132"/>
        <v>5</v>
      </c>
      <c r="DX31" s="54">
        <f t="shared" si="133"/>
        <v>2</v>
      </c>
      <c r="DY31" s="54">
        <f t="shared" si="134"/>
        <v>5</v>
      </c>
      <c r="DZ31" s="54">
        <f t="shared" si="135"/>
        <v>2</v>
      </c>
      <c r="EA31" s="54">
        <f t="shared" si="134"/>
        <v>5</v>
      </c>
      <c r="EB31" s="54">
        <f t="shared" si="135"/>
        <v>2</v>
      </c>
      <c r="EC31" s="54">
        <f t="shared" si="135"/>
        <v>5</v>
      </c>
      <c r="ED31" s="54">
        <f t="shared" si="136"/>
        <v>2</v>
      </c>
      <c r="EE31" s="54">
        <f t="shared" si="137"/>
        <v>5</v>
      </c>
      <c r="EF31" s="54">
        <f t="shared" si="138"/>
        <v>2</v>
      </c>
      <c r="EG31" s="54">
        <f t="shared" ref="EG31:EN31" si="164">EG30</f>
        <v>5</v>
      </c>
      <c r="EH31" s="54">
        <f t="shared" si="164"/>
        <v>2</v>
      </c>
      <c r="EI31" s="54">
        <f t="shared" si="164"/>
        <v>5</v>
      </c>
      <c r="EJ31" s="54">
        <f t="shared" si="164"/>
        <v>2</v>
      </c>
      <c r="EK31" s="54">
        <f t="shared" si="164"/>
        <v>5</v>
      </c>
      <c r="EL31" s="54">
        <f t="shared" si="164"/>
        <v>2</v>
      </c>
      <c r="EM31" s="54">
        <f t="shared" si="164"/>
        <v>5</v>
      </c>
      <c r="EN31" s="54">
        <f t="shared" si="164"/>
        <v>2</v>
      </c>
      <c r="EO31" s="54">
        <f t="shared" si="7"/>
        <v>2</v>
      </c>
      <c r="EP31" s="54">
        <f t="shared" si="8"/>
        <v>2</v>
      </c>
    </row>
    <row r="32" spans="1:146" x14ac:dyDescent="0.2">
      <c r="A32" s="54"/>
      <c r="B32" t="s">
        <v>230</v>
      </c>
      <c r="C32" s="54">
        <f t="shared" si="9"/>
        <v>45474</v>
      </c>
      <c r="D32" s="54">
        <f t="shared" si="1"/>
        <v>1</v>
      </c>
      <c r="E32" s="54">
        <f t="shared" si="10"/>
        <v>4</v>
      </c>
      <c r="F32" s="54">
        <f t="shared" si="11"/>
        <v>2</v>
      </c>
      <c r="G32" s="54">
        <f t="shared" si="12"/>
        <v>5</v>
      </c>
      <c r="H32" s="54">
        <f t="shared" si="13"/>
        <v>2</v>
      </c>
      <c r="I32" s="54">
        <f t="shared" si="14"/>
        <v>5</v>
      </c>
      <c r="J32" s="54">
        <f t="shared" si="15"/>
        <v>2</v>
      </c>
      <c r="K32" s="54">
        <f t="shared" si="16"/>
        <v>5</v>
      </c>
      <c r="L32" s="54">
        <f t="shared" si="17"/>
        <v>2</v>
      </c>
      <c r="M32" s="54">
        <f t="shared" si="18"/>
        <v>5</v>
      </c>
      <c r="N32" s="54">
        <f t="shared" si="19"/>
        <v>2</v>
      </c>
      <c r="O32" s="54">
        <f t="shared" si="20"/>
        <v>5</v>
      </c>
      <c r="P32" s="54">
        <f t="shared" si="21"/>
        <v>2</v>
      </c>
      <c r="Q32" s="54">
        <f t="shared" si="22"/>
        <v>5</v>
      </c>
      <c r="R32" s="54">
        <f t="shared" si="23"/>
        <v>2</v>
      </c>
      <c r="S32" s="54">
        <f t="shared" si="24"/>
        <v>5</v>
      </c>
      <c r="T32" s="54">
        <f t="shared" si="25"/>
        <v>2</v>
      </c>
      <c r="U32" s="54">
        <f t="shared" si="26"/>
        <v>5</v>
      </c>
      <c r="V32" s="54">
        <f t="shared" si="27"/>
        <v>2</v>
      </c>
      <c r="W32" s="54">
        <f t="shared" si="28"/>
        <v>5</v>
      </c>
      <c r="X32" s="54">
        <f t="shared" si="29"/>
        <v>2</v>
      </c>
      <c r="Y32" s="54">
        <f t="shared" si="30"/>
        <v>5</v>
      </c>
      <c r="Z32" s="54">
        <f t="shared" si="31"/>
        <v>2</v>
      </c>
      <c r="AA32" s="54">
        <f t="shared" si="32"/>
        <v>5</v>
      </c>
      <c r="AB32" s="54">
        <f t="shared" si="33"/>
        <v>2</v>
      </c>
      <c r="AC32" s="54">
        <f t="shared" si="34"/>
        <v>5</v>
      </c>
      <c r="AD32" s="54">
        <f t="shared" si="35"/>
        <v>2</v>
      </c>
      <c r="AE32" s="54">
        <f t="shared" si="36"/>
        <v>5</v>
      </c>
      <c r="AF32" s="54">
        <f t="shared" si="37"/>
        <v>2</v>
      </c>
      <c r="AG32" s="54">
        <f t="shared" si="38"/>
        <v>5</v>
      </c>
      <c r="AH32" s="54">
        <f t="shared" si="39"/>
        <v>2</v>
      </c>
      <c r="AI32" s="54">
        <f t="shared" si="40"/>
        <v>5</v>
      </c>
      <c r="AJ32" s="54">
        <f t="shared" si="41"/>
        <v>2</v>
      </c>
      <c r="AK32" s="54">
        <f t="shared" si="42"/>
        <v>5</v>
      </c>
      <c r="AL32" s="54">
        <f t="shared" si="43"/>
        <v>2</v>
      </c>
      <c r="AM32" s="54">
        <f t="shared" si="44"/>
        <v>5</v>
      </c>
      <c r="AN32" s="54">
        <f t="shared" si="45"/>
        <v>2</v>
      </c>
      <c r="AO32" s="54">
        <f t="shared" si="46"/>
        <v>5</v>
      </c>
      <c r="AP32" s="54">
        <f t="shared" si="47"/>
        <v>2</v>
      </c>
      <c r="AQ32" s="54">
        <f t="shared" si="48"/>
        <v>5</v>
      </c>
      <c r="AR32" s="54">
        <f t="shared" si="49"/>
        <v>2</v>
      </c>
      <c r="AS32" s="54">
        <f t="shared" si="50"/>
        <v>5</v>
      </c>
      <c r="AT32" s="54">
        <f t="shared" si="51"/>
        <v>2</v>
      </c>
      <c r="AU32" s="54">
        <f t="shared" si="52"/>
        <v>5</v>
      </c>
      <c r="AV32" s="54">
        <f t="shared" si="53"/>
        <v>2</v>
      </c>
      <c r="AW32" s="54">
        <f t="shared" si="54"/>
        <v>5</v>
      </c>
      <c r="AX32" s="54">
        <f t="shared" si="55"/>
        <v>2</v>
      </c>
      <c r="AY32" s="54">
        <f t="shared" si="56"/>
        <v>5</v>
      </c>
      <c r="AZ32" s="54">
        <f t="shared" si="57"/>
        <v>2</v>
      </c>
      <c r="BA32" s="54">
        <f t="shared" si="58"/>
        <v>5</v>
      </c>
      <c r="BB32" s="54">
        <f t="shared" si="59"/>
        <v>2</v>
      </c>
      <c r="BC32" s="54">
        <f t="shared" si="60"/>
        <v>5</v>
      </c>
      <c r="BD32" s="54">
        <f t="shared" si="61"/>
        <v>2</v>
      </c>
      <c r="BE32" s="54">
        <f t="shared" si="62"/>
        <v>5</v>
      </c>
      <c r="BF32" s="54">
        <f t="shared" si="63"/>
        <v>2</v>
      </c>
      <c r="BG32" s="54">
        <f t="shared" si="64"/>
        <v>5</v>
      </c>
      <c r="BH32" s="54">
        <f t="shared" si="65"/>
        <v>2</v>
      </c>
      <c r="BI32" s="54">
        <f t="shared" si="66"/>
        <v>5</v>
      </c>
      <c r="BJ32" s="54">
        <f t="shared" si="67"/>
        <v>2</v>
      </c>
      <c r="BK32" s="54">
        <f t="shared" si="68"/>
        <v>5</v>
      </c>
      <c r="BL32" s="54">
        <f t="shared" si="69"/>
        <v>2</v>
      </c>
      <c r="BM32" s="54">
        <f t="shared" si="70"/>
        <v>5</v>
      </c>
      <c r="BN32" s="54">
        <f t="shared" si="71"/>
        <v>2</v>
      </c>
      <c r="BO32" s="54">
        <f t="shared" si="72"/>
        <v>5</v>
      </c>
      <c r="BP32" s="54">
        <f t="shared" si="73"/>
        <v>2</v>
      </c>
      <c r="BQ32" s="54">
        <f t="shared" si="74"/>
        <v>5</v>
      </c>
      <c r="BR32" s="54">
        <f t="shared" si="75"/>
        <v>2</v>
      </c>
      <c r="BS32" s="54">
        <f t="shared" si="76"/>
        <v>5</v>
      </c>
      <c r="BT32" s="54">
        <f t="shared" si="77"/>
        <v>2</v>
      </c>
      <c r="BU32" s="54">
        <f t="shared" si="78"/>
        <v>5</v>
      </c>
      <c r="BV32" s="54">
        <f t="shared" si="79"/>
        <v>2</v>
      </c>
      <c r="BW32" s="54">
        <f t="shared" si="80"/>
        <v>5</v>
      </c>
      <c r="BX32" s="54">
        <f t="shared" si="81"/>
        <v>2</v>
      </c>
      <c r="BY32" s="54">
        <f t="shared" si="82"/>
        <v>5</v>
      </c>
      <c r="BZ32" s="54">
        <f t="shared" si="83"/>
        <v>2</v>
      </c>
      <c r="CA32" s="54">
        <f t="shared" si="84"/>
        <v>5</v>
      </c>
      <c r="CB32" s="54">
        <f t="shared" si="85"/>
        <v>2</v>
      </c>
      <c r="CC32" s="54">
        <f t="shared" si="86"/>
        <v>5</v>
      </c>
      <c r="CD32" s="54">
        <f t="shared" si="87"/>
        <v>2</v>
      </c>
      <c r="CE32" s="54">
        <f t="shared" si="88"/>
        <v>5</v>
      </c>
      <c r="CF32" s="54">
        <f t="shared" si="89"/>
        <v>2</v>
      </c>
      <c r="CG32" s="54">
        <f t="shared" si="90"/>
        <v>5</v>
      </c>
      <c r="CH32" s="54">
        <f t="shared" si="91"/>
        <v>2</v>
      </c>
      <c r="CI32" s="54">
        <f t="shared" si="92"/>
        <v>5</v>
      </c>
      <c r="CJ32" s="54">
        <f t="shared" si="93"/>
        <v>2</v>
      </c>
      <c r="CK32" s="54">
        <f t="shared" si="94"/>
        <v>5</v>
      </c>
      <c r="CL32" s="54">
        <f t="shared" si="95"/>
        <v>2</v>
      </c>
      <c r="CM32" s="54">
        <f t="shared" si="96"/>
        <v>5</v>
      </c>
      <c r="CN32" s="54">
        <f t="shared" si="97"/>
        <v>2</v>
      </c>
      <c r="CO32" s="54">
        <f t="shared" si="98"/>
        <v>5</v>
      </c>
      <c r="CP32" s="54">
        <f t="shared" si="99"/>
        <v>2</v>
      </c>
      <c r="CQ32" s="54">
        <f t="shared" si="100"/>
        <v>5</v>
      </c>
      <c r="CR32" s="54">
        <f t="shared" si="101"/>
        <v>2</v>
      </c>
      <c r="CS32" s="54">
        <f t="shared" si="102"/>
        <v>5</v>
      </c>
      <c r="CT32" s="54">
        <f t="shared" si="103"/>
        <v>2</v>
      </c>
      <c r="CU32" s="54">
        <f t="shared" si="104"/>
        <v>5</v>
      </c>
      <c r="CV32" s="54">
        <f t="shared" si="105"/>
        <v>2</v>
      </c>
      <c r="CW32" s="54">
        <f t="shared" si="106"/>
        <v>5</v>
      </c>
      <c r="CX32" s="54">
        <f t="shared" si="107"/>
        <v>2</v>
      </c>
      <c r="CY32" s="54">
        <f t="shared" si="108"/>
        <v>5</v>
      </c>
      <c r="CZ32" s="54">
        <f t="shared" si="109"/>
        <v>2</v>
      </c>
      <c r="DA32" s="54">
        <f t="shared" si="110"/>
        <v>5</v>
      </c>
      <c r="DB32" s="54">
        <f t="shared" si="111"/>
        <v>2</v>
      </c>
      <c r="DC32" s="54">
        <f t="shared" si="112"/>
        <v>5</v>
      </c>
      <c r="DD32" s="54">
        <f t="shared" si="113"/>
        <v>2</v>
      </c>
      <c r="DE32" s="54">
        <f t="shared" si="114"/>
        <v>5</v>
      </c>
      <c r="DF32" s="54">
        <f t="shared" si="115"/>
        <v>2</v>
      </c>
      <c r="DG32" s="54">
        <f t="shared" si="116"/>
        <v>5</v>
      </c>
      <c r="DH32" s="54">
        <f t="shared" si="117"/>
        <v>2</v>
      </c>
      <c r="DI32" s="54">
        <f t="shared" si="118"/>
        <v>5</v>
      </c>
      <c r="DJ32" s="54">
        <f t="shared" si="119"/>
        <v>2</v>
      </c>
      <c r="DK32" s="54">
        <f t="shared" si="120"/>
        <v>5</v>
      </c>
      <c r="DL32" s="54">
        <f t="shared" si="121"/>
        <v>2</v>
      </c>
      <c r="DM32" s="54">
        <f t="shared" si="122"/>
        <v>5</v>
      </c>
      <c r="DN32" s="54">
        <f t="shared" si="123"/>
        <v>2</v>
      </c>
      <c r="DO32" s="54">
        <f t="shared" si="124"/>
        <v>5</v>
      </c>
      <c r="DP32" s="54">
        <f t="shared" si="125"/>
        <v>2</v>
      </c>
      <c r="DQ32" s="54">
        <f t="shared" si="126"/>
        <v>5</v>
      </c>
      <c r="DR32" s="54">
        <f t="shared" si="127"/>
        <v>2</v>
      </c>
      <c r="DS32" s="54">
        <f t="shared" si="128"/>
        <v>5</v>
      </c>
      <c r="DT32" s="54">
        <f t="shared" si="129"/>
        <v>2</v>
      </c>
      <c r="DU32" s="54">
        <f t="shared" si="130"/>
        <v>5</v>
      </c>
      <c r="DV32" s="54">
        <f t="shared" si="131"/>
        <v>2</v>
      </c>
      <c r="DW32" s="54">
        <f t="shared" si="132"/>
        <v>5</v>
      </c>
      <c r="DX32" s="54">
        <f t="shared" si="133"/>
        <v>2</v>
      </c>
      <c r="DY32" s="54">
        <f t="shared" si="134"/>
        <v>5</v>
      </c>
      <c r="DZ32" s="54">
        <f t="shared" si="135"/>
        <v>2</v>
      </c>
      <c r="EA32" s="54">
        <f t="shared" si="134"/>
        <v>5</v>
      </c>
      <c r="EB32" s="54">
        <f t="shared" si="135"/>
        <v>2</v>
      </c>
      <c r="EC32" s="54">
        <f t="shared" si="135"/>
        <v>5</v>
      </c>
      <c r="ED32" s="54">
        <f t="shared" si="136"/>
        <v>2</v>
      </c>
      <c r="EE32" s="54">
        <f t="shared" si="137"/>
        <v>5</v>
      </c>
      <c r="EF32" s="54">
        <f t="shared" si="138"/>
        <v>2</v>
      </c>
      <c r="EG32" s="54">
        <f t="shared" ref="EG32:EN32" si="165">EG31</f>
        <v>5</v>
      </c>
      <c r="EH32" s="54">
        <f t="shared" si="165"/>
        <v>2</v>
      </c>
      <c r="EI32" s="54">
        <f t="shared" si="165"/>
        <v>5</v>
      </c>
      <c r="EJ32" s="54">
        <f t="shared" si="165"/>
        <v>2</v>
      </c>
      <c r="EK32" s="54">
        <f t="shared" si="165"/>
        <v>5</v>
      </c>
      <c r="EL32" s="54">
        <f t="shared" si="165"/>
        <v>2</v>
      </c>
      <c r="EM32" s="54">
        <f t="shared" si="165"/>
        <v>5</v>
      </c>
      <c r="EN32" s="54">
        <f t="shared" si="165"/>
        <v>2</v>
      </c>
      <c r="EO32" s="54">
        <f t="shared" si="7"/>
        <v>2</v>
      </c>
      <c r="EP32" s="54">
        <f t="shared" si="8"/>
        <v>2</v>
      </c>
    </row>
    <row r="33" spans="1:146" x14ac:dyDescent="0.2">
      <c r="B33" t="s">
        <v>230</v>
      </c>
      <c r="C33" s="54">
        <f t="shared" si="9"/>
        <v>45474</v>
      </c>
      <c r="D33" s="54">
        <f t="shared" si="1"/>
        <v>1</v>
      </c>
      <c r="E33" s="54">
        <f t="shared" si="10"/>
        <v>4</v>
      </c>
      <c r="F33" s="54">
        <f t="shared" si="11"/>
        <v>2</v>
      </c>
      <c r="G33" s="54">
        <f t="shared" si="12"/>
        <v>5</v>
      </c>
      <c r="H33" s="54">
        <f t="shared" si="13"/>
        <v>2</v>
      </c>
      <c r="I33" s="54">
        <f t="shared" si="14"/>
        <v>5</v>
      </c>
      <c r="J33" s="54">
        <f t="shared" si="15"/>
        <v>2</v>
      </c>
      <c r="K33" s="54">
        <f t="shared" si="16"/>
        <v>5</v>
      </c>
      <c r="L33" s="54">
        <f t="shared" si="17"/>
        <v>2</v>
      </c>
      <c r="M33" s="54">
        <f t="shared" si="18"/>
        <v>5</v>
      </c>
      <c r="N33" s="54">
        <f t="shared" si="19"/>
        <v>2</v>
      </c>
      <c r="O33" s="54">
        <f t="shared" si="20"/>
        <v>5</v>
      </c>
      <c r="P33" s="54">
        <f t="shared" si="21"/>
        <v>2</v>
      </c>
      <c r="Q33" s="54">
        <f t="shared" si="22"/>
        <v>5</v>
      </c>
      <c r="R33" s="54">
        <f t="shared" si="23"/>
        <v>2</v>
      </c>
      <c r="S33" s="54">
        <f t="shared" si="24"/>
        <v>5</v>
      </c>
      <c r="T33" s="54">
        <f t="shared" si="25"/>
        <v>2</v>
      </c>
      <c r="U33" s="54">
        <f t="shared" si="26"/>
        <v>5</v>
      </c>
      <c r="V33" s="54">
        <f t="shared" si="27"/>
        <v>2</v>
      </c>
      <c r="W33" s="54">
        <f t="shared" si="28"/>
        <v>5</v>
      </c>
      <c r="X33" s="54">
        <f t="shared" si="29"/>
        <v>2</v>
      </c>
      <c r="Y33" s="54">
        <f t="shared" si="30"/>
        <v>5</v>
      </c>
      <c r="Z33" s="54">
        <f t="shared" si="31"/>
        <v>2</v>
      </c>
      <c r="AA33" s="54">
        <f t="shared" si="32"/>
        <v>5</v>
      </c>
      <c r="AB33" s="54">
        <f t="shared" si="33"/>
        <v>2</v>
      </c>
      <c r="AC33" s="54">
        <f t="shared" si="34"/>
        <v>5</v>
      </c>
      <c r="AD33" s="54">
        <f t="shared" si="35"/>
        <v>2</v>
      </c>
      <c r="AE33" s="54">
        <f t="shared" si="36"/>
        <v>5</v>
      </c>
      <c r="AF33" s="54">
        <f t="shared" si="37"/>
        <v>2</v>
      </c>
      <c r="AG33" s="54">
        <f t="shared" si="38"/>
        <v>5</v>
      </c>
      <c r="AH33" s="54">
        <f t="shared" si="39"/>
        <v>2</v>
      </c>
      <c r="AI33" s="54">
        <f t="shared" si="40"/>
        <v>5</v>
      </c>
      <c r="AJ33" s="54">
        <f t="shared" si="41"/>
        <v>2</v>
      </c>
      <c r="AK33" s="54">
        <f t="shared" si="42"/>
        <v>5</v>
      </c>
      <c r="AL33" s="54">
        <f t="shared" si="43"/>
        <v>2</v>
      </c>
      <c r="AM33" s="54">
        <f t="shared" si="44"/>
        <v>5</v>
      </c>
      <c r="AN33" s="54">
        <f t="shared" si="45"/>
        <v>2</v>
      </c>
      <c r="AO33" s="54">
        <f t="shared" si="46"/>
        <v>5</v>
      </c>
      <c r="AP33" s="54">
        <f t="shared" si="47"/>
        <v>2</v>
      </c>
      <c r="AQ33" s="54">
        <f t="shared" si="48"/>
        <v>5</v>
      </c>
      <c r="AR33" s="54">
        <f t="shared" si="49"/>
        <v>2</v>
      </c>
      <c r="AS33" s="54">
        <f t="shared" si="50"/>
        <v>5</v>
      </c>
      <c r="AT33" s="54">
        <f t="shared" si="51"/>
        <v>2</v>
      </c>
      <c r="AU33" s="54">
        <f t="shared" si="52"/>
        <v>5</v>
      </c>
      <c r="AV33" s="54">
        <f t="shared" si="53"/>
        <v>2</v>
      </c>
      <c r="AW33" s="54">
        <f t="shared" si="54"/>
        <v>5</v>
      </c>
      <c r="AX33" s="54">
        <f t="shared" si="55"/>
        <v>2</v>
      </c>
      <c r="AY33" s="54">
        <f t="shared" si="56"/>
        <v>5</v>
      </c>
      <c r="AZ33" s="54">
        <f t="shared" si="57"/>
        <v>2</v>
      </c>
      <c r="BA33" s="54">
        <f t="shared" si="58"/>
        <v>5</v>
      </c>
      <c r="BB33" s="54">
        <f t="shared" si="59"/>
        <v>2</v>
      </c>
      <c r="BC33" s="54">
        <f t="shared" si="60"/>
        <v>5</v>
      </c>
      <c r="BD33" s="54">
        <f t="shared" si="61"/>
        <v>2</v>
      </c>
      <c r="BE33" s="54">
        <f t="shared" si="62"/>
        <v>5</v>
      </c>
      <c r="BF33" s="54">
        <f t="shared" si="63"/>
        <v>2</v>
      </c>
      <c r="BG33" s="54">
        <f t="shared" si="64"/>
        <v>5</v>
      </c>
      <c r="BH33" s="54">
        <f t="shared" si="65"/>
        <v>2</v>
      </c>
      <c r="BI33" s="54">
        <f t="shared" si="66"/>
        <v>5</v>
      </c>
      <c r="BJ33" s="54">
        <f t="shared" si="67"/>
        <v>2</v>
      </c>
      <c r="BK33" s="54">
        <f t="shared" si="68"/>
        <v>5</v>
      </c>
      <c r="BL33" s="54">
        <f t="shared" si="69"/>
        <v>2</v>
      </c>
      <c r="BM33" s="54">
        <f t="shared" si="70"/>
        <v>5</v>
      </c>
      <c r="BN33" s="54">
        <f t="shared" si="71"/>
        <v>2</v>
      </c>
      <c r="BO33" s="54">
        <f t="shared" si="72"/>
        <v>5</v>
      </c>
      <c r="BP33" s="54">
        <f t="shared" si="73"/>
        <v>2</v>
      </c>
      <c r="BQ33" s="54">
        <f t="shared" si="74"/>
        <v>5</v>
      </c>
      <c r="BR33" s="54">
        <f t="shared" si="75"/>
        <v>2</v>
      </c>
      <c r="BS33" s="54">
        <f t="shared" si="76"/>
        <v>5</v>
      </c>
      <c r="BT33" s="54">
        <f t="shared" si="77"/>
        <v>2</v>
      </c>
      <c r="BU33" s="54">
        <f t="shared" si="78"/>
        <v>5</v>
      </c>
      <c r="BV33" s="54">
        <f t="shared" si="79"/>
        <v>2</v>
      </c>
      <c r="BW33" s="54">
        <f t="shared" si="80"/>
        <v>5</v>
      </c>
      <c r="BX33" s="54">
        <f t="shared" si="81"/>
        <v>2</v>
      </c>
      <c r="BY33" s="54">
        <f t="shared" si="82"/>
        <v>5</v>
      </c>
      <c r="BZ33" s="54">
        <f t="shared" si="83"/>
        <v>2</v>
      </c>
      <c r="CA33" s="54">
        <f t="shared" si="84"/>
        <v>5</v>
      </c>
      <c r="CB33" s="54">
        <f t="shared" si="85"/>
        <v>2</v>
      </c>
      <c r="CC33" s="54">
        <f t="shared" si="86"/>
        <v>5</v>
      </c>
      <c r="CD33" s="54">
        <f t="shared" si="87"/>
        <v>2</v>
      </c>
      <c r="CE33" s="54">
        <f t="shared" si="88"/>
        <v>5</v>
      </c>
      <c r="CF33" s="54">
        <f t="shared" si="89"/>
        <v>2</v>
      </c>
      <c r="CG33" s="54">
        <f t="shared" si="90"/>
        <v>5</v>
      </c>
      <c r="CH33" s="54">
        <f t="shared" si="91"/>
        <v>2</v>
      </c>
      <c r="CI33" s="54">
        <f t="shared" si="92"/>
        <v>5</v>
      </c>
      <c r="CJ33" s="54">
        <f t="shared" si="93"/>
        <v>2</v>
      </c>
      <c r="CK33" s="54">
        <f t="shared" si="94"/>
        <v>5</v>
      </c>
      <c r="CL33" s="54">
        <f t="shared" si="95"/>
        <v>2</v>
      </c>
      <c r="CM33" s="54">
        <f t="shared" si="96"/>
        <v>5</v>
      </c>
      <c r="CN33" s="54">
        <f t="shared" si="97"/>
        <v>2</v>
      </c>
      <c r="CO33" s="54">
        <f t="shared" si="98"/>
        <v>5</v>
      </c>
      <c r="CP33" s="54">
        <f t="shared" si="99"/>
        <v>2</v>
      </c>
      <c r="CQ33" s="54">
        <f t="shared" si="100"/>
        <v>5</v>
      </c>
      <c r="CR33" s="54">
        <f t="shared" si="101"/>
        <v>2</v>
      </c>
      <c r="CS33" s="54">
        <f t="shared" si="102"/>
        <v>5</v>
      </c>
      <c r="CT33" s="54">
        <f t="shared" si="103"/>
        <v>2</v>
      </c>
      <c r="CU33" s="54">
        <f t="shared" si="104"/>
        <v>5</v>
      </c>
      <c r="CV33" s="54">
        <f t="shared" si="105"/>
        <v>2</v>
      </c>
      <c r="CW33" s="54">
        <f t="shared" si="106"/>
        <v>5</v>
      </c>
      <c r="CX33" s="54">
        <f t="shared" si="107"/>
        <v>2</v>
      </c>
      <c r="CY33" s="54">
        <f t="shared" si="108"/>
        <v>5</v>
      </c>
      <c r="CZ33" s="54">
        <f t="shared" si="109"/>
        <v>2</v>
      </c>
      <c r="DA33" s="54">
        <f t="shared" si="110"/>
        <v>5</v>
      </c>
      <c r="DB33" s="54">
        <f t="shared" si="111"/>
        <v>2</v>
      </c>
      <c r="DC33" s="54">
        <f t="shared" si="112"/>
        <v>5</v>
      </c>
      <c r="DD33" s="54">
        <f t="shared" si="113"/>
        <v>2</v>
      </c>
      <c r="DE33" s="54">
        <f t="shared" si="114"/>
        <v>5</v>
      </c>
      <c r="DF33" s="54">
        <f t="shared" si="115"/>
        <v>2</v>
      </c>
      <c r="DG33" s="54">
        <f t="shared" si="116"/>
        <v>5</v>
      </c>
      <c r="DH33" s="54">
        <f t="shared" si="117"/>
        <v>2</v>
      </c>
      <c r="DI33" s="54">
        <f t="shared" si="118"/>
        <v>5</v>
      </c>
      <c r="DJ33" s="54">
        <f t="shared" si="119"/>
        <v>2</v>
      </c>
      <c r="DK33" s="54">
        <f t="shared" si="120"/>
        <v>5</v>
      </c>
      <c r="DL33" s="54">
        <f t="shared" si="121"/>
        <v>2</v>
      </c>
      <c r="DM33" s="54">
        <f t="shared" si="122"/>
        <v>5</v>
      </c>
      <c r="DN33" s="54">
        <f t="shared" si="123"/>
        <v>2</v>
      </c>
      <c r="DO33" s="54">
        <f t="shared" si="124"/>
        <v>5</v>
      </c>
      <c r="DP33" s="54">
        <f t="shared" si="125"/>
        <v>2</v>
      </c>
      <c r="DQ33" s="54">
        <f t="shared" si="126"/>
        <v>5</v>
      </c>
      <c r="DR33" s="54">
        <f t="shared" si="127"/>
        <v>2</v>
      </c>
      <c r="DS33" s="54">
        <f t="shared" si="128"/>
        <v>5</v>
      </c>
      <c r="DT33" s="54">
        <f t="shared" si="129"/>
        <v>2</v>
      </c>
      <c r="DU33" s="54">
        <f t="shared" si="130"/>
        <v>5</v>
      </c>
      <c r="DV33" s="54">
        <f t="shared" si="131"/>
        <v>2</v>
      </c>
      <c r="DW33" s="54">
        <f t="shared" si="132"/>
        <v>5</v>
      </c>
      <c r="DX33" s="54">
        <f t="shared" si="133"/>
        <v>2</v>
      </c>
      <c r="DY33" s="54">
        <f t="shared" si="134"/>
        <v>5</v>
      </c>
      <c r="DZ33" s="54">
        <f t="shared" si="135"/>
        <v>2</v>
      </c>
      <c r="EA33" s="54">
        <f t="shared" si="134"/>
        <v>5</v>
      </c>
      <c r="EB33" s="54">
        <f t="shared" si="135"/>
        <v>2</v>
      </c>
      <c r="EC33" s="54">
        <f t="shared" si="135"/>
        <v>5</v>
      </c>
      <c r="ED33" s="54">
        <f t="shared" si="136"/>
        <v>2</v>
      </c>
      <c r="EE33" s="54">
        <f t="shared" si="137"/>
        <v>5</v>
      </c>
      <c r="EF33" s="54">
        <f t="shared" si="138"/>
        <v>2</v>
      </c>
      <c r="EG33" s="54">
        <f t="shared" ref="EG33:EN33" si="166">EG32</f>
        <v>5</v>
      </c>
      <c r="EH33" s="54">
        <f t="shared" si="166"/>
        <v>2</v>
      </c>
      <c r="EI33" s="54">
        <f t="shared" si="166"/>
        <v>5</v>
      </c>
      <c r="EJ33" s="54">
        <f t="shared" si="166"/>
        <v>2</v>
      </c>
      <c r="EK33" s="54">
        <f t="shared" si="166"/>
        <v>5</v>
      </c>
      <c r="EL33" s="54">
        <f t="shared" si="166"/>
        <v>2</v>
      </c>
      <c r="EM33" s="54">
        <f t="shared" si="166"/>
        <v>5</v>
      </c>
      <c r="EN33" s="54">
        <f t="shared" si="166"/>
        <v>2</v>
      </c>
      <c r="EO33" s="54">
        <f t="shared" si="7"/>
        <v>2</v>
      </c>
      <c r="EP33" s="54">
        <f t="shared" si="8"/>
        <v>2</v>
      </c>
    </row>
    <row r="34" spans="1:146" x14ac:dyDescent="0.2">
      <c r="B34" t="s">
        <v>230</v>
      </c>
      <c r="C34" s="54">
        <f t="shared" si="9"/>
        <v>45474</v>
      </c>
      <c r="D34" s="54">
        <f t="shared" si="1"/>
        <v>1</v>
      </c>
      <c r="E34" s="54">
        <f t="shared" si="10"/>
        <v>4</v>
      </c>
      <c r="F34" s="54">
        <f t="shared" si="11"/>
        <v>2</v>
      </c>
      <c r="G34" s="54">
        <f t="shared" si="12"/>
        <v>5</v>
      </c>
      <c r="H34" s="54">
        <f t="shared" si="13"/>
        <v>2</v>
      </c>
      <c r="I34" s="54">
        <f t="shared" si="14"/>
        <v>5</v>
      </c>
      <c r="J34" s="54">
        <f t="shared" si="15"/>
        <v>2</v>
      </c>
      <c r="K34" s="54">
        <f t="shared" si="16"/>
        <v>5</v>
      </c>
      <c r="L34" s="54">
        <f t="shared" si="17"/>
        <v>2</v>
      </c>
      <c r="M34" s="54">
        <f t="shared" si="18"/>
        <v>5</v>
      </c>
      <c r="N34" s="54">
        <f t="shared" si="19"/>
        <v>2</v>
      </c>
      <c r="O34" s="54">
        <f t="shared" si="20"/>
        <v>5</v>
      </c>
      <c r="P34" s="54">
        <f t="shared" si="21"/>
        <v>2</v>
      </c>
      <c r="Q34" s="54">
        <f t="shared" si="22"/>
        <v>5</v>
      </c>
      <c r="R34" s="54">
        <f t="shared" si="23"/>
        <v>2</v>
      </c>
      <c r="S34" s="54">
        <f t="shared" si="24"/>
        <v>5</v>
      </c>
      <c r="T34" s="54">
        <f t="shared" si="25"/>
        <v>2</v>
      </c>
      <c r="U34" s="54">
        <f t="shared" si="26"/>
        <v>5</v>
      </c>
      <c r="V34" s="54">
        <f t="shared" si="27"/>
        <v>2</v>
      </c>
      <c r="W34" s="54">
        <f t="shared" si="28"/>
        <v>5</v>
      </c>
      <c r="X34" s="54">
        <f t="shared" si="29"/>
        <v>2</v>
      </c>
      <c r="Y34" s="54">
        <f t="shared" si="30"/>
        <v>5</v>
      </c>
      <c r="Z34" s="54">
        <f t="shared" si="31"/>
        <v>2</v>
      </c>
      <c r="AA34" s="54">
        <f t="shared" si="32"/>
        <v>5</v>
      </c>
      <c r="AB34" s="54">
        <f t="shared" si="33"/>
        <v>2</v>
      </c>
      <c r="AC34" s="54">
        <f t="shared" si="34"/>
        <v>5</v>
      </c>
      <c r="AD34" s="54">
        <f t="shared" si="35"/>
        <v>2</v>
      </c>
      <c r="AE34" s="54">
        <f t="shared" si="36"/>
        <v>5</v>
      </c>
      <c r="AF34" s="54">
        <f t="shared" si="37"/>
        <v>2</v>
      </c>
      <c r="AG34" s="54">
        <f t="shared" si="38"/>
        <v>5</v>
      </c>
      <c r="AH34" s="54">
        <f t="shared" si="39"/>
        <v>2</v>
      </c>
      <c r="AI34" s="54">
        <f t="shared" si="40"/>
        <v>5</v>
      </c>
      <c r="AJ34" s="54">
        <f t="shared" si="41"/>
        <v>2</v>
      </c>
      <c r="AK34" s="54">
        <f t="shared" si="42"/>
        <v>5</v>
      </c>
      <c r="AL34" s="54">
        <f t="shared" si="43"/>
        <v>2</v>
      </c>
      <c r="AM34" s="54">
        <f t="shared" si="44"/>
        <v>5</v>
      </c>
      <c r="AN34" s="54">
        <f t="shared" si="45"/>
        <v>2</v>
      </c>
      <c r="AO34" s="54">
        <f t="shared" si="46"/>
        <v>5</v>
      </c>
      <c r="AP34" s="54">
        <f t="shared" si="47"/>
        <v>2</v>
      </c>
      <c r="AQ34" s="54">
        <f t="shared" si="48"/>
        <v>5</v>
      </c>
      <c r="AR34" s="54">
        <f t="shared" si="49"/>
        <v>2</v>
      </c>
      <c r="AS34" s="54">
        <f t="shared" si="50"/>
        <v>5</v>
      </c>
      <c r="AT34" s="54">
        <f t="shared" si="51"/>
        <v>2</v>
      </c>
      <c r="AU34" s="54">
        <f t="shared" si="52"/>
        <v>5</v>
      </c>
      <c r="AV34" s="54">
        <f t="shared" si="53"/>
        <v>2</v>
      </c>
      <c r="AW34" s="54">
        <f t="shared" si="54"/>
        <v>5</v>
      </c>
      <c r="AX34" s="54">
        <f t="shared" si="55"/>
        <v>2</v>
      </c>
      <c r="AY34" s="54">
        <f t="shared" si="56"/>
        <v>5</v>
      </c>
      <c r="AZ34" s="54">
        <f t="shared" si="57"/>
        <v>2</v>
      </c>
      <c r="BA34" s="54">
        <f t="shared" si="58"/>
        <v>5</v>
      </c>
      <c r="BB34" s="54">
        <f t="shared" si="59"/>
        <v>2</v>
      </c>
      <c r="BC34" s="54">
        <f t="shared" si="60"/>
        <v>5</v>
      </c>
      <c r="BD34" s="54">
        <f t="shared" si="61"/>
        <v>2</v>
      </c>
      <c r="BE34" s="54">
        <f t="shared" si="62"/>
        <v>5</v>
      </c>
      <c r="BF34" s="54">
        <f t="shared" si="63"/>
        <v>2</v>
      </c>
      <c r="BG34" s="54">
        <f t="shared" si="64"/>
        <v>5</v>
      </c>
      <c r="BH34" s="54">
        <f t="shared" si="65"/>
        <v>2</v>
      </c>
      <c r="BI34" s="54">
        <f t="shared" si="66"/>
        <v>5</v>
      </c>
      <c r="BJ34" s="54">
        <f t="shared" si="67"/>
        <v>2</v>
      </c>
      <c r="BK34" s="54">
        <f t="shared" si="68"/>
        <v>5</v>
      </c>
      <c r="BL34" s="54">
        <f t="shared" si="69"/>
        <v>2</v>
      </c>
      <c r="BM34" s="54">
        <f t="shared" si="70"/>
        <v>5</v>
      </c>
      <c r="BN34" s="54">
        <f t="shared" si="71"/>
        <v>2</v>
      </c>
      <c r="BO34" s="54">
        <f t="shared" si="72"/>
        <v>5</v>
      </c>
      <c r="BP34" s="54">
        <f t="shared" si="73"/>
        <v>2</v>
      </c>
      <c r="BQ34" s="54">
        <f t="shared" si="74"/>
        <v>5</v>
      </c>
      <c r="BR34" s="54">
        <f t="shared" si="75"/>
        <v>2</v>
      </c>
      <c r="BS34" s="54">
        <f t="shared" si="76"/>
        <v>5</v>
      </c>
      <c r="BT34" s="54">
        <f t="shared" si="77"/>
        <v>2</v>
      </c>
      <c r="BU34" s="54">
        <f t="shared" si="78"/>
        <v>5</v>
      </c>
      <c r="BV34" s="54">
        <f t="shared" si="79"/>
        <v>2</v>
      </c>
      <c r="BW34" s="54">
        <f t="shared" si="80"/>
        <v>5</v>
      </c>
      <c r="BX34" s="54">
        <f t="shared" si="81"/>
        <v>2</v>
      </c>
      <c r="BY34" s="54">
        <f t="shared" si="82"/>
        <v>5</v>
      </c>
      <c r="BZ34" s="54">
        <f t="shared" si="83"/>
        <v>2</v>
      </c>
      <c r="CA34" s="54">
        <f t="shared" si="84"/>
        <v>5</v>
      </c>
      <c r="CB34" s="54">
        <f t="shared" si="85"/>
        <v>2</v>
      </c>
      <c r="CC34" s="54">
        <f t="shared" si="86"/>
        <v>5</v>
      </c>
      <c r="CD34" s="54">
        <f t="shared" si="87"/>
        <v>2</v>
      </c>
      <c r="CE34" s="54">
        <f t="shared" si="88"/>
        <v>5</v>
      </c>
      <c r="CF34" s="54">
        <f t="shared" si="89"/>
        <v>2</v>
      </c>
      <c r="CG34" s="54">
        <f t="shared" si="90"/>
        <v>5</v>
      </c>
      <c r="CH34" s="54">
        <f t="shared" si="91"/>
        <v>2</v>
      </c>
      <c r="CI34" s="54">
        <f t="shared" si="92"/>
        <v>5</v>
      </c>
      <c r="CJ34" s="54">
        <f t="shared" si="93"/>
        <v>2</v>
      </c>
      <c r="CK34" s="54">
        <f t="shared" si="94"/>
        <v>5</v>
      </c>
      <c r="CL34" s="54">
        <f t="shared" si="95"/>
        <v>2</v>
      </c>
      <c r="CM34" s="54">
        <f t="shared" si="96"/>
        <v>5</v>
      </c>
      <c r="CN34" s="54">
        <f t="shared" si="97"/>
        <v>2</v>
      </c>
      <c r="CO34" s="54">
        <f t="shared" si="98"/>
        <v>5</v>
      </c>
      <c r="CP34" s="54">
        <f t="shared" si="99"/>
        <v>2</v>
      </c>
      <c r="CQ34" s="54">
        <f t="shared" si="100"/>
        <v>5</v>
      </c>
      <c r="CR34" s="54">
        <f t="shared" si="101"/>
        <v>2</v>
      </c>
      <c r="CS34" s="54">
        <f t="shared" si="102"/>
        <v>5</v>
      </c>
      <c r="CT34" s="54">
        <f t="shared" si="103"/>
        <v>2</v>
      </c>
      <c r="CU34" s="54">
        <f t="shared" si="104"/>
        <v>5</v>
      </c>
      <c r="CV34" s="54">
        <f t="shared" si="105"/>
        <v>2</v>
      </c>
      <c r="CW34" s="54">
        <f t="shared" si="106"/>
        <v>5</v>
      </c>
      <c r="CX34" s="54">
        <f t="shared" si="107"/>
        <v>2</v>
      </c>
      <c r="CY34" s="54">
        <f t="shared" si="108"/>
        <v>5</v>
      </c>
      <c r="CZ34" s="54">
        <f t="shared" si="109"/>
        <v>2</v>
      </c>
      <c r="DA34" s="54">
        <f t="shared" si="110"/>
        <v>5</v>
      </c>
      <c r="DB34" s="54">
        <f t="shared" si="111"/>
        <v>2</v>
      </c>
      <c r="DC34" s="54">
        <f t="shared" si="112"/>
        <v>5</v>
      </c>
      <c r="DD34" s="54">
        <f t="shared" si="113"/>
        <v>2</v>
      </c>
      <c r="DE34" s="54">
        <f t="shared" si="114"/>
        <v>5</v>
      </c>
      <c r="DF34" s="54">
        <f t="shared" si="115"/>
        <v>2</v>
      </c>
      <c r="DG34" s="54">
        <f t="shared" si="116"/>
        <v>5</v>
      </c>
      <c r="DH34" s="54">
        <f t="shared" si="117"/>
        <v>2</v>
      </c>
      <c r="DI34" s="54">
        <f t="shared" si="118"/>
        <v>5</v>
      </c>
      <c r="DJ34" s="54">
        <f t="shared" si="119"/>
        <v>2</v>
      </c>
      <c r="DK34" s="54">
        <f t="shared" si="120"/>
        <v>5</v>
      </c>
      <c r="DL34" s="54">
        <f t="shared" si="121"/>
        <v>2</v>
      </c>
      <c r="DM34" s="54">
        <f t="shared" si="122"/>
        <v>5</v>
      </c>
      <c r="DN34" s="54">
        <f t="shared" si="123"/>
        <v>2</v>
      </c>
      <c r="DO34" s="54">
        <f t="shared" si="124"/>
        <v>5</v>
      </c>
      <c r="DP34" s="54">
        <f t="shared" si="125"/>
        <v>2</v>
      </c>
      <c r="DQ34" s="54">
        <f t="shared" si="126"/>
        <v>5</v>
      </c>
      <c r="DR34" s="54">
        <f t="shared" si="127"/>
        <v>2</v>
      </c>
      <c r="DS34" s="54">
        <f t="shared" si="128"/>
        <v>5</v>
      </c>
      <c r="DT34" s="54">
        <f t="shared" si="129"/>
        <v>2</v>
      </c>
      <c r="DU34" s="54">
        <f t="shared" si="130"/>
        <v>5</v>
      </c>
      <c r="DV34" s="54">
        <f t="shared" si="131"/>
        <v>2</v>
      </c>
      <c r="DW34" s="54">
        <f t="shared" si="132"/>
        <v>5</v>
      </c>
      <c r="DX34" s="54">
        <f t="shared" si="133"/>
        <v>2</v>
      </c>
      <c r="DY34" s="54">
        <f t="shared" si="134"/>
        <v>5</v>
      </c>
      <c r="DZ34" s="54">
        <f t="shared" si="135"/>
        <v>2</v>
      </c>
      <c r="EA34" s="54">
        <f t="shared" si="134"/>
        <v>5</v>
      </c>
      <c r="EB34" s="54">
        <f t="shared" si="135"/>
        <v>2</v>
      </c>
      <c r="EC34" s="54">
        <f t="shared" si="135"/>
        <v>5</v>
      </c>
      <c r="ED34" s="54">
        <f t="shared" si="136"/>
        <v>2</v>
      </c>
      <c r="EE34" s="54">
        <f t="shared" si="137"/>
        <v>5</v>
      </c>
      <c r="EF34" s="54">
        <f t="shared" si="138"/>
        <v>2</v>
      </c>
      <c r="EG34" s="54">
        <f t="shared" ref="EG34:EN34" si="167">EG33</f>
        <v>5</v>
      </c>
      <c r="EH34" s="54">
        <f t="shared" si="167"/>
        <v>2</v>
      </c>
      <c r="EI34" s="54">
        <f t="shared" si="167"/>
        <v>5</v>
      </c>
      <c r="EJ34" s="54">
        <f t="shared" si="167"/>
        <v>2</v>
      </c>
      <c r="EK34" s="54">
        <f t="shared" si="167"/>
        <v>5</v>
      </c>
      <c r="EL34" s="54">
        <f t="shared" si="167"/>
        <v>2</v>
      </c>
      <c r="EM34" s="54">
        <f t="shared" si="167"/>
        <v>5</v>
      </c>
      <c r="EN34" s="54">
        <f t="shared" si="167"/>
        <v>2</v>
      </c>
      <c r="EO34" s="54">
        <f t="shared" si="7"/>
        <v>2</v>
      </c>
      <c r="EP34" s="54">
        <f t="shared" si="8"/>
        <v>2</v>
      </c>
    </row>
    <row r="35" spans="1:146" x14ac:dyDescent="0.2">
      <c r="A35" s="54"/>
      <c r="B35" t="s">
        <v>230</v>
      </c>
      <c r="C35" s="54">
        <f t="shared" si="9"/>
        <v>45474</v>
      </c>
      <c r="D35" s="54">
        <f t="shared" si="1"/>
        <v>1</v>
      </c>
      <c r="E35" s="54">
        <f t="shared" si="10"/>
        <v>4</v>
      </c>
      <c r="F35" s="54">
        <f t="shared" si="11"/>
        <v>2</v>
      </c>
      <c r="G35" s="54">
        <f t="shared" si="12"/>
        <v>5</v>
      </c>
      <c r="H35" s="54">
        <f t="shared" si="13"/>
        <v>2</v>
      </c>
      <c r="I35" s="54">
        <f t="shared" si="14"/>
        <v>5</v>
      </c>
      <c r="J35" s="54">
        <f t="shared" si="15"/>
        <v>2</v>
      </c>
      <c r="K35" s="54">
        <f t="shared" si="16"/>
        <v>5</v>
      </c>
      <c r="L35" s="54">
        <f t="shared" si="17"/>
        <v>2</v>
      </c>
      <c r="M35" s="54">
        <f t="shared" si="18"/>
        <v>5</v>
      </c>
      <c r="N35" s="54">
        <f t="shared" si="19"/>
        <v>2</v>
      </c>
      <c r="O35" s="54">
        <f t="shared" si="20"/>
        <v>5</v>
      </c>
      <c r="P35" s="54">
        <f t="shared" si="21"/>
        <v>2</v>
      </c>
      <c r="Q35" s="54">
        <f t="shared" si="22"/>
        <v>5</v>
      </c>
      <c r="R35" s="54">
        <f t="shared" si="23"/>
        <v>2</v>
      </c>
      <c r="S35" s="54">
        <f t="shared" si="24"/>
        <v>5</v>
      </c>
      <c r="T35" s="54">
        <f t="shared" si="25"/>
        <v>2</v>
      </c>
      <c r="U35" s="54">
        <f t="shared" si="26"/>
        <v>5</v>
      </c>
      <c r="V35" s="54">
        <f t="shared" si="27"/>
        <v>2</v>
      </c>
      <c r="W35" s="54">
        <f t="shared" si="28"/>
        <v>5</v>
      </c>
      <c r="X35" s="54">
        <f t="shared" si="29"/>
        <v>2</v>
      </c>
      <c r="Y35" s="54">
        <f t="shared" si="30"/>
        <v>5</v>
      </c>
      <c r="Z35" s="54">
        <f t="shared" si="31"/>
        <v>2</v>
      </c>
      <c r="AA35" s="54">
        <f t="shared" si="32"/>
        <v>5</v>
      </c>
      <c r="AB35" s="54">
        <f t="shared" si="33"/>
        <v>2</v>
      </c>
      <c r="AC35" s="54">
        <f t="shared" si="34"/>
        <v>5</v>
      </c>
      <c r="AD35" s="54">
        <f t="shared" si="35"/>
        <v>2</v>
      </c>
      <c r="AE35" s="54">
        <f t="shared" si="36"/>
        <v>5</v>
      </c>
      <c r="AF35" s="54">
        <f t="shared" si="37"/>
        <v>2</v>
      </c>
      <c r="AG35" s="54">
        <f t="shared" si="38"/>
        <v>5</v>
      </c>
      <c r="AH35" s="54">
        <f t="shared" si="39"/>
        <v>2</v>
      </c>
      <c r="AI35" s="54">
        <f t="shared" si="40"/>
        <v>5</v>
      </c>
      <c r="AJ35" s="54">
        <f t="shared" si="41"/>
        <v>2</v>
      </c>
      <c r="AK35" s="54">
        <f t="shared" si="42"/>
        <v>5</v>
      </c>
      <c r="AL35" s="54">
        <f t="shared" si="43"/>
        <v>2</v>
      </c>
      <c r="AM35" s="54">
        <f t="shared" si="44"/>
        <v>5</v>
      </c>
      <c r="AN35" s="54">
        <f t="shared" si="45"/>
        <v>2</v>
      </c>
      <c r="AO35" s="54">
        <f t="shared" si="46"/>
        <v>5</v>
      </c>
      <c r="AP35" s="54">
        <f t="shared" si="47"/>
        <v>2</v>
      </c>
      <c r="AQ35" s="54">
        <f t="shared" si="48"/>
        <v>5</v>
      </c>
      <c r="AR35" s="54">
        <f t="shared" si="49"/>
        <v>2</v>
      </c>
      <c r="AS35" s="54">
        <f t="shared" si="50"/>
        <v>5</v>
      </c>
      <c r="AT35" s="54">
        <f t="shared" si="51"/>
        <v>2</v>
      </c>
      <c r="AU35" s="54">
        <f t="shared" si="52"/>
        <v>5</v>
      </c>
      <c r="AV35" s="54">
        <f t="shared" si="53"/>
        <v>2</v>
      </c>
      <c r="AW35" s="54">
        <f t="shared" si="54"/>
        <v>5</v>
      </c>
      <c r="AX35" s="54">
        <f t="shared" si="55"/>
        <v>2</v>
      </c>
      <c r="AY35" s="54">
        <f t="shared" si="56"/>
        <v>5</v>
      </c>
      <c r="AZ35" s="54">
        <f t="shared" si="57"/>
        <v>2</v>
      </c>
      <c r="BA35" s="54">
        <f t="shared" si="58"/>
        <v>5</v>
      </c>
      <c r="BB35" s="54">
        <f t="shared" si="59"/>
        <v>2</v>
      </c>
      <c r="BC35" s="54">
        <f t="shared" si="60"/>
        <v>5</v>
      </c>
      <c r="BD35" s="54">
        <f t="shared" si="61"/>
        <v>2</v>
      </c>
      <c r="BE35" s="54">
        <f t="shared" si="62"/>
        <v>5</v>
      </c>
      <c r="BF35" s="54">
        <f t="shared" si="63"/>
        <v>2</v>
      </c>
      <c r="BG35" s="54">
        <f t="shared" si="64"/>
        <v>5</v>
      </c>
      <c r="BH35" s="54">
        <f t="shared" si="65"/>
        <v>2</v>
      </c>
      <c r="BI35" s="54">
        <f t="shared" si="66"/>
        <v>5</v>
      </c>
      <c r="BJ35" s="54">
        <f t="shared" si="67"/>
        <v>2</v>
      </c>
      <c r="BK35" s="54">
        <f t="shared" si="68"/>
        <v>5</v>
      </c>
      <c r="BL35" s="54">
        <f t="shared" si="69"/>
        <v>2</v>
      </c>
      <c r="BM35" s="54">
        <f t="shared" si="70"/>
        <v>5</v>
      </c>
      <c r="BN35" s="54">
        <f t="shared" si="71"/>
        <v>2</v>
      </c>
      <c r="BO35" s="54">
        <f t="shared" si="72"/>
        <v>5</v>
      </c>
      <c r="BP35" s="54">
        <f t="shared" si="73"/>
        <v>2</v>
      </c>
      <c r="BQ35" s="54">
        <f t="shared" si="74"/>
        <v>5</v>
      </c>
      <c r="BR35" s="54">
        <f t="shared" si="75"/>
        <v>2</v>
      </c>
      <c r="BS35" s="54">
        <f t="shared" si="76"/>
        <v>5</v>
      </c>
      <c r="BT35" s="54">
        <f t="shared" si="77"/>
        <v>2</v>
      </c>
      <c r="BU35" s="54">
        <f t="shared" si="78"/>
        <v>5</v>
      </c>
      <c r="BV35" s="54">
        <f t="shared" si="79"/>
        <v>2</v>
      </c>
      <c r="BW35" s="54">
        <f t="shared" si="80"/>
        <v>5</v>
      </c>
      <c r="BX35" s="54">
        <f t="shared" si="81"/>
        <v>2</v>
      </c>
      <c r="BY35" s="54">
        <f t="shared" si="82"/>
        <v>5</v>
      </c>
      <c r="BZ35" s="54">
        <f t="shared" si="83"/>
        <v>2</v>
      </c>
      <c r="CA35" s="54">
        <f t="shared" si="84"/>
        <v>5</v>
      </c>
      <c r="CB35" s="54">
        <f t="shared" si="85"/>
        <v>2</v>
      </c>
      <c r="CC35" s="54">
        <f t="shared" si="86"/>
        <v>5</v>
      </c>
      <c r="CD35" s="54">
        <f t="shared" si="87"/>
        <v>2</v>
      </c>
      <c r="CE35" s="54">
        <f t="shared" si="88"/>
        <v>5</v>
      </c>
      <c r="CF35" s="54">
        <f t="shared" si="89"/>
        <v>2</v>
      </c>
      <c r="CG35" s="54">
        <f t="shared" si="90"/>
        <v>5</v>
      </c>
      <c r="CH35" s="54">
        <f t="shared" si="91"/>
        <v>2</v>
      </c>
      <c r="CI35" s="54">
        <f t="shared" si="92"/>
        <v>5</v>
      </c>
      <c r="CJ35" s="54">
        <f t="shared" si="93"/>
        <v>2</v>
      </c>
      <c r="CK35" s="54">
        <f t="shared" si="94"/>
        <v>5</v>
      </c>
      <c r="CL35" s="54">
        <f t="shared" si="95"/>
        <v>2</v>
      </c>
      <c r="CM35" s="54">
        <f t="shared" si="96"/>
        <v>5</v>
      </c>
      <c r="CN35" s="54">
        <f t="shared" si="97"/>
        <v>2</v>
      </c>
      <c r="CO35" s="54">
        <f t="shared" si="98"/>
        <v>5</v>
      </c>
      <c r="CP35" s="54">
        <f t="shared" si="99"/>
        <v>2</v>
      </c>
      <c r="CQ35" s="54">
        <f t="shared" si="100"/>
        <v>5</v>
      </c>
      <c r="CR35" s="54">
        <f t="shared" si="101"/>
        <v>2</v>
      </c>
      <c r="CS35" s="54">
        <f t="shared" si="102"/>
        <v>5</v>
      </c>
      <c r="CT35" s="54">
        <f t="shared" si="103"/>
        <v>2</v>
      </c>
      <c r="CU35" s="54">
        <f t="shared" si="104"/>
        <v>5</v>
      </c>
      <c r="CV35" s="54">
        <f t="shared" si="105"/>
        <v>2</v>
      </c>
      <c r="CW35" s="54">
        <f t="shared" si="106"/>
        <v>5</v>
      </c>
      <c r="CX35" s="54">
        <f t="shared" si="107"/>
        <v>2</v>
      </c>
      <c r="CY35" s="54">
        <f t="shared" si="108"/>
        <v>5</v>
      </c>
      <c r="CZ35" s="54">
        <f t="shared" si="109"/>
        <v>2</v>
      </c>
      <c r="DA35" s="54">
        <f t="shared" si="110"/>
        <v>5</v>
      </c>
      <c r="DB35" s="54">
        <f t="shared" si="111"/>
        <v>2</v>
      </c>
      <c r="DC35" s="54">
        <f t="shared" si="112"/>
        <v>5</v>
      </c>
      <c r="DD35" s="54">
        <f t="shared" si="113"/>
        <v>2</v>
      </c>
      <c r="DE35" s="54">
        <f t="shared" si="114"/>
        <v>5</v>
      </c>
      <c r="DF35" s="54">
        <f t="shared" si="115"/>
        <v>2</v>
      </c>
      <c r="DG35" s="54">
        <f t="shared" si="116"/>
        <v>5</v>
      </c>
      <c r="DH35" s="54">
        <f t="shared" si="117"/>
        <v>2</v>
      </c>
      <c r="DI35" s="54">
        <f t="shared" si="118"/>
        <v>5</v>
      </c>
      <c r="DJ35" s="54">
        <f t="shared" si="119"/>
        <v>2</v>
      </c>
      <c r="DK35" s="54">
        <f t="shared" si="120"/>
        <v>5</v>
      </c>
      <c r="DL35" s="54">
        <f t="shared" si="121"/>
        <v>2</v>
      </c>
      <c r="DM35" s="54">
        <f t="shared" si="122"/>
        <v>5</v>
      </c>
      <c r="DN35" s="54">
        <f t="shared" si="123"/>
        <v>2</v>
      </c>
      <c r="DO35" s="54">
        <f t="shared" si="124"/>
        <v>5</v>
      </c>
      <c r="DP35" s="54">
        <f t="shared" si="125"/>
        <v>2</v>
      </c>
      <c r="DQ35" s="54">
        <f t="shared" si="126"/>
        <v>5</v>
      </c>
      <c r="DR35" s="54">
        <f t="shared" si="127"/>
        <v>2</v>
      </c>
      <c r="DS35" s="54">
        <f t="shared" si="128"/>
        <v>5</v>
      </c>
      <c r="DT35" s="54">
        <f t="shared" si="129"/>
        <v>2</v>
      </c>
      <c r="DU35" s="54">
        <f t="shared" si="130"/>
        <v>5</v>
      </c>
      <c r="DV35" s="54">
        <f t="shared" si="131"/>
        <v>2</v>
      </c>
      <c r="DW35" s="54">
        <f t="shared" si="132"/>
        <v>5</v>
      </c>
      <c r="DX35" s="54">
        <f t="shared" si="133"/>
        <v>2</v>
      </c>
      <c r="DY35" s="54">
        <f t="shared" si="134"/>
        <v>5</v>
      </c>
      <c r="DZ35" s="54">
        <f t="shared" si="135"/>
        <v>2</v>
      </c>
      <c r="EA35" s="54">
        <f t="shared" si="134"/>
        <v>5</v>
      </c>
      <c r="EB35" s="54">
        <f t="shared" si="135"/>
        <v>2</v>
      </c>
      <c r="EC35" s="54">
        <f t="shared" si="135"/>
        <v>5</v>
      </c>
      <c r="ED35" s="54">
        <f t="shared" si="136"/>
        <v>2</v>
      </c>
      <c r="EE35" s="54">
        <f t="shared" si="137"/>
        <v>5</v>
      </c>
      <c r="EF35" s="54">
        <f t="shared" si="138"/>
        <v>2</v>
      </c>
      <c r="EG35" s="54">
        <f t="shared" ref="EG35:EN35" si="168">EG34</f>
        <v>5</v>
      </c>
      <c r="EH35" s="54">
        <f t="shared" si="168"/>
        <v>2</v>
      </c>
      <c r="EI35" s="54">
        <f t="shared" si="168"/>
        <v>5</v>
      </c>
      <c r="EJ35" s="54">
        <f t="shared" si="168"/>
        <v>2</v>
      </c>
      <c r="EK35" s="54">
        <f t="shared" si="168"/>
        <v>5</v>
      </c>
      <c r="EL35" s="54">
        <f t="shared" si="168"/>
        <v>2</v>
      </c>
      <c r="EM35" s="54">
        <f t="shared" si="168"/>
        <v>5</v>
      </c>
      <c r="EN35" s="54">
        <f t="shared" si="168"/>
        <v>2</v>
      </c>
      <c r="EO35" s="54">
        <f t="shared" si="7"/>
        <v>2</v>
      </c>
      <c r="EP35" s="54">
        <f t="shared" si="8"/>
        <v>2</v>
      </c>
    </row>
    <row r="36" spans="1:146" x14ac:dyDescent="0.2">
      <c r="B36" t="s">
        <v>230</v>
      </c>
      <c r="C36" s="54">
        <f t="shared" si="9"/>
        <v>45474</v>
      </c>
      <c r="D36" s="54">
        <f t="shared" si="1"/>
        <v>1</v>
      </c>
      <c r="E36" s="54">
        <f t="shared" si="10"/>
        <v>4</v>
      </c>
      <c r="F36" s="54">
        <f t="shared" si="11"/>
        <v>2</v>
      </c>
      <c r="G36" s="54">
        <f t="shared" si="12"/>
        <v>5</v>
      </c>
      <c r="H36" s="54">
        <f t="shared" si="13"/>
        <v>2</v>
      </c>
      <c r="I36" s="54">
        <f t="shared" si="14"/>
        <v>5</v>
      </c>
      <c r="J36" s="54">
        <f t="shared" si="15"/>
        <v>2</v>
      </c>
      <c r="K36" s="54">
        <f t="shared" si="16"/>
        <v>5</v>
      </c>
      <c r="L36" s="54">
        <f t="shared" si="17"/>
        <v>2</v>
      </c>
      <c r="M36" s="54">
        <f t="shared" si="18"/>
        <v>5</v>
      </c>
      <c r="N36" s="54">
        <f t="shared" si="19"/>
        <v>2</v>
      </c>
      <c r="O36" s="54">
        <f t="shared" si="20"/>
        <v>5</v>
      </c>
      <c r="P36" s="54">
        <f t="shared" si="21"/>
        <v>2</v>
      </c>
      <c r="Q36" s="54">
        <f t="shared" si="22"/>
        <v>5</v>
      </c>
      <c r="R36" s="54">
        <f t="shared" si="23"/>
        <v>2</v>
      </c>
      <c r="S36" s="54">
        <f t="shared" si="24"/>
        <v>5</v>
      </c>
      <c r="T36" s="54">
        <f t="shared" si="25"/>
        <v>2</v>
      </c>
      <c r="U36" s="54">
        <f t="shared" si="26"/>
        <v>5</v>
      </c>
      <c r="V36" s="54">
        <f t="shared" si="27"/>
        <v>2</v>
      </c>
      <c r="W36" s="54">
        <f t="shared" si="28"/>
        <v>5</v>
      </c>
      <c r="X36" s="54">
        <f t="shared" si="29"/>
        <v>2</v>
      </c>
      <c r="Y36" s="54">
        <f t="shared" si="30"/>
        <v>5</v>
      </c>
      <c r="Z36" s="54">
        <f t="shared" si="31"/>
        <v>2</v>
      </c>
      <c r="AA36" s="54">
        <f t="shared" si="32"/>
        <v>5</v>
      </c>
      <c r="AB36" s="54">
        <f t="shared" si="33"/>
        <v>2</v>
      </c>
      <c r="AC36" s="54">
        <f t="shared" si="34"/>
        <v>5</v>
      </c>
      <c r="AD36" s="54">
        <f t="shared" si="35"/>
        <v>2</v>
      </c>
      <c r="AE36" s="54">
        <f t="shared" si="36"/>
        <v>5</v>
      </c>
      <c r="AF36" s="54">
        <f t="shared" si="37"/>
        <v>2</v>
      </c>
      <c r="AG36" s="54">
        <f t="shared" si="38"/>
        <v>5</v>
      </c>
      <c r="AH36" s="54">
        <f t="shared" si="39"/>
        <v>2</v>
      </c>
      <c r="AI36" s="54">
        <f t="shared" si="40"/>
        <v>5</v>
      </c>
      <c r="AJ36" s="54">
        <f t="shared" si="41"/>
        <v>2</v>
      </c>
      <c r="AK36" s="54">
        <f t="shared" si="42"/>
        <v>5</v>
      </c>
      <c r="AL36" s="54">
        <f t="shared" si="43"/>
        <v>2</v>
      </c>
      <c r="AM36" s="54">
        <f t="shared" si="44"/>
        <v>5</v>
      </c>
      <c r="AN36" s="54">
        <f t="shared" si="45"/>
        <v>2</v>
      </c>
      <c r="AO36" s="54">
        <f t="shared" si="46"/>
        <v>5</v>
      </c>
      <c r="AP36" s="54">
        <f t="shared" si="47"/>
        <v>2</v>
      </c>
      <c r="AQ36" s="54">
        <f t="shared" si="48"/>
        <v>5</v>
      </c>
      <c r="AR36" s="54">
        <f t="shared" si="49"/>
        <v>2</v>
      </c>
      <c r="AS36" s="54">
        <f t="shared" si="50"/>
        <v>5</v>
      </c>
      <c r="AT36" s="54">
        <f t="shared" si="51"/>
        <v>2</v>
      </c>
      <c r="AU36" s="54">
        <f t="shared" si="52"/>
        <v>5</v>
      </c>
      <c r="AV36" s="54">
        <f t="shared" si="53"/>
        <v>2</v>
      </c>
      <c r="AW36" s="54">
        <f t="shared" si="54"/>
        <v>5</v>
      </c>
      <c r="AX36" s="54">
        <f t="shared" si="55"/>
        <v>2</v>
      </c>
      <c r="AY36" s="54">
        <f t="shared" si="56"/>
        <v>5</v>
      </c>
      <c r="AZ36" s="54">
        <f t="shared" si="57"/>
        <v>2</v>
      </c>
      <c r="BA36" s="54">
        <f t="shared" si="58"/>
        <v>5</v>
      </c>
      <c r="BB36" s="54">
        <f t="shared" si="59"/>
        <v>2</v>
      </c>
      <c r="BC36" s="54">
        <f t="shared" si="60"/>
        <v>5</v>
      </c>
      <c r="BD36" s="54">
        <f t="shared" si="61"/>
        <v>2</v>
      </c>
      <c r="BE36" s="54">
        <f t="shared" si="62"/>
        <v>5</v>
      </c>
      <c r="BF36" s="54">
        <f t="shared" si="63"/>
        <v>2</v>
      </c>
      <c r="BG36" s="54">
        <f t="shared" si="64"/>
        <v>5</v>
      </c>
      <c r="BH36" s="54">
        <f t="shared" si="65"/>
        <v>2</v>
      </c>
      <c r="BI36" s="54">
        <f t="shared" si="66"/>
        <v>5</v>
      </c>
      <c r="BJ36" s="54">
        <f t="shared" si="67"/>
        <v>2</v>
      </c>
      <c r="BK36" s="54">
        <f t="shared" si="68"/>
        <v>5</v>
      </c>
      <c r="BL36" s="54">
        <f t="shared" si="69"/>
        <v>2</v>
      </c>
      <c r="BM36" s="54">
        <f t="shared" si="70"/>
        <v>5</v>
      </c>
      <c r="BN36" s="54">
        <f t="shared" si="71"/>
        <v>2</v>
      </c>
      <c r="BO36" s="54">
        <f t="shared" si="72"/>
        <v>5</v>
      </c>
      <c r="BP36" s="54">
        <f t="shared" si="73"/>
        <v>2</v>
      </c>
      <c r="BQ36" s="54">
        <f t="shared" si="74"/>
        <v>5</v>
      </c>
      <c r="BR36" s="54">
        <f t="shared" si="75"/>
        <v>2</v>
      </c>
      <c r="BS36" s="54">
        <f t="shared" si="76"/>
        <v>5</v>
      </c>
      <c r="BT36" s="54">
        <f t="shared" si="77"/>
        <v>2</v>
      </c>
      <c r="BU36" s="54">
        <f t="shared" si="78"/>
        <v>5</v>
      </c>
      <c r="BV36" s="54">
        <f t="shared" si="79"/>
        <v>2</v>
      </c>
      <c r="BW36" s="54">
        <f t="shared" si="80"/>
        <v>5</v>
      </c>
      <c r="BX36" s="54">
        <f t="shared" si="81"/>
        <v>2</v>
      </c>
      <c r="BY36" s="54">
        <f t="shared" si="82"/>
        <v>5</v>
      </c>
      <c r="BZ36" s="54">
        <f t="shared" si="83"/>
        <v>2</v>
      </c>
      <c r="CA36" s="54">
        <f t="shared" si="84"/>
        <v>5</v>
      </c>
      <c r="CB36" s="54">
        <f t="shared" si="85"/>
        <v>2</v>
      </c>
      <c r="CC36" s="54">
        <f t="shared" si="86"/>
        <v>5</v>
      </c>
      <c r="CD36" s="54">
        <f t="shared" si="87"/>
        <v>2</v>
      </c>
      <c r="CE36" s="54">
        <f t="shared" si="88"/>
        <v>5</v>
      </c>
      <c r="CF36" s="54">
        <f t="shared" si="89"/>
        <v>2</v>
      </c>
      <c r="CG36" s="54">
        <f t="shared" si="90"/>
        <v>5</v>
      </c>
      <c r="CH36" s="54">
        <f t="shared" si="91"/>
        <v>2</v>
      </c>
      <c r="CI36" s="54">
        <f t="shared" si="92"/>
        <v>5</v>
      </c>
      <c r="CJ36" s="54">
        <f t="shared" si="93"/>
        <v>2</v>
      </c>
      <c r="CK36" s="54">
        <f t="shared" si="94"/>
        <v>5</v>
      </c>
      <c r="CL36" s="54">
        <f t="shared" si="95"/>
        <v>2</v>
      </c>
      <c r="CM36" s="54">
        <f t="shared" si="96"/>
        <v>5</v>
      </c>
      <c r="CN36" s="54">
        <f t="shared" si="97"/>
        <v>2</v>
      </c>
      <c r="CO36" s="54">
        <f t="shared" si="98"/>
        <v>5</v>
      </c>
      <c r="CP36" s="54">
        <f t="shared" si="99"/>
        <v>2</v>
      </c>
      <c r="CQ36" s="54">
        <f t="shared" si="100"/>
        <v>5</v>
      </c>
      <c r="CR36" s="54">
        <f t="shared" si="101"/>
        <v>2</v>
      </c>
      <c r="CS36" s="54">
        <f t="shared" si="102"/>
        <v>5</v>
      </c>
      <c r="CT36" s="54">
        <f t="shared" si="103"/>
        <v>2</v>
      </c>
      <c r="CU36" s="54">
        <f t="shared" si="104"/>
        <v>5</v>
      </c>
      <c r="CV36" s="54">
        <f t="shared" si="105"/>
        <v>2</v>
      </c>
      <c r="CW36" s="54">
        <f t="shared" si="106"/>
        <v>5</v>
      </c>
      <c r="CX36" s="54">
        <f t="shared" si="107"/>
        <v>2</v>
      </c>
      <c r="CY36" s="54">
        <f t="shared" si="108"/>
        <v>5</v>
      </c>
      <c r="CZ36" s="54">
        <f t="shared" si="109"/>
        <v>2</v>
      </c>
      <c r="DA36" s="54">
        <f t="shared" si="110"/>
        <v>5</v>
      </c>
      <c r="DB36" s="54">
        <f t="shared" si="111"/>
        <v>2</v>
      </c>
      <c r="DC36" s="54">
        <f t="shared" si="112"/>
        <v>5</v>
      </c>
      <c r="DD36" s="54">
        <f t="shared" si="113"/>
        <v>2</v>
      </c>
      <c r="DE36" s="54">
        <f t="shared" si="114"/>
        <v>5</v>
      </c>
      <c r="DF36" s="54">
        <f t="shared" si="115"/>
        <v>2</v>
      </c>
      <c r="DG36" s="54">
        <f t="shared" si="116"/>
        <v>5</v>
      </c>
      <c r="DH36" s="54">
        <f t="shared" si="117"/>
        <v>2</v>
      </c>
      <c r="DI36" s="54">
        <f t="shared" si="118"/>
        <v>5</v>
      </c>
      <c r="DJ36" s="54">
        <f t="shared" si="119"/>
        <v>2</v>
      </c>
      <c r="DK36" s="54">
        <f t="shared" si="120"/>
        <v>5</v>
      </c>
      <c r="DL36" s="54">
        <f t="shared" si="121"/>
        <v>2</v>
      </c>
      <c r="DM36" s="54">
        <f t="shared" si="122"/>
        <v>5</v>
      </c>
      <c r="DN36" s="54">
        <f t="shared" si="123"/>
        <v>2</v>
      </c>
      <c r="DO36" s="54">
        <f t="shared" si="124"/>
        <v>5</v>
      </c>
      <c r="DP36" s="54">
        <f t="shared" si="125"/>
        <v>2</v>
      </c>
      <c r="DQ36" s="54">
        <f t="shared" si="126"/>
        <v>5</v>
      </c>
      <c r="DR36" s="54">
        <f t="shared" si="127"/>
        <v>2</v>
      </c>
      <c r="DS36" s="54">
        <f t="shared" si="128"/>
        <v>5</v>
      </c>
      <c r="DT36" s="54">
        <f t="shared" si="129"/>
        <v>2</v>
      </c>
      <c r="DU36" s="54">
        <f t="shared" si="130"/>
        <v>5</v>
      </c>
      <c r="DV36" s="54">
        <f t="shared" si="131"/>
        <v>2</v>
      </c>
      <c r="DW36" s="54">
        <f t="shared" si="132"/>
        <v>5</v>
      </c>
      <c r="DX36" s="54">
        <f t="shared" si="133"/>
        <v>2</v>
      </c>
      <c r="DY36" s="54">
        <f t="shared" si="134"/>
        <v>5</v>
      </c>
      <c r="DZ36" s="54">
        <f t="shared" si="135"/>
        <v>2</v>
      </c>
      <c r="EA36" s="54">
        <f t="shared" si="134"/>
        <v>5</v>
      </c>
      <c r="EB36" s="54">
        <f t="shared" si="135"/>
        <v>2</v>
      </c>
      <c r="EC36" s="54">
        <f t="shared" si="135"/>
        <v>5</v>
      </c>
      <c r="ED36" s="54">
        <f t="shared" si="136"/>
        <v>2</v>
      </c>
      <c r="EE36" s="54">
        <f t="shared" si="137"/>
        <v>5</v>
      </c>
      <c r="EF36" s="54">
        <f t="shared" si="138"/>
        <v>2</v>
      </c>
      <c r="EG36" s="54">
        <f t="shared" ref="EG36:EN36" si="169">EG35</f>
        <v>5</v>
      </c>
      <c r="EH36" s="54">
        <f t="shared" si="169"/>
        <v>2</v>
      </c>
      <c r="EI36" s="54">
        <f t="shared" si="169"/>
        <v>5</v>
      </c>
      <c r="EJ36" s="54">
        <f t="shared" si="169"/>
        <v>2</v>
      </c>
      <c r="EK36" s="54">
        <f t="shared" si="169"/>
        <v>5</v>
      </c>
      <c r="EL36" s="54">
        <f t="shared" si="169"/>
        <v>2</v>
      </c>
      <c r="EM36" s="54">
        <f t="shared" si="169"/>
        <v>5</v>
      </c>
      <c r="EN36" s="54">
        <f t="shared" si="169"/>
        <v>2</v>
      </c>
      <c r="EO36" s="54">
        <f t="shared" si="7"/>
        <v>2</v>
      </c>
      <c r="EP36" s="54">
        <f t="shared" si="8"/>
        <v>2</v>
      </c>
    </row>
    <row r="37" spans="1:146" x14ac:dyDescent="0.2">
      <c r="B37" t="s">
        <v>230</v>
      </c>
      <c r="C37" s="54">
        <f t="shared" si="9"/>
        <v>45474</v>
      </c>
      <c r="D37" s="54">
        <f t="shared" si="1"/>
        <v>1</v>
      </c>
      <c r="E37" s="54">
        <f t="shared" si="10"/>
        <v>4</v>
      </c>
      <c r="F37" s="54">
        <f t="shared" si="11"/>
        <v>2</v>
      </c>
      <c r="G37" s="54">
        <f t="shared" si="12"/>
        <v>5</v>
      </c>
      <c r="H37" s="54">
        <f t="shared" si="13"/>
        <v>2</v>
      </c>
      <c r="I37" s="54">
        <f t="shared" si="14"/>
        <v>5</v>
      </c>
      <c r="J37" s="54">
        <f t="shared" si="15"/>
        <v>2</v>
      </c>
      <c r="K37" s="54">
        <f t="shared" si="16"/>
        <v>5</v>
      </c>
      <c r="L37" s="54">
        <f t="shared" si="17"/>
        <v>2</v>
      </c>
      <c r="M37" s="54">
        <f t="shared" si="18"/>
        <v>5</v>
      </c>
      <c r="N37" s="54">
        <f t="shared" si="19"/>
        <v>2</v>
      </c>
      <c r="O37" s="54">
        <f t="shared" si="20"/>
        <v>5</v>
      </c>
      <c r="P37" s="54">
        <f t="shared" si="21"/>
        <v>2</v>
      </c>
      <c r="Q37" s="54">
        <f t="shared" si="22"/>
        <v>5</v>
      </c>
      <c r="R37" s="54">
        <f t="shared" si="23"/>
        <v>2</v>
      </c>
      <c r="S37" s="54">
        <f t="shared" si="24"/>
        <v>5</v>
      </c>
      <c r="T37" s="54">
        <f t="shared" si="25"/>
        <v>2</v>
      </c>
      <c r="U37" s="54">
        <f t="shared" si="26"/>
        <v>5</v>
      </c>
      <c r="V37" s="54">
        <f t="shared" si="27"/>
        <v>2</v>
      </c>
      <c r="W37" s="54">
        <f t="shared" si="28"/>
        <v>5</v>
      </c>
      <c r="X37" s="54">
        <f t="shared" si="29"/>
        <v>2</v>
      </c>
      <c r="Y37" s="54">
        <f t="shared" si="30"/>
        <v>5</v>
      </c>
      <c r="Z37" s="54">
        <f t="shared" si="31"/>
        <v>2</v>
      </c>
      <c r="AA37" s="54">
        <f t="shared" si="32"/>
        <v>5</v>
      </c>
      <c r="AB37" s="54">
        <f t="shared" si="33"/>
        <v>2</v>
      </c>
      <c r="AC37" s="54">
        <f t="shared" si="34"/>
        <v>5</v>
      </c>
      <c r="AD37" s="54">
        <f t="shared" si="35"/>
        <v>2</v>
      </c>
      <c r="AE37" s="54">
        <f t="shared" si="36"/>
        <v>5</v>
      </c>
      <c r="AF37" s="54">
        <f t="shared" si="37"/>
        <v>2</v>
      </c>
      <c r="AG37" s="54">
        <f t="shared" si="38"/>
        <v>5</v>
      </c>
      <c r="AH37" s="54">
        <f t="shared" si="39"/>
        <v>2</v>
      </c>
      <c r="AI37" s="54">
        <f t="shared" si="40"/>
        <v>5</v>
      </c>
      <c r="AJ37" s="54">
        <f t="shared" si="41"/>
        <v>2</v>
      </c>
      <c r="AK37" s="54">
        <f t="shared" si="42"/>
        <v>5</v>
      </c>
      <c r="AL37" s="54">
        <f t="shared" si="43"/>
        <v>2</v>
      </c>
      <c r="AM37" s="54">
        <f t="shared" si="44"/>
        <v>5</v>
      </c>
      <c r="AN37" s="54">
        <f t="shared" si="45"/>
        <v>2</v>
      </c>
      <c r="AO37" s="54">
        <f t="shared" si="46"/>
        <v>5</v>
      </c>
      <c r="AP37" s="54">
        <f t="shared" si="47"/>
        <v>2</v>
      </c>
      <c r="AQ37" s="54">
        <f t="shared" si="48"/>
        <v>5</v>
      </c>
      <c r="AR37" s="54">
        <f t="shared" si="49"/>
        <v>2</v>
      </c>
      <c r="AS37" s="54">
        <f t="shared" si="50"/>
        <v>5</v>
      </c>
      <c r="AT37" s="54">
        <f t="shared" si="51"/>
        <v>2</v>
      </c>
      <c r="AU37" s="54">
        <f t="shared" si="52"/>
        <v>5</v>
      </c>
      <c r="AV37" s="54">
        <f t="shared" si="53"/>
        <v>2</v>
      </c>
      <c r="AW37" s="54">
        <f t="shared" si="54"/>
        <v>5</v>
      </c>
      <c r="AX37" s="54">
        <f t="shared" si="55"/>
        <v>2</v>
      </c>
      <c r="AY37" s="54">
        <f t="shared" si="56"/>
        <v>5</v>
      </c>
      <c r="AZ37" s="54">
        <f t="shared" si="57"/>
        <v>2</v>
      </c>
      <c r="BA37" s="54">
        <f t="shared" si="58"/>
        <v>5</v>
      </c>
      <c r="BB37" s="54">
        <f t="shared" si="59"/>
        <v>2</v>
      </c>
      <c r="BC37" s="54">
        <f t="shared" si="60"/>
        <v>5</v>
      </c>
      <c r="BD37" s="54">
        <f t="shared" si="61"/>
        <v>2</v>
      </c>
      <c r="BE37" s="54">
        <f t="shared" si="62"/>
        <v>5</v>
      </c>
      <c r="BF37" s="54">
        <f t="shared" si="63"/>
        <v>2</v>
      </c>
      <c r="BG37" s="54">
        <f t="shared" si="64"/>
        <v>5</v>
      </c>
      <c r="BH37" s="54">
        <f t="shared" si="65"/>
        <v>2</v>
      </c>
      <c r="BI37" s="54">
        <f t="shared" si="66"/>
        <v>5</v>
      </c>
      <c r="BJ37" s="54">
        <f t="shared" si="67"/>
        <v>2</v>
      </c>
      <c r="BK37" s="54">
        <f t="shared" si="68"/>
        <v>5</v>
      </c>
      <c r="BL37" s="54">
        <f t="shared" si="69"/>
        <v>2</v>
      </c>
      <c r="BM37" s="54">
        <f t="shared" si="70"/>
        <v>5</v>
      </c>
      <c r="BN37" s="54">
        <f t="shared" si="71"/>
        <v>2</v>
      </c>
      <c r="BO37" s="54">
        <f t="shared" si="72"/>
        <v>5</v>
      </c>
      <c r="BP37" s="54">
        <f t="shared" si="73"/>
        <v>2</v>
      </c>
      <c r="BQ37" s="54">
        <f t="shared" si="74"/>
        <v>5</v>
      </c>
      <c r="BR37" s="54">
        <f t="shared" si="75"/>
        <v>2</v>
      </c>
      <c r="BS37" s="54">
        <f t="shared" si="76"/>
        <v>5</v>
      </c>
      <c r="BT37" s="54">
        <f t="shared" si="77"/>
        <v>2</v>
      </c>
      <c r="BU37" s="54">
        <f t="shared" si="78"/>
        <v>5</v>
      </c>
      <c r="BV37" s="54">
        <f t="shared" si="79"/>
        <v>2</v>
      </c>
      <c r="BW37" s="54">
        <f t="shared" si="80"/>
        <v>5</v>
      </c>
      <c r="BX37" s="54">
        <f t="shared" si="81"/>
        <v>2</v>
      </c>
      <c r="BY37" s="54">
        <f t="shared" si="82"/>
        <v>5</v>
      </c>
      <c r="BZ37" s="54">
        <f t="shared" si="83"/>
        <v>2</v>
      </c>
      <c r="CA37" s="54">
        <f t="shared" si="84"/>
        <v>5</v>
      </c>
      <c r="CB37" s="54">
        <f t="shared" si="85"/>
        <v>2</v>
      </c>
      <c r="CC37" s="54">
        <f t="shared" si="86"/>
        <v>5</v>
      </c>
      <c r="CD37" s="54">
        <f t="shared" si="87"/>
        <v>2</v>
      </c>
      <c r="CE37" s="54">
        <f t="shared" si="88"/>
        <v>5</v>
      </c>
      <c r="CF37" s="54">
        <f t="shared" si="89"/>
        <v>2</v>
      </c>
      <c r="CG37" s="54">
        <f t="shared" si="90"/>
        <v>5</v>
      </c>
      <c r="CH37" s="54">
        <f t="shared" si="91"/>
        <v>2</v>
      </c>
      <c r="CI37" s="54">
        <f t="shared" si="92"/>
        <v>5</v>
      </c>
      <c r="CJ37" s="54">
        <f t="shared" si="93"/>
        <v>2</v>
      </c>
      <c r="CK37" s="54">
        <f t="shared" si="94"/>
        <v>5</v>
      </c>
      <c r="CL37" s="54">
        <f t="shared" si="95"/>
        <v>2</v>
      </c>
      <c r="CM37" s="54">
        <f t="shared" si="96"/>
        <v>5</v>
      </c>
      <c r="CN37" s="54">
        <f t="shared" si="97"/>
        <v>2</v>
      </c>
      <c r="CO37" s="54">
        <f t="shared" si="98"/>
        <v>5</v>
      </c>
      <c r="CP37" s="54">
        <f t="shared" si="99"/>
        <v>2</v>
      </c>
      <c r="CQ37" s="54">
        <f t="shared" si="100"/>
        <v>5</v>
      </c>
      <c r="CR37" s="54">
        <f t="shared" si="101"/>
        <v>2</v>
      </c>
      <c r="CS37" s="54">
        <f t="shared" si="102"/>
        <v>5</v>
      </c>
      <c r="CT37" s="54">
        <f t="shared" si="103"/>
        <v>2</v>
      </c>
      <c r="CU37" s="54">
        <f t="shared" si="104"/>
        <v>5</v>
      </c>
      <c r="CV37" s="54">
        <f t="shared" si="105"/>
        <v>2</v>
      </c>
      <c r="CW37" s="54">
        <f t="shared" si="106"/>
        <v>5</v>
      </c>
      <c r="CX37" s="54">
        <f t="shared" si="107"/>
        <v>2</v>
      </c>
      <c r="CY37" s="54">
        <f t="shared" si="108"/>
        <v>5</v>
      </c>
      <c r="CZ37" s="54">
        <f t="shared" si="109"/>
        <v>2</v>
      </c>
      <c r="DA37" s="54">
        <f t="shared" si="110"/>
        <v>5</v>
      </c>
      <c r="DB37" s="54">
        <f t="shared" si="111"/>
        <v>2</v>
      </c>
      <c r="DC37" s="54">
        <f t="shared" si="112"/>
        <v>5</v>
      </c>
      <c r="DD37" s="54">
        <f t="shared" si="113"/>
        <v>2</v>
      </c>
      <c r="DE37" s="54">
        <f t="shared" si="114"/>
        <v>5</v>
      </c>
      <c r="DF37" s="54">
        <f t="shared" si="115"/>
        <v>2</v>
      </c>
      <c r="DG37" s="54">
        <f t="shared" si="116"/>
        <v>5</v>
      </c>
      <c r="DH37" s="54">
        <f t="shared" si="117"/>
        <v>2</v>
      </c>
      <c r="DI37" s="54">
        <f t="shared" si="118"/>
        <v>5</v>
      </c>
      <c r="DJ37" s="54">
        <f t="shared" si="119"/>
        <v>2</v>
      </c>
      <c r="DK37" s="54">
        <f t="shared" si="120"/>
        <v>5</v>
      </c>
      <c r="DL37" s="54">
        <f t="shared" si="121"/>
        <v>2</v>
      </c>
      <c r="DM37" s="54">
        <f t="shared" si="122"/>
        <v>5</v>
      </c>
      <c r="DN37" s="54">
        <f t="shared" si="123"/>
        <v>2</v>
      </c>
      <c r="DO37" s="54">
        <f t="shared" si="124"/>
        <v>5</v>
      </c>
      <c r="DP37" s="54">
        <f t="shared" si="125"/>
        <v>2</v>
      </c>
      <c r="DQ37" s="54">
        <f t="shared" si="126"/>
        <v>5</v>
      </c>
      <c r="DR37" s="54">
        <f t="shared" si="127"/>
        <v>2</v>
      </c>
      <c r="DS37" s="54">
        <f t="shared" si="128"/>
        <v>5</v>
      </c>
      <c r="DT37" s="54">
        <f t="shared" si="129"/>
        <v>2</v>
      </c>
      <c r="DU37" s="54">
        <f t="shared" si="130"/>
        <v>5</v>
      </c>
      <c r="DV37" s="54">
        <f t="shared" si="131"/>
        <v>2</v>
      </c>
      <c r="DW37" s="54">
        <f t="shared" si="132"/>
        <v>5</v>
      </c>
      <c r="DX37" s="54">
        <f t="shared" si="133"/>
        <v>2</v>
      </c>
      <c r="DY37" s="54">
        <f t="shared" si="134"/>
        <v>5</v>
      </c>
      <c r="DZ37" s="54">
        <f t="shared" si="135"/>
        <v>2</v>
      </c>
      <c r="EA37" s="54">
        <f t="shared" si="134"/>
        <v>5</v>
      </c>
      <c r="EB37" s="54">
        <f t="shared" si="135"/>
        <v>2</v>
      </c>
      <c r="EC37" s="54">
        <f t="shared" si="135"/>
        <v>5</v>
      </c>
      <c r="ED37" s="54">
        <f t="shared" si="136"/>
        <v>2</v>
      </c>
      <c r="EE37" s="54">
        <f t="shared" si="137"/>
        <v>5</v>
      </c>
      <c r="EF37" s="54">
        <f t="shared" si="138"/>
        <v>2</v>
      </c>
      <c r="EG37" s="54">
        <f t="shared" ref="EG37:EN37" si="170">EG36</f>
        <v>5</v>
      </c>
      <c r="EH37" s="54">
        <f t="shared" si="170"/>
        <v>2</v>
      </c>
      <c r="EI37" s="54">
        <f t="shared" si="170"/>
        <v>5</v>
      </c>
      <c r="EJ37" s="54">
        <f t="shared" si="170"/>
        <v>2</v>
      </c>
      <c r="EK37" s="54">
        <f t="shared" si="170"/>
        <v>5</v>
      </c>
      <c r="EL37" s="54">
        <f t="shared" si="170"/>
        <v>2</v>
      </c>
      <c r="EM37" s="54">
        <f t="shared" si="170"/>
        <v>5</v>
      </c>
      <c r="EN37" s="54">
        <f t="shared" si="170"/>
        <v>2</v>
      </c>
      <c r="EO37" s="54">
        <f t="shared" ref="EO37:EO68" si="171">EO36</f>
        <v>2</v>
      </c>
      <c r="EP37" s="54">
        <f t="shared" ref="EP37:EP68" si="172">EP36</f>
        <v>2</v>
      </c>
    </row>
    <row r="38" spans="1:146" x14ac:dyDescent="0.2">
      <c r="A38" s="54"/>
      <c r="B38" t="s">
        <v>230</v>
      </c>
      <c r="C38" s="54">
        <f t="shared" si="9"/>
        <v>45474</v>
      </c>
      <c r="D38" s="54">
        <f t="shared" si="1"/>
        <v>1</v>
      </c>
      <c r="E38" s="54">
        <f t="shared" si="10"/>
        <v>4</v>
      </c>
      <c r="F38" s="54">
        <f t="shared" si="11"/>
        <v>2</v>
      </c>
      <c r="G38" s="54">
        <f t="shared" si="12"/>
        <v>5</v>
      </c>
      <c r="H38" s="54">
        <f t="shared" si="13"/>
        <v>2</v>
      </c>
      <c r="I38" s="54">
        <f t="shared" si="14"/>
        <v>5</v>
      </c>
      <c r="J38" s="54">
        <f t="shared" si="15"/>
        <v>2</v>
      </c>
      <c r="K38" s="54">
        <f t="shared" si="16"/>
        <v>5</v>
      </c>
      <c r="L38" s="54">
        <f t="shared" si="17"/>
        <v>2</v>
      </c>
      <c r="M38" s="54">
        <f t="shared" si="18"/>
        <v>5</v>
      </c>
      <c r="N38" s="54">
        <f t="shared" si="19"/>
        <v>2</v>
      </c>
      <c r="O38" s="54">
        <f t="shared" si="20"/>
        <v>5</v>
      </c>
      <c r="P38" s="54">
        <f t="shared" si="21"/>
        <v>2</v>
      </c>
      <c r="Q38" s="54">
        <f t="shared" si="22"/>
        <v>5</v>
      </c>
      <c r="R38" s="54">
        <f t="shared" si="23"/>
        <v>2</v>
      </c>
      <c r="S38" s="54">
        <f t="shared" si="24"/>
        <v>5</v>
      </c>
      <c r="T38" s="54">
        <f t="shared" si="25"/>
        <v>2</v>
      </c>
      <c r="U38" s="54">
        <f t="shared" si="26"/>
        <v>5</v>
      </c>
      <c r="V38" s="54">
        <f t="shared" si="27"/>
        <v>2</v>
      </c>
      <c r="W38" s="54">
        <f t="shared" si="28"/>
        <v>5</v>
      </c>
      <c r="X38" s="54">
        <f t="shared" si="29"/>
        <v>2</v>
      </c>
      <c r="Y38" s="54">
        <f t="shared" si="30"/>
        <v>5</v>
      </c>
      <c r="Z38" s="54">
        <f t="shared" si="31"/>
        <v>2</v>
      </c>
      <c r="AA38" s="54">
        <f t="shared" si="32"/>
        <v>5</v>
      </c>
      <c r="AB38" s="54">
        <f t="shared" si="33"/>
        <v>2</v>
      </c>
      <c r="AC38" s="54">
        <f t="shared" si="34"/>
        <v>5</v>
      </c>
      <c r="AD38" s="54">
        <f t="shared" si="35"/>
        <v>2</v>
      </c>
      <c r="AE38" s="54">
        <f t="shared" si="36"/>
        <v>5</v>
      </c>
      <c r="AF38" s="54">
        <f t="shared" si="37"/>
        <v>2</v>
      </c>
      <c r="AG38" s="54">
        <f t="shared" si="38"/>
        <v>5</v>
      </c>
      <c r="AH38" s="54">
        <f t="shared" si="39"/>
        <v>2</v>
      </c>
      <c r="AI38" s="54">
        <f t="shared" si="40"/>
        <v>5</v>
      </c>
      <c r="AJ38" s="54">
        <f t="shared" si="41"/>
        <v>2</v>
      </c>
      <c r="AK38" s="54">
        <f t="shared" si="42"/>
        <v>5</v>
      </c>
      <c r="AL38" s="54">
        <f t="shared" si="43"/>
        <v>2</v>
      </c>
      <c r="AM38" s="54">
        <f t="shared" si="44"/>
        <v>5</v>
      </c>
      <c r="AN38" s="54">
        <f t="shared" si="45"/>
        <v>2</v>
      </c>
      <c r="AO38" s="54">
        <f t="shared" si="46"/>
        <v>5</v>
      </c>
      <c r="AP38" s="54">
        <f t="shared" si="47"/>
        <v>2</v>
      </c>
      <c r="AQ38" s="54">
        <f t="shared" si="48"/>
        <v>5</v>
      </c>
      <c r="AR38" s="54">
        <f t="shared" si="49"/>
        <v>2</v>
      </c>
      <c r="AS38" s="54">
        <f t="shared" si="50"/>
        <v>5</v>
      </c>
      <c r="AT38" s="54">
        <f t="shared" si="51"/>
        <v>2</v>
      </c>
      <c r="AU38" s="54">
        <f t="shared" si="52"/>
        <v>5</v>
      </c>
      <c r="AV38" s="54">
        <f t="shared" si="53"/>
        <v>2</v>
      </c>
      <c r="AW38" s="54">
        <f t="shared" si="54"/>
        <v>5</v>
      </c>
      <c r="AX38" s="54">
        <f t="shared" si="55"/>
        <v>2</v>
      </c>
      <c r="AY38" s="54">
        <f t="shared" si="56"/>
        <v>5</v>
      </c>
      <c r="AZ38" s="54">
        <f t="shared" si="57"/>
        <v>2</v>
      </c>
      <c r="BA38" s="54">
        <f t="shared" si="58"/>
        <v>5</v>
      </c>
      <c r="BB38" s="54">
        <f t="shared" si="59"/>
        <v>2</v>
      </c>
      <c r="BC38" s="54">
        <f t="shared" si="60"/>
        <v>5</v>
      </c>
      <c r="BD38" s="54">
        <f t="shared" si="61"/>
        <v>2</v>
      </c>
      <c r="BE38" s="54">
        <f t="shared" si="62"/>
        <v>5</v>
      </c>
      <c r="BF38" s="54">
        <f t="shared" si="63"/>
        <v>2</v>
      </c>
      <c r="BG38" s="54">
        <f t="shared" si="64"/>
        <v>5</v>
      </c>
      <c r="BH38" s="54">
        <f t="shared" si="65"/>
        <v>2</v>
      </c>
      <c r="BI38" s="54">
        <f t="shared" si="66"/>
        <v>5</v>
      </c>
      <c r="BJ38" s="54">
        <f t="shared" si="67"/>
        <v>2</v>
      </c>
      <c r="BK38" s="54">
        <f t="shared" si="68"/>
        <v>5</v>
      </c>
      <c r="BL38" s="54">
        <f t="shared" si="69"/>
        <v>2</v>
      </c>
      <c r="BM38" s="54">
        <f t="shared" si="70"/>
        <v>5</v>
      </c>
      <c r="BN38" s="54">
        <f t="shared" si="71"/>
        <v>2</v>
      </c>
      <c r="BO38" s="54">
        <f t="shared" si="72"/>
        <v>5</v>
      </c>
      <c r="BP38" s="54">
        <f t="shared" si="73"/>
        <v>2</v>
      </c>
      <c r="BQ38" s="54">
        <f t="shared" si="74"/>
        <v>5</v>
      </c>
      <c r="BR38" s="54">
        <f t="shared" si="75"/>
        <v>2</v>
      </c>
      <c r="BS38" s="54">
        <f t="shared" si="76"/>
        <v>5</v>
      </c>
      <c r="BT38" s="54">
        <f t="shared" si="77"/>
        <v>2</v>
      </c>
      <c r="BU38" s="54">
        <f t="shared" si="78"/>
        <v>5</v>
      </c>
      <c r="BV38" s="54">
        <f t="shared" si="79"/>
        <v>2</v>
      </c>
      <c r="BW38" s="54">
        <f t="shared" si="80"/>
        <v>5</v>
      </c>
      <c r="BX38" s="54">
        <f t="shared" si="81"/>
        <v>2</v>
      </c>
      <c r="BY38" s="54">
        <f t="shared" si="82"/>
        <v>5</v>
      </c>
      <c r="BZ38" s="54">
        <f t="shared" si="83"/>
        <v>2</v>
      </c>
      <c r="CA38" s="54">
        <f t="shared" si="84"/>
        <v>5</v>
      </c>
      <c r="CB38" s="54">
        <f t="shared" si="85"/>
        <v>2</v>
      </c>
      <c r="CC38" s="54">
        <f t="shared" si="86"/>
        <v>5</v>
      </c>
      <c r="CD38" s="54">
        <f t="shared" si="87"/>
        <v>2</v>
      </c>
      <c r="CE38" s="54">
        <f t="shared" si="88"/>
        <v>5</v>
      </c>
      <c r="CF38" s="54">
        <f t="shared" si="89"/>
        <v>2</v>
      </c>
      <c r="CG38" s="54">
        <f t="shared" si="90"/>
        <v>5</v>
      </c>
      <c r="CH38" s="54">
        <f t="shared" si="91"/>
        <v>2</v>
      </c>
      <c r="CI38" s="54">
        <f t="shared" si="92"/>
        <v>5</v>
      </c>
      <c r="CJ38" s="54">
        <f t="shared" si="93"/>
        <v>2</v>
      </c>
      <c r="CK38" s="54">
        <f t="shared" si="94"/>
        <v>5</v>
      </c>
      <c r="CL38" s="54">
        <f t="shared" si="95"/>
        <v>2</v>
      </c>
      <c r="CM38" s="54">
        <f t="shared" si="96"/>
        <v>5</v>
      </c>
      <c r="CN38" s="54">
        <f t="shared" si="97"/>
        <v>2</v>
      </c>
      <c r="CO38" s="54">
        <f t="shared" si="98"/>
        <v>5</v>
      </c>
      <c r="CP38" s="54">
        <f t="shared" si="99"/>
        <v>2</v>
      </c>
      <c r="CQ38" s="54">
        <f t="shared" si="100"/>
        <v>5</v>
      </c>
      <c r="CR38" s="54">
        <f t="shared" si="101"/>
        <v>2</v>
      </c>
      <c r="CS38" s="54">
        <f t="shared" si="102"/>
        <v>5</v>
      </c>
      <c r="CT38" s="54">
        <f t="shared" si="103"/>
        <v>2</v>
      </c>
      <c r="CU38" s="54">
        <f t="shared" si="104"/>
        <v>5</v>
      </c>
      <c r="CV38" s="54">
        <f t="shared" si="105"/>
        <v>2</v>
      </c>
      <c r="CW38" s="54">
        <f t="shared" si="106"/>
        <v>5</v>
      </c>
      <c r="CX38" s="54">
        <f t="shared" si="107"/>
        <v>2</v>
      </c>
      <c r="CY38" s="54">
        <f t="shared" si="108"/>
        <v>5</v>
      </c>
      <c r="CZ38" s="54">
        <f t="shared" si="109"/>
        <v>2</v>
      </c>
      <c r="DA38" s="54">
        <f t="shared" si="110"/>
        <v>5</v>
      </c>
      <c r="DB38" s="54">
        <f t="shared" si="111"/>
        <v>2</v>
      </c>
      <c r="DC38" s="54">
        <f t="shared" si="112"/>
        <v>5</v>
      </c>
      <c r="DD38" s="54">
        <f t="shared" si="113"/>
        <v>2</v>
      </c>
      <c r="DE38" s="54">
        <f t="shared" si="114"/>
        <v>5</v>
      </c>
      <c r="DF38" s="54">
        <f t="shared" si="115"/>
        <v>2</v>
      </c>
      <c r="DG38" s="54">
        <f t="shared" si="116"/>
        <v>5</v>
      </c>
      <c r="DH38" s="54">
        <f t="shared" si="117"/>
        <v>2</v>
      </c>
      <c r="DI38" s="54">
        <f t="shared" si="118"/>
        <v>5</v>
      </c>
      <c r="DJ38" s="54">
        <f t="shared" si="119"/>
        <v>2</v>
      </c>
      <c r="DK38" s="54">
        <f t="shared" si="120"/>
        <v>5</v>
      </c>
      <c r="DL38" s="54">
        <f t="shared" si="121"/>
        <v>2</v>
      </c>
      <c r="DM38" s="54">
        <f t="shared" si="122"/>
        <v>5</v>
      </c>
      <c r="DN38" s="54">
        <f t="shared" si="123"/>
        <v>2</v>
      </c>
      <c r="DO38" s="54">
        <f t="shared" si="124"/>
        <v>5</v>
      </c>
      <c r="DP38" s="54">
        <f t="shared" si="125"/>
        <v>2</v>
      </c>
      <c r="DQ38" s="54">
        <f t="shared" si="126"/>
        <v>5</v>
      </c>
      <c r="DR38" s="54">
        <f t="shared" si="127"/>
        <v>2</v>
      </c>
      <c r="DS38" s="54">
        <f t="shared" si="128"/>
        <v>5</v>
      </c>
      <c r="DT38" s="54">
        <f t="shared" si="129"/>
        <v>2</v>
      </c>
      <c r="DU38" s="54">
        <f t="shared" si="130"/>
        <v>5</v>
      </c>
      <c r="DV38" s="54">
        <f t="shared" si="131"/>
        <v>2</v>
      </c>
      <c r="DW38" s="54">
        <f t="shared" si="132"/>
        <v>5</v>
      </c>
      <c r="DX38" s="54">
        <f t="shared" si="133"/>
        <v>2</v>
      </c>
      <c r="DY38" s="54">
        <f t="shared" si="134"/>
        <v>5</v>
      </c>
      <c r="DZ38" s="54">
        <f t="shared" si="135"/>
        <v>2</v>
      </c>
      <c r="EA38" s="54">
        <f t="shared" si="134"/>
        <v>5</v>
      </c>
      <c r="EB38" s="54">
        <f t="shared" si="135"/>
        <v>2</v>
      </c>
      <c r="EC38" s="54">
        <f t="shared" si="135"/>
        <v>5</v>
      </c>
      <c r="ED38" s="54">
        <f t="shared" ref="ED38:ED69" si="173">ED37</f>
        <v>2</v>
      </c>
      <c r="EE38" s="54">
        <f t="shared" ref="EE38:EE69" si="174">EE37</f>
        <v>5</v>
      </c>
      <c r="EF38" s="54">
        <f t="shared" ref="EF38:EF69" si="175">EF37</f>
        <v>2</v>
      </c>
      <c r="EG38" s="54">
        <f t="shared" ref="EG38:EN38" si="176">EG37</f>
        <v>5</v>
      </c>
      <c r="EH38" s="54">
        <f t="shared" si="176"/>
        <v>2</v>
      </c>
      <c r="EI38" s="54">
        <f t="shared" si="176"/>
        <v>5</v>
      </c>
      <c r="EJ38" s="54">
        <f t="shared" si="176"/>
        <v>2</v>
      </c>
      <c r="EK38" s="54">
        <f t="shared" si="176"/>
        <v>5</v>
      </c>
      <c r="EL38" s="54">
        <f t="shared" si="176"/>
        <v>2</v>
      </c>
      <c r="EM38" s="54">
        <f t="shared" si="176"/>
        <v>5</v>
      </c>
      <c r="EN38" s="54">
        <f t="shared" si="176"/>
        <v>2</v>
      </c>
      <c r="EO38" s="54">
        <f t="shared" si="171"/>
        <v>2</v>
      </c>
      <c r="EP38" s="54">
        <f t="shared" si="172"/>
        <v>2</v>
      </c>
    </row>
    <row r="39" spans="1:146" x14ac:dyDescent="0.2">
      <c r="B39" t="s">
        <v>230</v>
      </c>
      <c r="C39" s="54">
        <f t="shared" si="9"/>
        <v>45474</v>
      </c>
      <c r="D39" s="54">
        <f t="shared" si="1"/>
        <v>1</v>
      </c>
      <c r="E39" s="54">
        <f t="shared" si="10"/>
        <v>4</v>
      </c>
      <c r="F39" s="54">
        <f t="shared" si="11"/>
        <v>2</v>
      </c>
      <c r="G39" s="54">
        <f t="shared" si="12"/>
        <v>5</v>
      </c>
      <c r="H39" s="54">
        <f t="shared" si="13"/>
        <v>2</v>
      </c>
      <c r="I39" s="54">
        <f t="shared" si="14"/>
        <v>5</v>
      </c>
      <c r="J39" s="54">
        <f t="shared" si="15"/>
        <v>2</v>
      </c>
      <c r="K39" s="54">
        <f t="shared" si="16"/>
        <v>5</v>
      </c>
      <c r="L39" s="54">
        <f t="shared" si="17"/>
        <v>2</v>
      </c>
      <c r="M39" s="54">
        <f t="shared" si="18"/>
        <v>5</v>
      </c>
      <c r="N39" s="54">
        <f t="shared" si="19"/>
        <v>2</v>
      </c>
      <c r="O39" s="54">
        <f t="shared" si="20"/>
        <v>5</v>
      </c>
      <c r="P39" s="54">
        <f t="shared" si="21"/>
        <v>2</v>
      </c>
      <c r="Q39" s="54">
        <f t="shared" si="22"/>
        <v>5</v>
      </c>
      <c r="R39" s="54">
        <f t="shared" si="23"/>
        <v>2</v>
      </c>
      <c r="S39" s="54">
        <f t="shared" si="24"/>
        <v>5</v>
      </c>
      <c r="T39" s="54">
        <f t="shared" si="25"/>
        <v>2</v>
      </c>
      <c r="U39" s="54">
        <f t="shared" si="26"/>
        <v>5</v>
      </c>
      <c r="V39" s="54">
        <f t="shared" si="27"/>
        <v>2</v>
      </c>
      <c r="W39" s="54">
        <f t="shared" si="28"/>
        <v>5</v>
      </c>
      <c r="X39" s="54">
        <f t="shared" si="29"/>
        <v>2</v>
      </c>
      <c r="Y39" s="54">
        <f t="shared" si="30"/>
        <v>5</v>
      </c>
      <c r="Z39" s="54">
        <f t="shared" si="31"/>
        <v>2</v>
      </c>
      <c r="AA39" s="54">
        <f t="shared" si="32"/>
        <v>5</v>
      </c>
      <c r="AB39" s="54">
        <f t="shared" si="33"/>
        <v>2</v>
      </c>
      <c r="AC39" s="54">
        <f t="shared" si="34"/>
        <v>5</v>
      </c>
      <c r="AD39" s="54">
        <f t="shared" si="35"/>
        <v>2</v>
      </c>
      <c r="AE39" s="54">
        <f t="shared" si="36"/>
        <v>5</v>
      </c>
      <c r="AF39" s="54">
        <f t="shared" si="37"/>
        <v>2</v>
      </c>
      <c r="AG39" s="54">
        <f t="shared" si="38"/>
        <v>5</v>
      </c>
      <c r="AH39" s="54">
        <f t="shared" si="39"/>
        <v>2</v>
      </c>
      <c r="AI39" s="54">
        <f t="shared" si="40"/>
        <v>5</v>
      </c>
      <c r="AJ39" s="54">
        <f t="shared" si="41"/>
        <v>2</v>
      </c>
      <c r="AK39" s="54">
        <f t="shared" si="42"/>
        <v>5</v>
      </c>
      <c r="AL39" s="54">
        <f t="shared" si="43"/>
        <v>2</v>
      </c>
      <c r="AM39" s="54">
        <f t="shared" si="44"/>
        <v>5</v>
      </c>
      <c r="AN39" s="54">
        <f t="shared" si="45"/>
        <v>2</v>
      </c>
      <c r="AO39" s="54">
        <f t="shared" si="46"/>
        <v>5</v>
      </c>
      <c r="AP39" s="54">
        <f t="shared" si="47"/>
        <v>2</v>
      </c>
      <c r="AQ39" s="54">
        <f t="shared" si="48"/>
        <v>5</v>
      </c>
      <c r="AR39" s="54">
        <f t="shared" si="49"/>
        <v>2</v>
      </c>
      <c r="AS39" s="54">
        <f t="shared" si="50"/>
        <v>5</v>
      </c>
      <c r="AT39" s="54">
        <f t="shared" si="51"/>
        <v>2</v>
      </c>
      <c r="AU39" s="54">
        <f t="shared" si="52"/>
        <v>5</v>
      </c>
      <c r="AV39" s="54">
        <f t="shared" si="53"/>
        <v>2</v>
      </c>
      <c r="AW39" s="54">
        <f t="shared" si="54"/>
        <v>5</v>
      </c>
      <c r="AX39" s="54">
        <f t="shared" si="55"/>
        <v>2</v>
      </c>
      <c r="AY39" s="54">
        <f t="shared" si="56"/>
        <v>5</v>
      </c>
      <c r="AZ39" s="54">
        <f t="shared" si="57"/>
        <v>2</v>
      </c>
      <c r="BA39" s="54">
        <f t="shared" si="58"/>
        <v>5</v>
      </c>
      <c r="BB39" s="54">
        <f t="shared" si="59"/>
        <v>2</v>
      </c>
      <c r="BC39" s="54">
        <f t="shared" si="60"/>
        <v>5</v>
      </c>
      <c r="BD39" s="54">
        <f t="shared" si="61"/>
        <v>2</v>
      </c>
      <c r="BE39" s="54">
        <f t="shared" si="62"/>
        <v>5</v>
      </c>
      <c r="BF39" s="54">
        <f t="shared" si="63"/>
        <v>2</v>
      </c>
      <c r="BG39" s="54">
        <f t="shared" si="64"/>
        <v>5</v>
      </c>
      <c r="BH39" s="54">
        <f t="shared" si="65"/>
        <v>2</v>
      </c>
      <c r="BI39" s="54">
        <f t="shared" si="66"/>
        <v>5</v>
      </c>
      <c r="BJ39" s="54">
        <f t="shared" si="67"/>
        <v>2</v>
      </c>
      <c r="BK39" s="54">
        <f t="shared" si="68"/>
        <v>5</v>
      </c>
      <c r="BL39" s="54">
        <f t="shared" si="69"/>
        <v>2</v>
      </c>
      <c r="BM39" s="54">
        <f t="shared" si="70"/>
        <v>5</v>
      </c>
      <c r="BN39" s="54">
        <f t="shared" si="71"/>
        <v>2</v>
      </c>
      <c r="BO39" s="54">
        <f t="shared" si="72"/>
        <v>5</v>
      </c>
      <c r="BP39" s="54">
        <f t="shared" si="73"/>
        <v>2</v>
      </c>
      <c r="BQ39" s="54">
        <f t="shared" si="74"/>
        <v>5</v>
      </c>
      <c r="BR39" s="54">
        <f t="shared" si="75"/>
        <v>2</v>
      </c>
      <c r="BS39" s="54">
        <f t="shared" si="76"/>
        <v>5</v>
      </c>
      <c r="BT39" s="54">
        <f t="shared" si="77"/>
        <v>2</v>
      </c>
      <c r="BU39" s="54">
        <f t="shared" si="78"/>
        <v>5</v>
      </c>
      <c r="BV39" s="54">
        <f t="shared" si="79"/>
        <v>2</v>
      </c>
      <c r="BW39" s="54">
        <f t="shared" si="80"/>
        <v>5</v>
      </c>
      <c r="BX39" s="54">
        <f t="shared" si="81"/>
        <v>2</v>
      </c>
      <c r="BY39" s="54">
        <f t="shared" si="82"/>
        <v>5</v>
      </c>
      <c r="BZ39" s="54">
        <f t="shared" si="83"/>
        <v>2</v>
      </c>
      <c r="CA39" s="54">
        <f t="shared" si="84"/>
        <v>5</v>
      </c>
      <c r="CB39" s="54">
        <f t="shared" si="85"/>
        <v>2</v>
      </c>
      <c r="CC39" s="54">
        <f t="shared" si="86"/>
        <v>5</v>
      </c>
      <c r="CD39" s="54">
        <f t="shared" si="87"/>
        <v>2</v>
      </c>
      <c r="CE39" s="54">
        <f t="shared" si="88"/>
        <v>5</v>
      </c>
      <c r="CF39" s="54">
        <f t="shared" si="89"/>
        <v>2</v>
      </c>
      <c r="CG39" s="54">
        <f t="shared" si="90"/>
        <v>5</v>
      </c>
      <c r="CH39" s="54">
        <f t="shared" si="91"/>
        <v>2</v>
      </c>
      <c r="CI39" s="54">
        <f t="shared" si="92"/>
        <v>5</v>
      </c>
      <c r="CJ39" s="54">
        <f t="shared" si="93"/>
        <v>2</v>
      </c>
      <c r="CK39" s="54">
        <f t="shared" si="94"/>
        <v>5</v>
      </c>
      <c r="CL39" s="54">
        <f t="shared" si="95"/>
        <v>2</v>
      </c>
      <c r="CM39" s="54">
        <f t="shared" si="96"/>
        <v>5</v>
      </c>
      <c r="CN39" s="54">
        <f t="shared" si="97"/>
        <v>2</v>
      </c>
      <c r="CO39" s="54">
        <f t="shared" si="98"/>
        <v>5</v>
      </c>
      <c r="CP39" s="54">
        <f t="shared" si="99"/>
        <v>2</v>
      </c>
      <c r="CQ39" s="54">
        <f t="shared" si="100"/>
        <v>5</v>
      </c>
      <c r="CR39" s="54">
        <f t="shared" si="101"/>
        <v>2</v>
      </c>
      <c r="CS39" s="54">
        <f t="shared" si="102"/>
        <v>5</v>
      </c>
      <c r="CT39" s="54">
        <f t="shared" si="103"/>
        <v>2</v>
      </c>
      <c r="CU39" s="54">
        <f t="shared" si="104"/>
        <v>5</v>
      </c>
      <c r="CV39" s="54">
        <f t="shared" si="105"/>
        <v>2</v>
      </c>
      <c r="CW39" s="54">
        <f t="shared" si="106"/>
        <v>5</v>
      </c>
      <c r="CX39" s="54">
        <f t="shared" si="107"/>
        <v>2</v>
      </c>
      <c r="CY39" s="54">
        <f t="shared" si="108"/>
        <v>5</v>
      </c>
      <c r="CZ39" s="54">
        <f t="shared" si="109"/>
        <v>2</v>
      </c>
      <c r="DA39" s="54">
        <f t="shared" si="110"/>
        <v>5</v>
      </c>
      <c r="DB39" s="54">
        <f t="shared" si="111"/>
        <v>2</v>
      </c>
      <c r="DC39" s="54">
        <f t="shared" si="112"/>
        <v>5</v>
      </c>
      <c r="DD39" s="54">
        <f t="shared" si="113"/>
        <v>2</v>
      </c>
      <c r="DE39" s="54">
        <f t="shared" si="114"/>
        <v>5</v>
      </c>
      <c r="DF39" s="54">
        <f t="shared" si="115"/>
        <v>2</v>
      </c>
      <c r="DG39" s="54">
        <f t="shared" si="116"/>
        <v>5</v>
      </c>
      <c r="DH39" s="54">
        <f t="shared" si="117"/>
        <v>2</v>
      </c>
      <c r="DI39" s="54">
        <f t="shared" si="118"/>
        <v>5</v>
      </c>
      <c r="DJ39" s="54">
        <f t="shared" si="119"/>
        <v>2</v>
      </c>
      <c r="DK39" s="54">
        <f t="shared" si="120"/>
        <v>5</v>
      </c>
      <c r="DL39" s="54">
        <f t="shared" si="121"/>
        <v>2</v>
      </c>
      <c r="DM39" s="54">
        <f t="shared" si="122"/>
        <v>5</v>
      </c>
      <c r="DN39" s="54">
        <f t="shared" si="123"/>
        <v>2</v>
      </c>
      <c r="DO39" s="54">
        <f t="shared" si="124"/>
        <v>5</v>
      </c>
      <c r="DP39" s="54">
        <f t="shared" si="125"/>
        <v>2</v>
      </c>
      <c r="DQ39" s="54">
        <f t="shared" si="126"/>
        <v>5</v>
      </c>
      <c r="DR39" s="54">
        <f t="shared" si="127"/>
        <v>2</v>
      </c>
      <c r="DS39" s="54">
        <f t="shared" si="128"/>
        <v>5</v>
      </c>
      <c r="DT39" s="54">
        <f t="shared" si="129"/>
        <v>2</v>
      </c>
      <c r="DU39" s="54">
        <f t="shared" si="130"/>
        <v>5</v>
      </c>
      <c r="DV39" s="54">
        <f t="shared" si="131"/>
        <v>2</v>
      </c>
      <c r="DW39" s="54">
        <f t="shared" si="132"/>
        <v>5</v>
      </c>
      <c r="DX39" s="54">
        <f t="shared" si="133"/>
        <v>2</v>
      </c>
      <c r="DY39" s="54">
        <f t="shared" si="134"/>
        <v>5</v>
      </c>
      <c r="DZ39" s="54">
        <f t="shared" si="135"/>
        <v>2</v>
      </c>
      <c r="EA39" s="54">
        <f t="shared" si="134"/>
        <v>5</v>
      </c>
      <c r="EB39" s="54">
        <f t="shared" si="135"/>
        <v>2</v>
      </c>
      <c r="EC39" s="54">
        <f t="shared" si="135"/>
        <v>5</v>
      </c>
      <c r="ED39" s="54">
        <f t="shared" si="173"/>
        <v>2</v>
      </c>
      <c r="EE39" s="54">
        <f t="shared" si="174"/>
        <v>5</v>
      </c>
      <c r="EF39" s="54">
        <f t="shared" si="175"/>
        <v>2</v>
      </c>
      <c r="EG39" s="54">
        <f t="shared" ref="EG39:EN39" si="177">EG38</f>
        <v>5</v>
      </c>
      <c r="EH39" s="54">
        <f t="shared" si="177"/>
        <v>2</v>
      </c>
      <c r="EI39" s="54">
        <f t="shared" si="177"/>
        <v>5</v>
      </c>
      <c r="EJ39" s="54">
        <f t="shared" si="177"/>
        <v>2</v>
      </c>
      <c r="EK39" s="54">
        <f t="shared" si="177"/>
        <v>5</v>
      </c>
      <c r="EL39" s="54">
        <f t="shared" si="177"/>
        <v>2</v>
      </c>
      <c r="EM39" s="54">
        <f t="shared" si="177"/>
        <v>5</v>
      </c>
      <c r="EN39" s="54">
        <f t="shared" si="177"/>
        <v>2</v>
      </c>
      <c r="EO39" s="54">
        <f t="shared" si="171"/>
        <v>2</v>
      </c>
      <c r="EP39" s="54">
        <f t="shared" si="172"/>
        <v>2</v>
      </c>
    </row>
    <row r="40" spans="1:146" x14ac:dyDescent="0.2">
      <c r="B40" t="s">
        <v>230</v>
      </c>
      <c r="C40" s="54">
        <f t="shared" si="9"/>
        <v>45474</v>
      </c>
      <c r="D40" s="54">
        <f t="shared" si="1"/>
        <v>1</v>
      </c>
      <c r="E40" s="54">
        <f t="shared" si="10"/>
        <v>4</v>
      </c>
      <c r="F40" s="54">
        <f t="shared" si="11"/>
        <v>2</v>
      </c>
      <c r="G40" s="54">
        <f t="shared" si="12"/>
        <v>5</v>
      </c>
      <c r="H40" s="54">
        <f t="shared" si="13"/>
        <v>2</v>
      </c>
      <c r="I40" s="54">
        <f t="shared" si="14"/>
        <v>5</v>
      </c>
      <c r="J40" s="54">
        <f t="shared" si="15"/>
        <v>2</v>
      </c>
      <c r="K40" s="54">
        <f t="shared" si="16"/>
        <v>5</v>
      </c>
      <c r="L40" s="54">
        <f t="shared" si="17"/>
        <v>2</v>
      </c>
      <c r="M40" s="54">
        <f t="shared" si="18"/>
        <v>5</v>
      </c>
      <c r="N40" s="54">
        <f t="shared" si="19"/>
        <v>2</v>
      </c>
      <c r="O40" s="54">
        <f t="shared" si="20"/>
        <v>5</v>
      </c>
      <c r="P40" s="54">
        <f t="shared" si="21"/>
        <v>2</v>
      </c>
      <c r="Q40" s="54">
        <f t="shared" si="22"/>
        <v>5</v>
      </c>
      <c r="R40" s="54">
        <f t="shared" si="23"/>
        <v>2</v>
      </c>
      <c r="S40" s="54">
        <f t="shared" si="24"/>
        <v>5</v>
      </c>
      <c r="T40" s="54">
        <f t="shared" si="25"/>
        <v>2</v>
      </c>
      <c r="U40" s="54">
        <f t="shared" si="26"/>
        <v>5</v>
      </c>
      <c r="V40" s="54">
        <f t="shared" si="27"/>
        <v>2</v>
      </c>
      <c r="W40" s="54">
        <f t="shared" si="28"/>
        <v>5</v>
      </c>
      <c r="X40" s="54">
        <f t="shared" si="29"/>
        <v>2</v>
      </c>
      <c r="Y40" s="54">
        <f t="shared" si="30"/>
        <v>5</v>
      </c>
      <c r="Z40" s="54">
        <f t="shared" si="31"/>
        <v>2</v>
      </c>
      <c r="AA40" s="54">
        <f t="shared" si="32"/>
        <v>5</v>
      </c>
      <c r="AB40" s="54">
        <f t="shared" si="33"/>
        <v>2</v>
      </c>
      <c r="AC40" s="54">
        <f t="shared" si="34"/>
        <v>5</v>
      </c>
      <c r="AD40" s="54">
        <f t="shared" si="35"/>
        <v>2</v>
      </c>
      <c r="AE40" s="54">
        <f t="shared" si="36"/>
        <v>5</v>
      </c>
      <c r="AF40" s="54">
        <f t="shared" si="37"/>
        <v>2</v>
      </c>
      <c r="AG40" s="54">
        <f t="shared" si="38"/>
        <v>5</v>
      </c>
      <c r="AH40" s="54">
        <f t="shared" si="39"/>
        <v>2</v>
      </c>
      <c r="AI40" s="54">
        <f t="shared" si="40"/>
        <v>5</v>
      </c>
      <c r="AJ40" s="54">
        <f t="shared" si="41"/>
        <v>2</v>
      </c>
      <c r="AK40" s="54">
        <f t="shared" si="42"/>
        <v>5</v>
      </c>
      <c r="AL40" s="54">
        <f t="shared" si="43"/>
        <v>2</v>
      </c>
      <c r="AM40" s="54">
        <f t="shared" si="44"/>
        <v>5</v>
      </c>
      <c r="AN40" s="54">
        <f t="shared" si="45"/>
        <v>2</v>
      </c>
      <c r="AO40" s="54">
        <f t="shared" si="46"/>
        <v>5</v>
      </c>
      <c r="AP40" s="54">
        <f t="shared" si="47"/>
        <v>2</v>
      </c>
      <c r="AQ40" s="54">
        <f t="shared" si="48"/>
        <v>5</v>
      </c>
      <c r="AR40" s="54">
        <f t="shared" si="49"/>
        <v>2</v>
      </c>
      <c r="AS40" s="54">
        <f t="shared" si="50"/>
        <v>5</v>
      </c>
      <c r="AT40" s="54">
        <f t="shared" si="51"/>
        <v>2</v>
      </c>
      <c r="AU40" s="54">
        <f t="shared" si="52"/>
        <v>5</v>
      </c>
      <c r="AV40" s="54">
        <f t="shared" si="53"/>
        <v>2</v>
      </c>
      <c r="AW40" s="54">
        <f t="shared" si="54"/>
        <v>5</v>
      </c>
      <c r="AX40" s="54">
        <f t="shared" si="55"/>
        <v>2</v>
      </c>
      <c r="AY40" s="54">
        <f t="shared" si="56"/>
        <v>5</v>
      </c>
      <c r="AZ40" s="54">
        <f t="shared" si="57"/>
        <v>2</v>
      </c>
      <c r="BA40" s="54">
        <f t="shared" si="58"/>
        <v>5</v>
      </c>
      <c r="BB40" s="54">
        <f t="shared" si="59"/>
        <v>2</v>
      </c>
      <c r="BC40" s="54">
        <f t="shared" si="60"/>
        <v>5</v>
      </c>
      <c r="BD40" s="54">
        <f t="shared" si="61"/>
        <v>2</v>
      </c>
      <c r="BE40" s="54">
        <f t="shared" si="62"/>
        <v>5</v>
      </c>
      <c r="BF40" s="54">
        <f t="shared" si="63"/>
        <v>2</v>
      </c>
      <c r="BG40" s="54">
        <f t="shared" si="64"/>
        <v>5</v>
      </c>
      <c r="BH40" s="54">
        <f t="shared" si="65"/>
        <v>2</v>
      </c>
      <c r="BI40" s="54">
        <f t="shared" si="66"/>
        <v>5</v>
      </c>
      <c r="BJ40" s="54">
        <f t="shared" si="67"/>
        <v>2</v>
      </c>
      <c r="BK40" s="54">
        <f t="shared" si="68"/>
        <v>5</v>
      </c>
      <c r="BL40" s="54">
        <f t="shared" si="69"/>
        <v>2</v>
      </c>
      <c r="BM40" s="54">
        <f t="shared" si="70"/>
        <v>5</v>
      </c>
      <c r="BN40" s="54">
        <f t="shared" si="71"/>
        <v>2</v>
      </c>
      <c r="BO40" s="54">
        <f t="shared" si="72"/>
        <v>5</v>
      </c>
      <c r="BP40" s="54">
        <f t="shared" si="73"/>
        <v>2</v>
      </c>
      <c r="BQ40" s="54">
        <f t="shared" si="74"/>
        <v>5</v>
      </c>
      <c r="BR40" s="54">
        <f t="shared" si="75"/>
        <v>2</v>
      </c>
      <c r="BS40" s="54">
        <f t="shared" si="76"/>
        <v>5</v>
      </c>
      <c r="BT40" s="54">
        <f t="shared" si="77"/>
        <v>2</v>
      </c>
      <c r="BU40" s="54">
        <f t="shared" si="78"/>
        <v>5</v>
      </c>
      <c r="BV40" s="54">
        <f t="shared" si="79"/>
        <v>2</v>
      </c>
      <c r="BW40" s="54">
        <f t="shared" si="80"/>
        <v>5</v>
      </c>
      <c r="BX40" s="54">
        <f t="shared" si="81"/>
        <v>2</v>
      </c>
      <c r="BY40" s="54">
        <f t="shared" si="82"/>
        <v>5</v>
      </c>
      <c r="BZ40" s="54">
        <f t="shared" si="83"/>
        <v>2</v>
      </c>
      <c r="CA40" s="54">
        <f t="shared" si="84"/>
        <v>5</v>
      </c>
      <c r="CB40" s="54">
        <f t="shared" si="85"/>
        <v>2</v>
      </c>
      <c r="CC40" s="54">
        <f t="shared" si="86"/>
        <v>5</v>
      </c>
      <c r="CD40" s="54">
        <f t="shared" si="87"/>
        <v>2</v>
      </c>
      <c r="CE40" s="54">
        <f t="shared" si="88"/>
        <v>5</v>
      </c>
      <c r="CF40" s="54">
        <f t="shared" si="89"/>
        <v>2</v>
      </c>
      <c r="CG40" s="54">
        <f t="shared" si="90"/>
        <v>5</v>
      </c>
      <c r="CH40" s="54">
        <f t="shared" si="91"/>
        <v>2</v>
      </c>
      <c r="CI40" s="54">
        <f t="shared" si="92"/>
        <v>5</v>
      </c>
      <c r="CJ40" s="54">
        <f t="shared" si="93"/>
        <v>2</v>
      </c>
      <c r="CK40" s="54">
        <f t="shared" si="94"/>
        <v>5</v>
      </c>
      <c r="CL40" s="54">
        <f t="shared" si="95"/>
        <v>2</v>
      </c>
      <c r="CM40" s="54">
        <f t="shared" si="96"/>
        <v>5</v>
      </c>
      <c r="CN40" s="54">
        <f t="shared" si="97"/>
        <v>2</v>
      </c>
      <c r="CO40" s="54">
        <f t="shared" si="98"/>
        <v>5</v>
      </c>
      <c r="CP40" s="54">
        <f t="shared" si="99"/>
        <v>2</v>
      </c>
      <c r="CQ40" s="54">
        <f t="shared" si="100"/>
        <v>5</v>
      </c>
      <c r="CR40" s="54">
        <f t="shared" si="101"/>
        <v>2</v>
      </c>
      <c r="CS40" s="54">
        <f t="shared" si="102"/>
        <v>5</v>
      </c>
      <c r="CT40" s="54">
        <f t="shared" si="103"/>
        <v>2</v>
      </c>
      <c r="CU40" s="54">
        <f t="shared" si="104"/>
        <v>5</v>
      </c>
      <c r="CV40" s="54">
        <f t="shared" si="105"/>
        <v>2</v>
      </c>
      <c r="CW40" s="54">
        <f t="shared" si="106"/>
        <v>5</v>
      </c>
      <c r="CX40" s="54">
        <f t="shared" si="107"/>
        <v>2</v>
      </c>
      <c r="CY40" s="54">
        <f t="shared" si="108"/>
        <v>5</v>
      </c>
      <c r="CZ40" s="54">
        <f t="shared" si="109"/>
        <v>2</v>
      </c>
      <c r="DA40" s="54">
        <f t="shared" si="110"/>
        <v>5</v>
      </c>
      <c r="DB40" s="54">
        <f t="shared" si="111"/>
        <v>2</v>
      </c>
      <c r="DC40" s="54">
        <f t="shared" si="112"/>
        <v>5</v>
      </c>
      <c r="DD40" s="54">
        <f t="shared" si="113"/>
        <v>2</v>
      </c>
      <c r="DE40" s="54">
        <f t="shared" si="114"/>
        <v>5</v>
      </c>
      <c r="DF40" s="54">
        <f t="shared" si="115"/>
        <v>2</v>
      </c>
      <c r="DG40" s="54">
        <f t="shared" si="116"/>
        <v>5</v>
      </c>
      <c r="DH40" s="54">
        <f t="shared" si="117"/>
        <v>2</v>
      </c>
      <c r="DI40" s="54">
        <f t="shared" si="118"/>
        <v>5</v>
      </c>
      <c r="DJ40" s="54">
        <f t="shared" si="119"/>
        <v>2</v>
      </c>
      <c r="DK40" s="54">
        <f t="shared" si="120"/>
        <v>5</v>
      </c>
      <c r="DL40" s="54">
        <f t="shared" si="121"/>
        <v>2</v>
      </c>
      <c r="DM40" s="54">
        <f t="shared" si="122"/>
        <v>5</v>
      </c>
      <c r="DN40" s="54">
        <f t="shared" si="123"/>
        <v>2</v>
      </c>
      <c r="DO40" s="54">
        <f t="shared" si="124"/>
        <v>5</v>
      </c>
      <c r="DP40" s="54">
        <f t="shared" si="125"/>
        <v>2</v>
      </c>
      <c r="DQ40" s="54">
        <f t="shared" si="126"/>
        <v>5</v>
      </c>
      <c r="DR40" s="54">
        <f t="shared" si="127"/>
        <v>2</v>
      </c>
      <c r="DS40" s="54">
        <f t="shared" si="128"/>
        <v>5</v>
      </c>
      <c r="DT40" s="54">
        <f t="shared" si="129"/>
        <v>2</v>
      </c>
      <c r="DU40" s="54">
        <f t="shared" si="130"/>
        <v>5</v>
      </c>
      <c r="DV40" s="54">
        <f t="shared" si="131"/>
        <v>2</v>
      </c>
      <c r="DW40" s="54">
        <f t="shared" si="132"/>
        <v>5</v>
      </c>
      <c r="DX40" s="54">
        <f t="shared" si="133"/>
        <v>2</v>
      </c>
      <c r="DY40" s="54">
        <f t="shared" si="134"/>
        <v>5</v>
      </c>
      <c r="DZ40" s="54">
        <f t="shared" si="135"/>
        <v>2</v>
      </c>
      <c r="EA40" s="54">
        <f t="shared" si="134"/>
        <v>5</v>
      </c>
      <c r="EB40" s="54">
        <f t="shared" si="135"/>
        <v>2</v>
      </c>
      <c r="EC40" s="54">
        <f t="shared" si="135"/>
        <v>5</v>
      </c>
      <c r="ED40" s="54">
        <f t="shared" si="173"/>
        <v>2</v>
      </c>
      <c r="EE40" s="54">
        <f t="shared" si="174"/>
        <v>5</v>
      </c>
      <c r="EF40" s="54">
        <f t="shared" si="175"/>
        <v>2</v>
      </c>
      <c r="EG40" s="54">
        <f t="shared" ref="EG40:EN40" si="178">EG39</f>
        <v>5</v>
      </c>
      <c r="EH40" s="54">
        <f t="shared" si="178"/>
        <v>2</v>
      </c>
      <c r="EI40" s="54">
        <f t="shared" si="178"/>
        <v>5</v>
      </c>
      <c r="EJ40" s="54">
        <f t="shared" si="178"/>
        <v>2</v>
      </c>
      <c r="EK40" s="54">
        <f t="shared" si="178"/>
        <v>5</v>
      </c>
      <c r="EL40" s="54">
        <f t="shared" si="178"/>
        <v>2</v>
      </c>
      <c r="EM40" s="54">
        <f t="shared" si="178"/>
        <v>5</v>
      </c>
      <c r="EN40" s="54">
        <f t="shared" si="178"/>
        <v>2</v>
      </c>
      <c r="EO40" s="54">
        <f t="shared" si="171"/>
        <v>2</v>
      </c>
      <c r="EP40" s="54">
        <f t="shared" si="172"/>
        <v>2</v>
      </c>
    </row>
    <row r="41" spans="1:146" x14ac:dyDescent="0.2">
      <c r="A41" s="54"/>
      <c r="B41" t="s">
        <v>230</v>
      </c>
      <c r="C41" s="54">
        <f t="shared" si="9"/>
        <v>45474</v>
      </c>
      <c r="D41" s="54">
        <f t="shared" si="1"/>
        <v>1</v>
      </c>
      <c r="E41" s="54">
        <f t="shared" si="10"/>
        <v>4</v>
      </c>
      <c r="F41" s="54">
        <f t="shared" si="11"/>
        <v>2</v>
      </c>
      <c r="G41" s="54">
        <f t="shared" si="12"/>
        <v>5</v>
      </c>
      <c r="H41" s="54">
        <f t="shared" si="13"/>
        <v>2</v>
      </c>
      <c r="I41" s="54">
        <f t="shared" si="14"/>
        <v>5</v>
      </c>
      <c r="J41" s="54">
        <f t="shared" si="15"/>
        <v>2</v>
      </c>
      <c r="K41" s="54">
        <f t="shared" si="16"/>
        <v>5</v>
      </c>
      <c r="L41" s="54">
        <f t="shared" si="17"/>
        <v>2</v>
      </c>
      <c r="M41" s="54">
        <f t="shared" si="18"/>
        <v>5</v>
      </c>
      <c r="N41" s="54">
        <f t="shared" si="19"/>
        <v>2</v>
      </c>
      <c r="O41" s="54">
        <f t="shared" si="20"/>
        <v>5</v>
      </c>
      <c r="P41" s="54">
        <f t="shared" si="21"/>
        <v>2</v>
      </c>
      <c r="Q41" s="54">
        <f t="shared" si="22"/>
        <v>5</v>
      </c>
      <c r="R41" s="54">
        <f t="shared" si="23"/>
        <v>2</v>
      </c>
      <c r="S41" s="54">
        <f t="shared" si="24"/>
        <v>5</v>
      </c>
      <c r="T41" s="54">
        <f t="shared" si="25"/>
        <v>2</v>
      </c>
      <c r="U41" s="54">
        <f t="shared" si="26"/>
        <v>5</v>
      </c>
      <c r="V41" s="54">
        <f t="shared" si="27"/>
        <v>2</v>
      </c>
      <c r="W41" s="54">
        <f t="shared" si="28"/>
        <v>5</v>
      </c>
      <c r="X41" s="54">
        <f t="shared" si="29"/>
        <v>2</v>
      </c>
      <c r="Y41" s="54">
        <f t="shared" si="30"/>
        <v>5</v>
      </c>
      <c r="Z41" s="54">
        <f t="shared" si="31"/>
        <v>2</v>
      </c>
      <c r="AA41" s="54">
        <f t="shared" si="32"/>
        <v>5</v>
      </c>
      <c r="AB41" s="54">
        <f t="shared" si="33"/>
        <v>2</v>
      </c>
      <c r="AC41" s="54">
        <f t="shared" si="34"/>
        <v>5</v>
      </c>
      <c r="AD41" s="54">
        <f t="shared" si="35"/>
        <v>2</v>
      </c>
      <c r="AE41" s="54">
        <f t="shared" si="36"/>
        <v>5</v>
      </c>
      <c r="AF41" s="54">
        <f t="shared" si="37"/>
        <v>2</v>
      </c>
      <c r="AG41" s="54">
        <f t="shared" si="38"/>
        <v>5</v>
      </c>
      <c r="AH41" s="54">
        <f t="shared" si="39"/>
        <v>2</v>
      </c>
      <c r="AI41" s="54">
        <f t="shared" si="40"/>
        <v>5</v>
      </c>
      <c r="AJ41" s="54">
        <f t="shared" si="41"/>
        <v>2</v>
      </c>
      <c r="AK41" s="54">
        <f t="shared" si="42"/>
        <v>5</v>
      </c>
      <c r="AL41" s="54">
        <f t="shared" si="43"/>
        <v>2</v>
      </c>
      <c r="AM41" s="54">
        <f t="shared" si="44"/>
        <v>5</v>
      </c>
      <c r="AN41" s="54">
        <f t="shared" si="45"/>
        <v>2</v>
      </c>
      <c r="AO41" s="54">
        <f t="shared" si="46"/>
        <v>5</v>
      </c>
      <c r="AP41" s="54">
        <f t="shared" si="47"/>
        <v>2</v>
      </c>
      <c r="AQ41" s="54">
        <f t="shared" si="48"/>
        <v>5</v>
      </c>
      <c r="AR41" s="54">
        <f t="shared" si="49"/>
        <v>2</v>
      </c>
      <c r="AS41" s="54">
        <f t="shared" si="50"/>
        <v>5</v>
      </c>
      <c r="AT41" s="54">
        <f t="shared" si="51"/>
        <v>2</v>
      </c>
      <c r="AU41" s="54">
        <f t="shared" si="52"/>
        <v>5</v>
      </c>
      <c r="AV41" s="54">
        <f t="shared" si="53"/>
        <v>2</v>
      </c>
      <c r="AW41" s="54">
        <f t="shared" si="54"/>
        <v>5</v>
      </c>
      <c r="AX41" s="54">
        <f t="shared" si="55"/>
        <v>2</v>
      </c>
      <c r="AY41" s="54">
        <f t="shared" si="56"/>
        <v>5</v>
      </c>
      <c r="AZ41" s="54">
        <f t="shared" si="57"/>
        <v>2</v>
      </c>
      <c r="BA41" s="54">
        <f t="shared" si="58"/>
        <v>5</v>
      </c>
      <c r="BB41" s="54">
        <f t="shared" si="59"/>
        <v>2</v>
      </c>
      <c r="BC41" s="54">
        <f t="shared" si="60"/>
        <v>5</v>
      </c>
      <c r="BD41" s="54">
        <f t="shared" si="61"/>
        <v>2</v>
      </c>
      <c r="BE41" s="54">
        <f t="shared" si="62"/>
        <v>5</v>
      </c>
      <c r="BF41" s="54">
        <f t="shared" si="63"/>
        <v>2</v>
      </c>
      <c r="BG41" s="54">
        <f t="shared" si="64"/>
        <v>5</v>
      </c>
      <c r="BH41" s="54">
        <f t="shared" si="65"/>
        <v>2</v>
      </c>
      <c r="BI41" s="54">
        <f t="shared" si="66"/>
        <v>5</v>
      </c>
      <c r="BJ41" s="54">
        <f t="shared" si="67"/>
        <v>2</v>
      </c>
      <c r="BK41" s="54">
        <f t="shared" si="68"/>
        <v>5</v>
      </c>
      <c r="BL41" s="54">
        <f t="shared" si="69"/>
        <v>2</v>
      </c>
      <c r="BM41" s="54">
        <f t="shared" si="70"/>
        <v>5</v>
      </c>
      <c r="BN41" s="54">
        <f t="shared" si="71"/>
        <v>2</v>
      </c>
      <c r="BO41" s="54">
        <f t="shared" si="72"/>
        <v>5</v>
      </c>
      <c r="BP41" s="54">
        <f t="shared" si="73"/>
        <v>2</v>
      </c>
      <c r="BQ41" s="54">
        <f t="shared" si="74"/>
        <v>5</v>
      </c>
      <c r="BR41" s="54">
        <f t="shared" si="75"/>
        <v>2</v>
      </c>
      <c r="BS41" s="54">
        <f t="shared" si="76"/>
        <v>5</v>
      </c>
      <c r="BT41" s="54">
        <f t="shared" si="77"/>
        <v>2</v>
      </c>
      <c r="BU41" s="54">
        <f t="shared" si="78"/>
        <v>5</v>
      </c>
      <c r="BV41" s="54">
        <f t="shared" si="79"/>
        <v>2</v>
      </c>
      <c r="BW41" s="54">
        <f t="shared" si="80"/>
        <v>5</v>
      </c>
      <c r="BX41" s="54">
        <f t="shared" si="81"/>
        <v>2</v>
      </c>
      <c r="BY41" s="54">
        <f t="shared" si="82"/>
        <v>5</v>
      </c>
      <c r="BZ41" s="54">
        <f t="shared" si="83"/>
        <v>2</v>
      </c>
      <c r="CA41" s="54">
        <f t="shared" si="84"/>
        <v>5</v>
      </c>
      <c r="CB41" s="54">
        <f t="shared" si="85"/>
        <v>2</v>
      </c>
      <c r="CC41" s="54">
        <f t="shared" si="86"/>
        <v>5</v>
      </c>
      <c r="CD41" s="54">
        <f t="shared" si="87"/>
        <v>2</v>
      </c>
      <c r="CE41" s="54">
        <f t="shared" si="88"/>
        <v>5</v>
      </c>
      <c r="CF41" s="54">
        <f t="shared" si="89"/>
        <v>2</v>
      </c>
      <c r="CG41" s="54">
        <f t="shared" si="90"/>
        <v>5</v>
      </c>
      <c r="CH41" s="54">
        <f t="shared" si="91"/>
        <v>2</v>
      </c>
      <c r="CI41" s="54">
        <f t="shared" si="92"/>
        <v>5</v>
      </c>
      <c r="CJ41" s="54">
        <f t="shared" si="93"/>
        <v>2</v>
      </c>
      <c r="CK41" s="54">
        <f t="shared" si="94"/>
        <v>5</v>
      </c>
      <c r="CL41" s="54">
        <f t="shared" si="95"/>
        <v>2</v>
      </c>
      <c r="CM41" s="54">
        <f t="shared" si="96"/>
        <v>5</v>
      </c>
      <c r="CN41" s="54">
        <f t="shared" si="97"/>
        <v>2</v>
      </c>
      <c r="CO41" s="54">
        <f t="shared" si="98"/>
        <v>5</v>
      </c>
      <c r="CP41" s="54">
        <f t="shared" si="99"/>
        <v>2</v>
      </c>
      <c r="CQ41" s="54">
        <f t="shared" si="100"/>
        <v>5</v>
      </c>
      <c r="CR41" s="54">
        <f t="shared" si="101"/>
        <v>2</v>
      </c>
      <c r="CS41" s="54">
        <f t="shared" si="102"/>
        <v>5</v>
      </c>
      <c r="CT41" s="54">
        <f t="shared" si="103"/>
        <v>2</v>
      </c>
      <c r="CU41" s="54">
        <f t="shared" si="104"/>
        <v>5</v>
      </c>
      <c r="CV41" s="54">
        <f t="shared" si="105"/>
        <v>2</v>
      </c>
      <c r="CW41" s="54">
        <f t="shared" si="106"/>
        <v>5</v>
      </c>
      <c r="CX41" s="54">
        <f t="shared" si="107"/>
        <v>2</v>
      </c>
      <c r="CY41" s="54">
        <f t="shared" si="108"/>
        <v>5</v>
      </c>
      <c r="CZ41" s="54">
        <f t="shared" si="109"/>
        <v>2</v>
      </c>
      <c r="DA41" s="54">
        <f t="shared" si="110"/>
        <v>5</v>
      </c>
      <c r="DB41" s="54">
        <f t="shared" si="111"/>
        <v>2</v>
      </c>
      <c r="DC41" s="54">
        <f t="shared" si="112"/>
        <v>5</v>
      </c>
      <c r="DD41" s="54">
        <f t="shared" si="113"/>
        <v>2</v>
      </c>
      <c r="DE41" s="54">
        <f t="shared" si="114"/>
        <v>5</v>
      </c>
      <c r="DF41" s="54">
        <f t="shared" si="115"/>
        <v>2</v>
      </c>
      <c r="DG41" s="54">
        <f t="shared" si="116"/>
        <v>5</v>
      </c>
      <c r="DH41" s="54">
        <f t="shared" si="117"/>
        <v>2</v>
      </c>
      <c r="DI41" s="54">
        <f t="shared" si="118"/>
        <v>5</v>
      </c>
      <c r="DJ41" s="54">
        <f t="shared" si="119"/>
        <v>2</v>
      </c>
      <c r="DK41" s="54">
        <f t="shared" si="120"/>
        <v>5</v>
      </c>
      <c r="DL41" s="54">
        <f t="shared" si="121"/>
        <v>2</v>
      </c>
      <c r="DM41" s="54">
        <f t="shared" si="122"/>
        <v>5</v>
      </c>
      <c r="DN41" s="54">
        <f t="shared" si="123"/>
        <v>2</v>
      </c>
      <c r="DO41" s="54">
        <f t="shared" si="124"/>
        <v>5</v>
      </c>
      <c r="DP41" s="54">
        <f t="shared" si="125"/>
        <v>2</v>
      </c>
      <c r="DQ41" s="54">
        <f t="shared" si="126"/>
        <v>5</v>
      </c>
      <c r="DR41" s="54">
        <f t="shared" si="127"/>
        <v>2</v>
      </c>
      <c r="DS41" s="54">
        <f t="shared" si="128"/>
        <v>5</v>
      </c>
      <c r="DT41" s="54">
        <f t="shared" si="129"/>
        <v>2</v>
      </c>
      <c r="DU41" s="54">
        <f t="shared" si="130"/>
        <v>5</v>
      </c>
      <c r="DV41" s="54">
        <f t="shared" si="131"/>
        <v>2</v>
      </c>
      <c r="DW41" s="54">
        <f t="shared" si="132"/>
        <v>5</v>
      </c>
      <c r="DX41" s="54">
        <f t="shared" si="133"/>
        <v>2</v>
      </c>
      <c r="DY41" s="54">
        <f t="shared" si="134"/>
        <v>5</v>
      </c>
      <c r="DZ41" s="54">
        <f t="shared" si="135"/>
        <v>2</v>
      </c>
      <c r="EA41" s="54">
        <f t="shared" si="134"/>
        <v>5</v>
      </c>
      <c r="EB41" s="54">
        <f t="shared" si="135"/>
        <v>2</v>
      </c>
      <c r="EC41" s="54">
        <f t="shared" si="135"/>
        <v>5</v>
      </c>
      <c r="ED41" s="54">
        <f t="shared" si="173"/>
        <v>2</v>
      </c>
      <c r="EE41" s="54">
        <f t="shared" si="174"/>
        <v>5</v>
      </c>
      <c r="EF41" s="54">
        <f t="shared" si="175"/>
        <v>2</v>
      </c>
      <c r="EG41" s="54">
        <f t="shared" ref="EG41:EN41" si="179">EG40</f>
        <v>5</v>
      </c>
      <c r="EH41" s="54">
        <f t="shared" si="179"/>
        <v>2</v>
      </c>
      <c r="EI41" s="54">
        <f t="shared" si="179"/>
        <v>5</v>
      </c>
      <c r="EJ41" s="54">
        <f t="shared" si="179"/>
        <v>2</v>
      </c>
      <c r="EK41" s="54">
        <f t="shared" si="179"/>
        <v>5</v>
      </c>
      <c r="EL41" s="54">
        <f t="shared" si="179"/>
        <v>2</v>
      </c>
      <c r="EM41" s="54">
        <f t="shared" si="179"/>
        <v>5</v>
      </c>
      <c r="EN41" s="54">
        <f t="shared" si="179"/>
        <v>2</v>
      </c>
      <c r="EO41" s="54">
        <f t="shared" si="171"/>
        <v>2</v>
      </c>
      <c r="EP41" s="54">
        <f t="shared" si="172"/>
        <v>2</v>
      </c>
    </row>
    <row r="42" spans="1:146" x14ac:dyDescent="0.2">
      <c r="B42" t="s">
        <v>230</v>
      </c>
      <c r="C42" s="54">
        <f t="shared" si="9"/>
        <v>45474</v>
      </c>
      <c r="D42" s="54">
        <f t="shared" si="1"/>
        <v>1</v>
      </c>
      <c r="E42" s="54">
        <f t="shared" si="10"/>
        <v>4</v>
      </c>
      <c r="F42" s="54">
        <f t="shared" si="11"/>
        <v>2</v>
      </c>
      <c r="G42" s="54">
        <f t="shared" si="12"/>
        <v>5</v>
      </c>
      <c r="H42" s="54">
        <f t="shared" si="13"/>
        <v>2</v>
      </c>
      <c r="I42" s="54">
        <f t="shared" si="14"/>
        <v>5</v>
      </c>
      <c r="J42" s="54">
        <f t="shared" si="15"/>
        <v>2</v>
      </c>
      <c r="K42" s="54">
        <f t="shared" si="16"/>
        <v>5</v>
      </c>
      <c r="L42" s="54">
        <f t="shared" si="17"/>
        <v>2</v>
      </c>
      <c r="M42" s="54">
        <f t="shared" si="18"/>
        <v>5</v>
      </c>
      <c r="N42" s="54">
        <f t="shared" si="19"/>
        <v>2</v>
      </c>
      <c r="O42" s="54">
        <f t="shared" si="20"/>
        <v>5</v>
      </c>
      <c r="P42" s="54">
        <f t="shared" si="21"/>
        <v>2</v>
      </c>
      <c r="Q42" s="54">
        <f t="shared" si="22"/>
        <v>5</v>
      </c>
      <c r="R42" s="54">
        <f t="shared" si="23"/>
        <v>2</v>
      </c>
      <c r="S42" s="54">
        <f t="shared" si="24"/>
        <v>5</v>
      </c>
      <c r="T42" s="54">
        <f t="shared" si="25"/>
        <v>2</v>
      </c>
      <c r="U42" s="54">
        <f t="shared" si="26"/>
        <v>5</v>
      </c>
      <c r="V42" s="54">
        <f t="shared" si="27"/>
        <v>2</v>
      </c>
      <c r="W42" s="54">
        <f t="shared" si="28"/>
        <v>5</v>
      </c>
      <c r="X42" s="54">
        <f t="shared" si="29"/>
        <v>2</v>
      </c>
      <c r="Y42" s="54">
        <f t="shared" si="30"/>
        <v>5</v>
      </c>
      <c r="Z42" s="54">
        <f t="shared" si="31"/>
        <v>2</v>
      </c>
      <c r="AA42" s="54">
        <f t="shared" si="32"/>
        <v>5</v>
      </c>
      <c r="AB42" s="54">
        <f t="shared" si="33"/>
        <v>2</v>
      </c>
      <c r="AC42" s="54">
        <f t="shared" si="34"/>
        <v>5</v>
      </c>
      <c r="AD42" s="54">
        <f t="shared" si="35"/>
        <v>2</v>
      </c>
      <c r="AE42" s="54">
        <f t="shared" si="36"/>
        <v>5</v>
      </c>
      <c r="AF42" s="54">
        <f t="shared" si="37"/>
        <v>2</v>
      </c>
      <c r="AG42" s="54">
        <f t="shared" si="38"/>
        <v>5</v>
      </c>
      <c r="AH42" s="54">
        <f t="shared" si="39"/>
        <v>2</v>
      </c>
      <c r="AI42" s="54">
        <f t="shared" si="40"/>
        <v>5</v>
      </c>
      <c r="AJ42" s="54">
        <f t="shared" si="41"/>
        <v>2</v>
      </c>
      <c r="AK42" s="54">
        <f t="shared" si="42"/>
        <v>5</v>
      </c>
      <c r="AL42" s="54">
        <f t="shared" si="43"/>
        <v>2</v>
      </c>
      <c r="AM42" s="54">
        <f t="shared" si="44"/>
        <v>5</v>
      </c>
      <c r="AN42" s="54">
        <f t="shared" si="45"/>
        <v>2</v>
      </c>
      <c r="AO42" s="54">
        <f t="shared" si="46"/>
        <v>5</v>
      </c>
      <c r="AP42" s="54">
        <f t="shared" si="47"/>
        <v>2</v>
      </c>
      <c r="AQ42" s="54">
        <f t="shared" si="48"/>
        <v>5</v>
      </c>
      <c r="AR42" s="54">
        <f t="shared" si="49"/>
        <v>2</v>
      </c>
      <c r="AS42" s="54">
        <f t="shared" si="50"/>
        <v>5</v>
      </c>
      <c r="AT42" s="54">
        <f t="shared" si="51"/>
        <v>2</v>
      </c>
      <c r="AU42" s="54">
        <f t="shared" si="52"/>
        <v>5</v>
      </c>
      <c r="AV42" s="54">
        <f t="shared" si="53"/>
        <v>2</v>
      </c>
      <c r="AW42" s="54">
        <f t="shared" si="54"/>
        <v>5</v>
      </c>
      <c r="AX42" s="54">
        <f t="shared" si="55"/>
        <v>2</v>
      </c>
      <c r="AY42" s="54">
        <f t="shared" si="56"/>
        <v>5</v>
      </c>
      <c r="AZ42" s="54">
        <f t="shared" si="57"/>
        <v>2</v>
      </c>
      <c r="BA42" s="54">
        <f t="shared" si="58"/>
        <v>5</v>
      </c>
      <c r="BB42" s="54">
        <f t="shared" si="59"/>
        <v>2</v>
      </c>
      <c r="BC42" s="54">
        <f t="shared" si="60"/>
        <v>5</v>
      </c>
      <c r="BD42" s="54">
        <f t="shared" si="61"/>
        <v>2</v>
      </c>
      <c r="BE42" s="54">
        <f t="shared" si="62"/>
        <v>5</v>
      </c>
      <c r="BF42" s="54">
        <f t="shared" si="63"/>
        <v>2</v>
      </c>
      <c r="BG42" s="54">
        <f t="shared" si="64"/>
        <v>5</v>
      </c>
      <c r="BH42" s="54">
        <f t="shared" si="65"/>
        <v>2</v>
      </c>
      <c r="BI42" s="54">
        <f t="shared" si="66"/>
        <v>5</v>
      </c>
      <c r="BJ42" s="54">
        <f t="shared" si="67"/>
        <v>2</v>
      </c>
      <c r="BK42" s="54">
        <f t="shared" si="68"/>
        <v>5</v>
      </c>
      <c r="BL42" s="54">
        <f t="shared" si="69"/>
        <v>2</v>
      </c>
      <c r="BM42" s="54">
        <f t="shared" si="70"/>
        <v>5</v>
      </c>
      <c r="BN42" s="54">
        <f t="shared" si="71"/>
        <v>2</v>
      </c>
      <c r="BO42" s="54">
        <f t="shared" si="72"/>
        <v>5</v>
      </c>
      <c r="BP42" s="54">
        <f t="shared" si="73"/>
        <v>2</v>
      </c>
      <c r="BQ42" s="54">
        <f t="shared" si="74"/>
        <v>5</v>
      </c>
      <c r="BR42" s="54">
        <f t="shared" si="75"/>
        <v>2</v>
      </c>
      <c r="BS42" s="54">
        <f t="shared" si="76"/>
        <v>5</v>
      </c>
      <c r="BT42" s="54">
        <f t="shared" si="77"/>
        <v>2</v>
      </c>
      <c r="BU42" s="54">
        <f t="shared" si="78"/>
        <v>5</v>
      </c>
      <c r="BV42" s="54">
        <f t="shared" si="79"/>
        <v>2</v>
      </c>
      <c r="BW42" s="54">
        <f t="shared" si="80"/>
        <v>5</v>
      </c>
      <c r="BX42" s="54">
        <f t="shared" si="81"/>
        <v>2</v>
      </c>
      <c r="BY42" s="54">
        <f t="shared" si="82"/>
        <v>5</v>
      </c>
      <c r="BZ42" s="54">
        <f t="shared" si="83"/>
        <v>2</v>
      </c>
      <c r="CA42" s="54">
        <f t="shared" si="84"/>
        <v>5</v>
      </c>
      <c r="CB42" s="54">
        <f t="shared" si="85"/>
        <v>2</v>
      </c>
      <c r="CC42" s="54">
        <f t="shared" si="86"/>
        <v>5</v>
      </c>
      <c r="CD42" s="54">
        <f t="shared" si="87"/>
        <v>2</v>
      </c>
      <c r="CE42" s="54">
        <f t="shared" si="88"/>
        <v>5</v>
      </c>
      <c r="CF42" s="54">
        <f t="shared" si="89"/>
        <v>2</v>
      </c>
      <c r="CG42" s="54">
        <f t="shared" si="90"/>
        <v>5</v>
      </c>
      <c r="CH42" s="54">
        <f t="shared" si="91"/>
        <v>2</v>
      </c>
      <c r="CI42" s="54">
        <f t="shared" si="92"/>
        <v>5</v>
      </c>
      <c r="CJ42" s="54">
        <f t="shared" si="93"/>
        <v>2</v>
      </c>
      <c r="CK42" s="54">
        <f t="shared" si="94"/>
        <v>5</v>
      </c>
      <c r="CL42" s="54">
        <f t="shared" si="95"/>
        <v>2</v>
      </c>
      <c r="CM42" s="54">
        <f t="shared" si="96"/>
        <v>5</v>
      </c>
      <c r="CN42" s="54">
        <f t="shared" si="97"/>
        <v>2</v>
      </c>
      <c r="CO42" s="54">
        <f t="shared" si="98"/>
        <v>5</v>
      </c>
      <c r="CP42" s="54">
        <f t="shared" si="99"/>
        <v>2</v>
      </c>
      <c r="CQ42" s="54">
        <f t="shared" si="100"/>
        <v>5</v>
      </c>
      <c r="CR42" s="54">
        <f t="shared" si="101"/>
        <v>2</v>
      </c>
      <c r="CS42" s="54">
        <f t="shared" si="102"/>
        <v>5</v>
      </c>
      <c r="CT42" s="54">
        <f t="shared" si="103"/>
        <v>2</v>
      </c>
      <c r="CU42" s="54">
        <f t="shared" si="104"/>
        <v>5</v>
      </c>
      <c r="CV42" s="54">
        <f t="shared" si="105"/>
        <v>2</v>
      </c>
      <c r="CW42" s="54">
        <f t="shared" si="106"/>
        <v>5</v>
      </c>
      <c r="CX42" s="54">
        <f t="shared" si="107"/>
        <v>2</v>
      </c>
      <c r="CY42" s="54">
        <f t="shared" si="108"/>
        <v>5</v>
      </c>
      <c r="CZ42" s="54">
        <f t="shared" si="109"/>
        <v>2</v>
      </c>
      <c r="DA42" s="54">
        <f t="shared" si="110"/>
        <v>5</v>
      </c>
      <c r="DB42" s="54">
        <f t="shared" si="111"/>
        <v>2</v>
      </c>
      <c r="DC42" s="54">
        <f t="shared" si="112"/>
        <v>5</v>
      </c>
      <c r="DD42" s="54">
        <f t="shared" si="113"/>
        <v>2</v>
      </c>
      <c r="DE42" s="54">
        <f t="shared" si="114"/>
        <v>5</v>
      </c>
      <c r="DF42" s="54">
        <f t="shared" si="115"/>
        <v>2</v>
      </c>
      <c r="DG42" s="54">
        <f t="shared" si="116"/>
        <v>5</v>
      </c>
      <c r="DH42" s="54">
        <f t="shared" si="117"/>
        <v>2</v>
      </c>
      <c r="DI42" s="54">
        <f t="shared" si="118"/>
        <v>5</v>
      </c>
      <c r="DJ42" s="54">
        <f t="shared" si="119"/>
        <v>2</v>
      </c>
      <c r="DK42" s="54">
        <f t="shared" si="120"/>
        <v>5</v>
      </c>
      <c r="DL42" s="54">
        <f t="shared" si="121"/>
        <v>2</v>
      </c>
      <c r="DM42" s="54">
        <f t="shared" si="122"/>
        <v>5</v>
      </c>
      <c r="DN42" s="54">
        <f t="shared" si="123"/>
        <v>2</v>
      </c>
      <c r="DO42" s="54">
        <f t="shared" si="124"/>
        <v>5</v>
      </c>
      <c r="DP42" s="54">
        <f t="shared" si="125"/>
        <v>2</v>
      </c>
      <c r="DQ42" s="54">
        <f t="shared" si="126"/>
        <v>5</v>
      </c>
      <c r="DR42" s="54">
        <f t="shared" si="127"/>
        <v>2</v>
      </c>
      <c r="DS42" s="54">
        <f t="shared" si="128"/>
        <v>5</v>
      </c>
      <c r="DT42" s="54">
        <f t="shared" si="129"/>
        <v>2</v>
      </c>
      <c r="DU42" s="54">
        <f t="shared" si="130"/>
        <v>5</v>
      </c>
      <c r="DV42" s="54">
        <f t="shared" si="131"/>
        <v>2</v>
      </c>
      <c r="DW42" s="54">
        <f t="shared" si="132"/>
        <v>5</v>
      </c>
      <c r="DX42" s="54">
        <f t="shared" si="133"/>
        <v>2</v>
      </c>
      <c r="DY42" s="54">
        <f t="shared" si="134"/>
        <v>5</v>
      </c>
      <c r="DZ42" s="54">
        <f t="shared" si="135"/>
        <v>2</v>
      </c>
      <c r="EA42" s="54">
        <f t="shared" si="134"/>
        <v>5</v>
      </c>
      <c r="EB42" s="54">
        <f t="shared" si="135"/>
        <v>2</v>
      </c>
      <c r="EC42" s="54">
        <f t="shared" si="135"/>
        <v>5</v>
      </c>
      <c r="ED42" s="54">
        <f t="shared" si="173"/>
        <v>2</v>
      </c>
      <c r="EE42" s="54">
        <f t="shared" si="174"/>
        <v>5</v>
      </c>
      <c r="EF42" s="54">
        <f t="shared" si="175"/>
        <v>2</v>
      </c>
      <c r="EG42" s="54">
        <f t="shared" ref="EG42:EN42" si="180">EG41</f>
        <v>5</v>
      </c>
      <c r="EH42" s="54">
        <f t="shared" si="180"/>
        <v>2</v>
      </c>
      <c r="EI42" s="54">
        <f t="shared" si="180"/>
        <v>5</v>
      </c>
      <c r="EJ42" s="54">
        <f t="shared" si="180"/>
        <v>2</v>
      </c>
      <c r="EK42" s="54">
        <f t="shared" si="180"/>
        <v>5</v>
      </c>
      <c r="EL42" s="54">
        <f t="shared" si="180"/>
        <v>2</v>
      </c>
      <c r="EM42" s="54">
        <f t="shared" si="180"/>
        <v>5</v>
      </c>
      <c r="EN42" s="54">
        <f t="shared" si="180"/>
        <v>2</v>
      </c>
      <c r="EO42" s="54">
        <f t="shared" si="171"/>
        <v>2</v>
      </c>
      <c r="EP42" s="54">
        <f t="shared" si="172"/>
        <v>2</v>
      </c>
    </row>
    <row r="43" spans="1:146" x14ac:dyDescent="0.2">
      <c r="B43" t="s">
        <v>230</v>
      </c>
      <c r="C43" s="54">
        <f t="shared" si="9"/>
        <v>45474</v>
      </c>
      <c r="D43" s="54">
        <f t="shared" si="1"/>
        <v>1</v>
      </c>
      <c r="E43" s="54">
        <f t="shared" si="10"/>
        <v>4</v>
      </c>
      <c r="F43" s="54">
        <f t="shared" si="11"/>
        <v>2</v>
      </c>
      <c r="G43" s="54">
        <f t="shared" si="12"/>
        <v>5</v>
      </c>
      <c r="H43" s="54">
        <f t="shared" si="13"/>
        <v>2</v>
      </c>
      <c r="I43" s="54">
        <f t="shared" si="14"/>
        <v>5</v>
      </c>
      <c r="J43" s="54">
        <f t="shared" si="15"/>
        <v>2</v>
      </c>
      <c r="K43" s="54">
        <f t="shared" si="16"/>
        <v>5</v>
      </c>
      <c r="L43" s="54">
        <f t="shared" si="17"/>
        <v>2</v>
      </c>
      <c r="M43" s="54">
        <f t="shared" si="18"/>
        <v>5</v>
      </c>
      <c r="N43" s="54">
        <f t="shared" si="19"/>
        <v>2</v>
      </c>
      <c r="O43" s="54">
        <f t="shared" si="20"/>
        <v>5</v>
      </c>
      <c r="P43" s="54">
        <f t="shared" si="21"/>
        <v>2</v>
      </c>
      <c r="Q43" s="54">
        <f t="shared" si="22"/>
        <v>5</v>
      </c>
      <c r="R43" s="54">
        <f t="shared" si="23"/>
        <v>2</v>
      </c>
      <c r="S43" s="54">
        <f t="shared" si="24"/>
        <v>5</v>
      </c>
      <c r="T43" s="54">
        <f t="shared" si="25"/>
        <v>2</v>
      </c>
      <c r="U43" s="54">
        <f t="shared" si="26"/>
        <v>5</v>
      </c>
      <c r="V43" s="54">
        <f t="shared" si="27"/>
        <v>2</v>
      </c>
      <c r="W43" s="54">
        <f t="shared" si="28"/>
        <v>5</v>
      </c>
      <c r="X43" s="54">
        <f t="shared" si="29"/>
        <v>2</v>
      </c>
      <c r="Y43" s="54">
        <f t="shared" si="30"/>
        <v>5</v>
      </c>
      <c r="Z43" s="54">
        <f t="shared" si="31"/>
        <v>2</v>
      </c>
      <c r="AA43" s="54">
        <f t="shared" si="32"/>
        <v>5</v>
      </c>
      <c r="AB43" s="54">
        <f t="shared" si="33"/>
        <v>2</v>
      </c>
      <c r="AC43" s="54">
        <f t="shared" si="34"/>
        <v>5</v>
      </c>
      <c r="AD43" s="54">
        <f t="shared" si="35"/>
        <v>2</v>
      </c>
      <c r="AE43" s="54">
        <f t="shared" si="36"/>
        <v>5</v>
      </c>
      <c r="AF43" s="54">
        <f t="shared" si="37"/>
        <v>2</v>
      </c>
      <c r="AG43" s="54">
        <f t="shared" si="38"/>
        <v>5</v>
      </c>
      <c r="AH43" s="54">
        <f t="shared" si="39"/>
        <v>2</v>
      </c>
      <c r="AI43" s="54">
        <f t="shared" si="40"/>
        <v>5</v>
      </c>
      <c r="AJ43" s="54">
        <f t="shared" si="41"/>
        <v>2</v>
      </c>
      <c r="AK43" s="54">
        <f t="shared" si="42"/>
        <v>5</v>
      </c>
      <c r="AL43" s="54">
        <f t="shared" si="43"/>
        <v>2</v>
      </c>
      <c r="AM43" s="54">
        <f t="shared" si="44"/>
        <v>5</v>
      </c>
      <c r="AN43" s="54">
        <f t="shared" si="45"/>
        <v>2</v>
      </c>
      <c r="AO43" s="54">
        <f t="shared" si="46"/>
        <v>5</v>
      </c>
      <c r="AP43" s="54">
        <f t="shared" si="47"/>
        <v>2</v>
      </c>
      <c r="AQ43" s="54">
        <f t="shared" si="48"/>
        <v>5</v>
      </c>
      <c r="AR43" s="54">
        <f t="shared" si="49"/>
        <v>2</v>
      </c>
      <c r="AS43" s="54">
        <f t="shared" si="50"/>
        <v>5</v>
      </c>
      <c r="AT43" s="54">
        <f t="shared" si="51"/>
        <v>2</v>
      </c>
      <c r="AU43" s="54">
        <f t="shared" si="52"/>
        <v>5</v>
      </c>
      <c r="AV43" s="54">
        <f t="shared" si="53"/>
        <v>2</v>
      </c>
      <c r="AW43" s="54">
        <f t="shared" si="54"/>
        <v>5</v>
      </c>
      <c r="AX43" s="54">
        <f t="shared" si="55"/>
        <v>2</v>
      </c>
      <c r="AY43" s="54">
        <f t="shared" si="56"/>
        <v>5</v>
      </c>
      <c r="AZ43" s="54">
        <f t="shared" si="57"/>
        <v>2</v>
      </c>
      <c r="BA43" s="54">
        <f t="shared" si="58"/>
        <v>5</v>
      </c>
      <c r="BB43" s="54">
        <f t="shared" si="59"/>
        <v>2</v>
      </c>
      <c r="BC43" s="54">
        <f t="shared" si="60"/>
        <v>5</v>
      </c>
      <c r="BD43" s="54">
        <f t="shared" si="61"/>
        <v>2</v>
      </c>
      <c r="BE43" s="54">
        <f t="shared" si="62"/>
        <v>5</v>
      </c>
      <c r="BF43" s="54">
        <f t="shared" si="63"/>
        <v>2</v>
      </c>
      <c r="BG43" s="54">
        <f t="shared" si="64"/>
        <v>5</v>
      </c>
      <c r="BH43" s="54">
        <f t="shared" si="65"/>
        <v>2</v>
      </c>
      <c r="BI43" s="54">
        <f t="shared" si="66"/>
        <v>5</v>
      </c>
      <c r="BJ43" s="54">
        <f t="shared" si="67"/>
        <v>2</v>
      </c>
      <c r="BK43" s="54">
        <f t="shared" si="68"/>
        <v>5</v>
      </c>
      <c r="BL43" s="54">
        <f t="shared" si="69"/>
        <v>2</v>
      </c>
      <c r="BM43" s="54">
        <f t="shared" si="70"/>
        <v>5</v>
      </c>
      <c r="BN43" s="54">
        <f t="shared" si="71"/>
        <v>2</v>
      </c>
      <c r="BO43" s="54">
        <f t="shared" si="72"/>
        <v>5</v>
      </c>
      <c r="BP43" s="54">
        <f t="shared" si="73"/>
        <v>2</v>
      </c>
      <c r="BQ43" s="54">
        <f t="shared" si="74"/>
        <v>5</v>
      </c>
      <c r="BR43" s="54">
        <f t="shared" si="75"/>
        <v>2</v>
      </c>
      <c r="BS43" s="54">
        <f t="shared" si="76"/>
        <v>5</v>
      </c>
      <c r="BT43" s="54">
        <f t="shared" si="77"/>
        <v>2</v>
      </c>
      <c r="BU43" s="54">
        <f t="shared" si="78"/>
        <v>5</v>
      </c>
      <c r="BV43" s="54">
        <f t="shared" si="79"/>
        <v>2</v>
      </c>
      <c r="BW43" s="54">
        <f t="shared" si="80"/>
        <v>5</v>
      </c>
      <c r="BX43" s="54">
        <f t="shared" si="81"/>
        <v>2</v>
      </c>
      <c r="BY43" s="54">
        <f t="shared" si="82"/>
        <v>5</v>
      </c>
      <c r="BZ43" s="54">
        <f t="shared" si="83"/>
        <v>2</v>
      </c>
      <c r="CA43" s="54">
        <f t="shared" si="84"/>
        <v>5</v>
      </c>
      <c r="CB43" s="54">
        <f t="shared" si="85"/>
        <v>2</v>
      </c>
      <c r="CC43" s="54">
        <f t="shared" si="86"/>
        <v>5</v>
      </c>
      <c r="CD43" s="54">
        <f t="shared" si="87"/>
        <v>2</v>
      </c>
      <c r="CE43" s="54">
        <f t="shared" si="88"/>
        <v>5</v>
      </c>
      <c r="CF43" s="54">
        <f t="shared" si="89"/>
        <v>2</v>
      </c>
      <c r="CG43" s="54">
        <f t="shared" si="90"/>
        <v>5</v>
      </c>
      <c r="CH43" s="54">
        <f t="shared" si="91"/>
        <v>2</v>
      </c>
      <c r="CI43" s="54">
        <f t="shared" si="92"/>
        <v>5</v>
      </c>
      <c r="CJ43" s="54">
        <f t="shared" si="93"/>
        <v>2</v>
      </c>
      <c r="CK43" s="54">
        <f t="shared" si="94"/>
        <v>5</v>
      </c>
      <c r="CL43" s="54">
        <f t="shared" si="95"/>
        <v>2</v>
      </c>
      <c r="CM43" s="54">
        <f t="shared" si="96"/>
        <v>5</v>
      </c>
      <c r="CN43" s="54">
        <f t="shared" si="97"/>
        <v>2</v>
      </c>
      <c r="CO43" s="54">
        <f t="shared" si="98"/>
        <v>5</v>
      </c>
      <c r="CP43" s="54">
        <f t="shared" si="99"/>
        <v>2</v>
      </c>
      <c r="CQ43" s="54">
        <f t="shared" si="100"/>
        <v>5</v>
      </c>
      <c r="CR43" s="54">
        <f t="shared" si="101"/>
        <v>2</v>
      </c>
      <c r="CS43" s="54">
        <f t="shared" si="102"/>
        <v>5</v>
      </c>
      <c r="CT43" s="54">
        <f t="shared" si="103"/>
        <v>2</v>
      </c>
      <c r="CU43" s="54">
        <f t="shared" si="104"/>
        <v>5</v>
      </c>
      <c r="CV43" s="54">
        <f t="shared" si="105"/>
        <v>2</v>
      </c>
      <c r="CW43" s="54">
        <f t="shared" si="106"/>
        <v>5</v>
      </c>
      <c r="CX43" s="54">
        <f t="shared" si="107"/>
        <v>2</v>
      </c>
      <c r="CY43" s="54">
        <f t="shared" si="108"/>
        <v>5</v>
      </c>
      <c r="CZ43" s="54">
        <f t="shared" si="109"/>
        <v>2</v>
      </c>
      <c r="DA43" s="54">
        <f t="shared" si="110"/>
        <v>5</v>
      </c>
      <c r="DB43" s="54">
        <f t="shared" si="111"/>
        <v>2</v>
      </c>
      <c r="DC43" s="54">
        <f t="shared" si="112"/>
        <v>5</v>
      </c>
      <c r="DD43" s="54">
        <f t="shared" si="113"/>
        <v>2</v>
      </c>
      <c r="DE43" s="54">
        <f t="shared" si="114"/>
        <v>5</v>
      </c>
      <c r="DF43" s="54">
        <f t="shared" si="115"/>
        <v>2</v>
      </c>
      <c r="DG43" s="54">
        <f t="shared" si="116"/>
        <v>5</v>
      </c>
      <c r="DH43" s="54">
        <f t="shared" si="117"/>
        <v>2</v>
      </c>
      <c r="DI43" s="54">
        <f t="shared" si="118"/>
        <v>5</v>
      </c>
      <c r="DJ43" s="54">
        <f t="shared" si="119"/>
        <v>2</v>
      </c>
      <c r="DK43" s="54">
        <f t="shared" si="120"/>
        <v>5</v>
      </c>
      <c r="DL43" s="54">
        <f t="shared" si="121"/>
        <v>2</v>
      </c>
      <c r="DM43" s="54">
        <f t="shared" si="122"/>
        <v>5</v>
      </c>
      <c r="DN43" s="54">
        <f t="shared" si="123"/>
        <v>2</v>
      </c>
      <c r="DO43" s="54">
        <f t="shared" si="124"/>
        <v>5</v>
      </c>
      <c r="DP43" s="54">
        <f t="shared" si="125"/>
        <v>2</v>
      </c>
      <c r="DQ43" s="54">
        <f t="shared" si="126"/>
        <v>5</v>
      </c>
      <c r="DR43" s="54">
        <f t="shared" si="127"/>
        <v>2</v>
      </c>
      <c r="DS43" s="54">
        <f t="shared" si="128"/>
        <v>5</v>
      </c>
      <c r="DT43" s="54">
        <f t="shared" si="129"/>
        <v>2</v>
      </c>
      <c r="DU43" s="54">
        <f t="shared" si="130"/>
        <v>5</v>
      </c>
      <c r="DV43" s="54">
        <f t="shared" si="131"/>
        <v>2</v>
      </c>
      <c r="DW43" s="54">
        <f t="shared" si="132"/>
        <v>5</v>
      </c>
      <c r="DX43" s="54">
        <f t="shared" si="133"/>
        <v>2</v>
      </c>
      <c r="DY43" s="54">
        <f t="shared" si="134"/>
        <v>5</v>
      </c>
      <c r="DZ43" s="54">
        <f t="shared" si="135"/>
        <v>2</v>
      </c>
      <c r="EA43" s="54">
        <f t="shared" si="134"/>
        <v>5</v>
      </c>
      <c r="EB43" s="54">
        <f t="shared" si="135"/>
        <v>2</v>
      </c>
      <c r="EC43" s="54">
        <f t="shared" si="135"/>
        <v>5</v>
      </c>
      <c r="ED43" s="54">
        <f t="shared" si="173"/>
        <v>2</v>
      </c>
      <c r="EE43" s="54">
        <f t="shared" si="174"/>
        <v>5</v>
      </c>
      <c r="EF43" s="54">
        <f t="shared" si="175"/>
        <v>2</v>
      </c>
      <c r="EG43" s="54">
        <f t="shared" ref="EG43:EN43" si="181">EG42</f>
        <v>5</v>
      </c>
      <c r="EH43" s="54">
        <f t="shared" si="181"/>
        <v>2</v>
      </c>
      <c r="EI43" s="54">
        <f t="shared" si="181"/>
        <v>5</v>
      </c>
      <c r="EJ43" s="54">
        <f t="shared" si="181"/>
        <v>2</v>
      </c>
      <c r="EK43" s="54">
        <f t="shared" si="181"/>
        <v>5</v>
      </c>
      <c r="EL43" s="54">
        <f t="shared" si="181"/>
        <v>2</v>
      </c>
      <c r="EM43" s="54">
        <f t="shared" si="181"/>
        <v>5</v>
      </c>
      <c r="EN43" s="54">
        <f t="shared" si="181"/>
        <v>2</v>
      </c>
      <c r="EO43" s="54">
        <f t="shared" si="171"/>
        <v>2</v>
      </c>
      <c r="EP43" s="54">
        <f t="shared" si="172"/>
        <v>2</v>
      </c>
    </row>
    <row r="44" spans="1:146" x14ac:dyDescent="0.2">
      <c r="A44" s="54"/>
      <c r="B44" t="s">
        <v>230</v>
      </c>
      <c r="C44" s="54">
        <f t="shared" si="9"/>
        <v>45474</v>
      </c>
      <c r="D44" s="54">
        <f t="shared" si="1"/>
        <v>1</v>
      </c>
      <c r="E44" s="54">
        <f t="shared" si="10"/>
        <v>4</v>
      </c>
      <c r="F44" s="54">
        <f t="shared" si="11"/>
        <v>2</v>
      </c>
      <c r="G44" s="54">
        <f t="shared" si="12"/>
        <v>5</v>
      </c>
      <c r="H44" s="54">
        <f t="shared" si="13"/>
        <v>2</v>
      </c>
      <c r="I44" s="54">
        <f t="shared" si="14"/>
        <v>5</v>
      </c>
      <c r="J44" s="54">
        <f t="shared" si="15"/>
        <v>2</v>
      </c>
      <c r="K44" s="54">
        <f t="shared" si="16"/>
        <v>5</v>
      </c>
      <c r="L44" s="54">
        <f t="shared" si="17"/>
        <v>2</v>
      </c>
      <c r="M44" s="54">
        <f t="shared" si="18"/>
        <v>5</v>
      </c>
      <c r="N44" s="54">
        <f t="shared" si="19"/>
        <v>2</v>
      </c>
      <c r="O44" s="54">
        <f t="shared" si="20"/>
        <v>5</v>
      </c>
      <c r="P44" s="54">
        <f t="shared" si="21"/>
        <v>2</v>
      </c>
      <c r="Q44" s="54">
        <f t="shared" si="22"/>
        <v>5</v>
      </c>
      <c r="R44" s="54">
        <f t="shared" si="23"/>
        <v>2</v>
      </c>
      <c r="S44" s="54">
        <f t="shared" si="24"/>
        <v>5</v>
      </c>
      <c r="T44" s="54">
        <f t="shared" si="25"/>
        <v>2</v>
      </c>
      <c r="U44" s="54">
        <f t="shared" si="26"/>
        <v>5</v>
      </c>
      <c r="V44" s="54">
        <f t="shared" si="27"/>
        <v>2</v>
      </c>
      <c r="W44" s="54">
        <f t="shared" si="28"/>
        <v>5</v>
      </c>
      <c r="X44" s="54">
        <f t="shared" si="29"/>
        <v>2</v>
      </c>
      <c r="Y44" s="54">
        <f t="shared" si="30"/>
        <v>5</v>
      </c>
      <c r="Z44" s="54">
        <f t="shared" si="31"/>
        <v>2</v>
      </c>
      <c r="AA44" s="54">
        <f t="shared" si="32"/>
        <v>5</v>
      </c>
      <c r="AB44" s="54">
        <f t="shared" si="33"/>
        <v>2</v>
      </c>
      <c r="AC44" s="54">
        <f t="shared" si="34"/>
        <v>5</v>
      </c>
      <c r="AD44" s="54">
        <f t="shared" si="35"/>
        <v>2</v>
      </c>
      <c r="AE44" s="54">
        <f t="shared" si="36"/>
        <v>5</v>
      </c>
      <c r="AF44" s="54">
        <f t="shared" si="37"/>
        <v>2</v>
      </c>
      <c r="AG44" s="54">
        <f t="shared" si="38"/>
        <v>5</v>
      </c>
      <c r="AH44" s="54">
        <f t="shared" si="39"/>
        <v>2</v>
      </c>
      <c r="AI44" s="54">
        <f t="shared" si="40"/>
        <v>5</v>
      </c>
      <c r="AJ44" s="54">
        <f t="shared" si="41"/>
        <v>2</v>
      </c>
      <c r="AK44" s="54">
        <f t="shared" si="42"/>
        <v>5</v>
      </c>
      <c r="AL44" s="54">
        <f t="shared" si="43"/>
        <v>2</v>
      </c>
      <c r="AM44" s="54">
        <f t="shared" si="44"/>
        <v>5</v>
      </c>
      <c r="AN44" s="54">
        <f t="shared" si="45"/>
        <v>2</v>
      </c>
      <c r="AO44" s="54">
        <f t="shared" si="46"/>
        <v>5</v>
      </c>
      <c r="AP44" s="54">
        <f t="shared" si="47"/>
        <v>2</v>
      </c>
      <c r="AQ44" s="54">
        <f t="shared" si="48"/>
        <v>5</v>
      </c>
      <c r="AR44" s="54">
        <f t="shared" si="49"/>
        <v>2</v>
      </c>
      <c r="AS44" s="54">
        <f t="shared" si="50"/>
        <v>5</v>
      </c>
      <c r="AT44" s="54">
        <f t="shared" si="51"/>
        <v>2</v>
      </c>
      <c r="AU44" s="54">
        <f t="shared" si="52"/>
        <v>5</v>
      </c>
      <c r="AV44" s="54">
        <f t="shared" si="53"/>
        <v>2</v>
      </c>
      <c r="AW44" s="54">
        <f t="shared" si="54"/>
        <v>5</v>
      </c>
      <c r="AX44" s="54">
        <f t="shared" si="55"/>
        <v>2</v>
      </c>
      <c r="AY44" s="54">
        <f t="shared" si="56"/>
        <v>5</v>
      </c>
      <c r="AZ44" s="54">
        <f t="shared" si="57"/>
        <v>2</v>
      </c>
      <c r="BA44" s="54">
        <f t="shared" si="58"/>
        <v>5</v>
      </c>
      <c r="BB44" s="54">
        <f t="shared" si="59"/>
        <v>2</v>
      </c>
      <c r="BC44" s="54">
        <f t="shared" si="60"/>
        <v>5</v>
      </c>
      <c r="BD44" s="54">
        <f t="shared" si="61"/>
        <v>2</v>
      </c>
      <c r="BE44" s="54">
        <f t="shared" si="62"/>
        <v>5</v>
      </c>
      <c r="BF44" s="54">
        <f t="shared" si="63"/>
        <v>2</v>
      </c>
      <c r="BG44" s="54">
        <f t="shared" si="64"/>
        <v>5</v>
      </c>
      <c r="BH44" s="54">
        <f t="shared" si="65"/>
        <v>2</v>
      </c>
      <c r="BI44" s="54">
        <f t="shared" si="66"/>
        <v>5</v>
      </c>
      <c r="BJ44" s="54">
        <f t="shared" si="67"/>
        <v>2</v>
      </c>
      <c r="BK44" s="54">
        <f t="shared" si="68"/>
        <v>5</v>
      </c>
      <c r="BL44" s="54">
        <f t="shared" si="69"/>
        <v>2</v>
      </c>
      <c r="BM44" s="54">
        <f t="shared" si="70"/>
        <v>5</v>
      </c>
      <c r="BN44" s="54">
        <f t="shared" si="71"/>
        <v>2</v>
      </c>
      <c r="BO44" s="54">
        <f t="shared" si="72"/>
        <v>5</v>
      </c>
      <c r="BP44" s="54">
        <f t="shared" si="73"/>
        <v>2</v>
      </c>
      <c r="BQ44" s="54">
        <f t="shared" si="74"/>
        <v>5</v>
      </c>
      <c r="BR44" s="54">
        <f t="shared" si="75"/>
        <v>2</v>
      </c>
      <c r="BS44" s="54">
        <f t="shared" si="76"/>
        <v>5</v>
      </c>
      <c r="BT44" s="54">
        <f t="shared" si="77"/>
        <v>2</v>
      </c>
      <c r="BU44" s="54">
        <f t="shared" si="78"/>
        <v>5</v>
      </c>
      <c r="BV44" s="54">
        <f t="shared" si="79"/>
        <v>2</v>
      </c>
      <c r="BW44" s="54">
        <f t="shared" si="80"/>
        <v>5</v>
      </c>
      <c r="BX44" s="54">
        <f t="shared" si="81"/>
        <v>2</v>
      </c>
      <c r="BY44" s="54">
        <f t="shared" si="82"/>
        <v>5</v>
      </c>
      <c r="BZ44" s="54">
        <f t="shared" si="83"/>
        <v>2</v>
      </c>
      <c r="CA44" s="54">
        <f t="shared" si="84"/>
        <v>5</v>
      </c>
      <c r="CB44" s="54">
        <f t="shared" si="85"/>
        <v>2</v>
      </c>
      <c r="CC44" s="54">
        <f t="shared" si="86"/>
        <v>5</v>
      </c>
      <c r="CD44" s="54">
        <f t="shared" si="87"/>
        <v>2</v>
      </c>
      <c r="CE44" s="54">
        <f t="shared" si="88"/>
        <v>5</v>
      </c>
      <c r="CF44" s="54">
        <f t="shared" si="89"/>
        <v>2</v>
      </c>
      <c r="CG44" s="54">
        <f t="shared" si="90"/>
        <v>5</v>
      </c>
      <c r="CH44" s="54">
        <f t="shared" si="91"/>
        <v>2</v>
      </c>
      <c r="CI44" s="54">
        <f t="shared" si="92"/>
        <v>5</v>
      </c>
      <c r="CJ44" s="54">
        <f t="shared" si="93"/>
        <v>2</v>
      </c>
      <c r="CK44" s="54">
        <f t="shared" si="94"/>
        <v>5</v>
      </c>
      <c r="CL44" s="54">
        <f t="shared" si="95"/>
        <v>2</v>
      </c>
      <c r="CM44" s="54">
        <f t="shared" si="96"/>
        <v>5</v>
      </c>
      <c r="CN44" s="54">
        <f t="shared" si="97"/>
        <v>2</v>
      </c>
      <c r="CO44" s="54">
        <f t="shared" si="98"/>
        <v>5</v>
      </c>
      <c r="CP44" s="54">
        <f t="shared" si="99"/>
        <v>2</v>
      </c>
      <c r="CQ44" s="54">
        <f t="shared" si="100"/>
        <v>5</v>
      </c>
      <c r="CR44" s="54">
        <f t="shared" si="101"/>
        <v>2</v>
      </c>
      <c r="CS44" s="54">
        <f t="shared" si="102"/>
        <v>5</v>
      </c>
      <c r="CT44" s="54">
        <f t="shared" si="103"/>
        <v>2</v>
      </c>
      <c r="CU44" s="54">
        <f t="shared" si="104"/>
        <v>5</v>
      </c>
      <c r="CV44" s="54">
        <f t="shared" si="105"/>
        <v>2</v>
      </c>
      <c r="CW44" s="54">
        <f t="shared" si="106"/>
        <v>5</v>
      </c>
      <c r="CX44" s="54">
        <f t="shared" si="107"/>
        <v>2</v>
      </c>
      <c r="CY44" s="54">
        <f t="shared" si="108"/>
        <v>5</v>
      </c>
      <c r="CZ44" s="54">
        <f t="shared" si="109"/>
        <v>2</v>
      </c>
      <c r="DA44" s="54">
        <f t="shared" si="110"/>
        <v>5</v>
      </c>
      <c r="DB44" s="54">
        <f t="shared" si="111"/>
        <v>2</v>
      </c>
      <c r="DC44" s="54">
        <f t="shared" si="112"/>
        <v>5</v>
      </c>
      <c r="DD44" s="54">
        <f t="shared" si="113"/>
        <v>2</v>
      </c>
      <c r="DE44" s="54">
        <f t="shared" si="114"/>
        <v>5</v>
      </c>
      <c r="DF44" s="54">
        <f t="shared" si="115"/>
        <v>2</v>
      </c>
      <c r="DG44" s="54">
        <f t="shared" si="116"/>
        <v>5</v>
      </c>
      <c r="DH44" s="54">
        <f t="shared" si="117"/>
        <v>2</v>
      </c>
      <c r="DI44" s="54">
        <f t="shared" si="118"/>
        <v>5</v>
      </c>
      <c r="DJ44" s="54">
        <f t="shared" si="119"/>
        <v>2</v>
      </c>
      <c r="DK44" s="54">
        <f t="shared" si="120"/>
        <v>5</v>
      </c>
      <c r="DL44" s="54">
        <f t="shared" si="121"/>
        <v>2</v>
      </c>
      <c r="DM44" s="54">
        <f t="shared" si="122"/>
        <v>5</v>
      </c>
      <c r="DN44" s="54">
        <f t="shared" si="123"/>
        <v>2</v>
      </c>
      <c r="DO44" s="54">
        <f t="shared" si="124"/>
        <v>5</v>
      </c>
      <c r="DP44" s="54">
        <f t="shared" si="125"/>
        <v>2</v>
      </c>
      <c r="DQ44" s="54">
        <f t="shared" si="126"/>
        <v>5</v>
      </c>
      <c r="DR44" s="54">
        <f t="shared" si="127"/>
        <v>2</v>
      </c>
      <c r="DS44" s="54">
        <f t="shared" si="128"/>
        <v>5</v>
      </c>
      <c r="DT44" s="54">
        <f t="shared" si="129"/>
        <v>2</v>
      </c>
      <c r="DU44" s="54">
        <f t="shared" si="130"/>
        <v>5</v>
      </c>
      <c r="DV44" s="54">
        <f t="shared" si="131"/>
        <v>2</v>
      </c>
      <c r="DW44" s="54">
        <f t="shared" si="132"/>
        <v>5</v>
      </c>
      <c r="DX44" s="54">
        <f t="shared" si="133"/>
        <v>2</v>
      </c>
      <c r="DY44" s="54">
        <f t="shared" si="134"/>
        <v>5</v>
      </c>
      <c r="DZ44" s="54">
        <f t="shared" si="135"/>
        <v>2</v>
      </c>
      <c r="EA44" s="54">
        <f t="shared" si="134"/>
        <v>5</v>
      </c>
      <c r="EB44" s="54">
        <f t="shared" si="135"/>
        <v>2</v>
      </c>
      <c r="EC44" s="54">
        <f t="shared" si="135"/>
        <v>5</v>
      </c>
      <c r="ED44" s="54">
        <f t="shared" si="173"/>
        <v>2</v>
      </c>
      <c r="EE44" s="54">
        <f t="shared" si="174"/>
        <v>5</v>
      </c>
      <c r="EF44" s="54">
        <f t="shared" si="175"/>
        <v>2</v>
      </c>
      <c r="EG44" s="54">
        <f t="shared" ref="EG44:EN44" si="182">EG43</f>
        <v>5</v>
      </c>
      <c r="EH44" s="54">
        <f t="shared" si="182"/>
        <v>2</v>
      </c>
      <c r="EI44" s="54">
        <f t="shared" si="182"/>
        <v>5</v>
      </c>
      <c r="EJ44" s="54">
        <f t="shared" si="182"/>
        <v>2</v>
      </c>
      <c r="EK44" s="54">
        <f t="shared" si="182"/>
        <v>5</v>
      </c>
      <c r="EL44" s="54">
        <f t="shared" si="182"/>
        <v>2</v>
      </c>
      <c r="EM44" s="54">
        <f t="shared" si="182"/>
        <v>5</v>
      </c>
      <c r="EN44" s="54">
        <f t="shared" si="182"/>
        <v>2</v>
      </c>
      <c r="EO44" s="54">
        <f t="shared" si="171"/>
        <v>2</v>
      </c>
      <c r="EP44" s="54">
        <f t="shared" si="172"/>
        <v>2</v>
      </c>
    </row>
    <row r="45" spans="1:146" x14ac:dyDescent="0.2">
      <c r="B45" t="s">
        <v>230</v>
      </c>
      <c r="C45" s="54">
        <f t="shared" si="9"/>
        <v>45474</v>
      </c>
      <c r="D45" s="54">
        <f t="shared" si="1"/>
        <v>1</v>
      </c>
      <c r="E45" s="54">
        <f t="shared" si="10"/>
        <v>4</v>
      </c>
      <c r="F45" s="54">
        <f t="shared" si="11"/>
        <v>2</v>
      </c>
      <c r="G45" s="54">
        <f t="shared" si="12"/>
        <v>5</v>
      </c>
      <c r="H45" s="54">
        <f t="shared" si="13"/>
        <v>2</v>
      </c>
      <c r="I45" s="54">
        <f t="shared" si="14"/>
        <v>5</v>
      </c>
      <c r="J45" s="54">
        <f t="shared" si="15"/>
        <v>2</v>
      </c>
      <c r="K45" s="54">
        <f t="shared" si="16"/>
        <v>5</v>
      </c>
      <c r="L45" s="54">
        <f t="shared" si="17"/>
        <v>2</v>
      </c>
      <c r="M45" s="54">
        <f t="shared" si="18"/>
        <v>5</v>
      </c>
      <c r="N45" s="54">
        <f t="shared" si="19"/>
        <v>2</v>
      </c>
      <c r="O45" s="54">
        <f t="shared" si="20"/>
        <v>5</v>
      </c>
      <c r="P45" s="54">
        <f t="shared" si="21"/>
        <v>2</v>
      </c>
      <c r="Q45" s="54">
        <f t="shared" si="22"/>
        <v>5</v>
      </c>
      <c r="R45" s="54">
        <f t="shared" si="23"/>
        <v>2</v>
      </c>
      <c r="S45" s="54">
        <f t="shared" si="24"/>
        <v>5</v>
      </c>
      <c r="T45" s="54">
        <f t="shared" si="25"/>
        <v>2</v>
      </c>
      <c r="U45" s="54">
        <f t="shared" si="26"/>
        <v>5</v>
      </c>
      <c r="V45" s="54">
        <f t="shared" si="27"/>
        <v>2</v>
      </c>
      <c r="W45" s="54">
        <f t="shared" si="28"/>
        <v>5</v>
      </c>
      <c r="X45" s="54">
        <f t="shared" si="29"/>
        <v>2</v>
      </c>
      <c r="Y45" s="54">
        <f t="shared" si="30"/>
        <v>5</v>
      </c>
      <c r="Z45" s="54">
        <f t="shared" si="31"/>
        <v>2</v>
      </c>
      <c r="AA45" s="54">
        <f t="shared" si="32"/>
        <v>5</v>
      </c>
      <c r="AB45" s="54">
        <f t="shared" si="33"/>
        <v>2</v>
      </c>
      <c r="AC45" s="54">
        <f t="shared" si="34"/>
        <v>5</v>
      </c>
      <c r="AD45" s="54">
        <f t="shared" si="35"/>
        <v>2</v>
      </c>
      <c r="AE45" s="54">
        <f t="shared" si="36"/>
        <v>5</v>
      </c>
      <c r="AF45" s="54">
        <f t="shared" si="37"/>
        <v>2</v>
      </c>
      <c r="AG45" s="54">
        <f t="shared" si="38"/>
        <v>5</v>
      </c>
      <c r="AH45" s="54">
        <f t="shared" si="39"/>
        <v>2</v>
      </c>
      <c r="AI45" s="54">
        <f t="shared" si="40"/>
        <v>5</v>
      </c>
      <c r="AJ45" s="54">
        <f t="shared" si="41"/>
        <v>2</v>
      </c>
      <c r="AK45" s="54">
        <f t="shared" si="42"/>
        <v>5</v>
      </c>
      <c r="AL45" s="54">
        <f t="shared" si="43"/>
        <v>2</v>
      </c>
      <c r="AM45" s="54">
        <f t="shared" si="44"/>
        <v>5</v>
      </c>
      <c r="AN45" s="54">
        <f t="shared" si="45"/>
        <v>2</v>
      </c>
      <c r="AO45" s="54">
        <f t="shared" si="46"/>
        <v>5</v>
      </c>
      <c r="AP45" s="54">
        <f t="shared" si="47"/>
        <v>2</v>
      </c>
      <c r="AQ45" s="54">
        <f t="shared" si="48"/>
        <v>5</v>
      </c>
      <c r="AR45" s="54">
        <f t="shared" si="49"/>
        <v>2</v>
      </c>
      <c r="AS45" s="54">
        <f t="shared" si="50"/>
        <v>5</v>
      </c>
      <c r="AT45" s="54">
        <f t="shared" si="51"/>
        <v>2</v>
      </c>
      <c r="AU45" s="54">
        <f t="shared" si="52"/>
        <v>5</v>
      </c>
      <c r="AV45" s="54">
        <f t="shared" si="53"/>
        <v>2</v>
      </c>
      <c r="AW45" s="54">
        <f t="shared" si="54"/>
        <v>5</v>
      </c>
      <c r="AX45" s="54">
        <f t="shared" si="55"/>
        <v>2</v>
      </c>
      <c r="AY45" s="54">
        <f t="shared" si="56"/>
        <v>5</v>
      </c>
      <c r="AZ45" s="54">
        <f t="shared" si="57"/>
        <v>2</v>
      </c>
      <c r="BA45" s="54">
        <f t="shared" si="58"/>
        <v>5</v>
      </c>
      <c r="BB45" s="54">
        <f t="shared" si="59"/>
        <v>2</v>
      </c>
      <c r="BC45" s="54">
        <f t="shared" si="60"/>
        <v>5</v>
      </c>
      <c r="BD45" s="54">
        <f t="shared" si="61"/>
        <v>2</v>
      </c>
      <c r="BE45" s="54">
        <f t="shared" si="62"/>
        <v>5</v>
      </c>
      <c r="BF45" s="54">
        <f t="shared" si="63"/>
        <v>2</v>
      </c>
      <c r="BG45" s="54">
        <f t="shared" si="64"/>
        <v>5</v>
      </c>
      <c r="BH45" s="54">
        <f t="shared" si="65"/>
        <v>2</v>
      </c>
      <c r="BI45" s="54">
        <f t="shared" si="66"/>
        <v>5</v>
      </c>
      <c r="BJ45" s="54">
        <f t="shared" si="67"/>
        <v>2</v>
      </c>
      <c r="BK45" s="54">
        <f t="shared" si="68"/>
        <v>5</v>
      </c>
      <c r="BL45" s="54">
        <f t="shared" si="69"/>
        <v>2</v>
      </c>
      <c r="BM45" s="54">
        <f t="shared" si="70"/>
        <v>5</v>
      </c>
      <c r="BN45" s="54">
        <f t="shared" si="71"/>
        <v>2</v>
      </c>
      <c r="BO45" s="54">
        <f t="shared" si="72"/>
        <v>5</v>
      </c>
      <c r="BP45" s="54">
        <f t="shared" si="73"/>
        <v>2</v>
      </c>
      <c r="BQ45" s="54">
        <f t="shared" si="74"/>
        <v>5</v>
      </c>
      <c r="BR45" s="54">
        <f t="shared" si="75"/>
        <v>2</v>
      </c>
      <c r="BS45" s="54">
        <f t="shared" si="76"/>
        <v>5</v>
      </c>
      <c r="BT45" s="54">
        <f t="shared" si="77"/>
        <v>2</v>
      </c>
      <c r="BU45" s="54">
        <f t="shared" si="78"/>
        <v>5</v>
      </c>
      <c r="BV45" s="54">
        <f t="shared" si="79"/>
        <v>2</v>
      </c>
      <c r="BW45" s="54">
        <f t="shared" si="80"/>
        <v>5</v>
      </c>
      <c r="BX45" s="54">
        <f t="shared" si="81"/>
        <v>2</v>
      </c>
      <c r="BY45" s="54">
        <f t="shared" si="82"/>
        <v>5</v>
      </c>
      <c r="BZ45" s="54">
        <f t="shared" si="83"/>
        <v>2</v>
      </c>
      <c r="CA45" s="54">
        <f t="shared" si="84"/>
        <v>5</v>
      </c>
      <c r="CB45" s="54">
        <f t="shared" si="85"/>
        <v>2</v>
      </c>
      <c r="CC45" s="54">
        <f t="shared" si="86"/>
        <v>5</v>
      </c>
      <c r="CD45" s="54">
        <f t="shared" si="87"/>
        <v>2</v>
      </c>
      <c r="CE45" s="54">
        <f t="shared" si="88"/>
        <v>5</v>
      </c>
      <c r="CF45" s="54">
        <f t="shared" si="89"/>
        <v>2</v>
      </c>
      <c r="CG45" s="54">
        <f t="shared" si="90"/>
        <v>5</v>
      </c>
      <c r="CH45" s="54">
        <f t="shared" si="91"/>
        <v>2</v>
      </c>
      <c r="CI45" s="54">
        <f t="shared" si="92"/>
        <v>5</v>
      </c>
      <c r="CJ45" s="54">
        <f t="shared" si="93"/>
        <v>2</v>
      </c>
      <c r="CK45" s="54">
        <f t="shared" si="94"/>
        <v>5</v>
      </c>
      <c r="CL45" s="54">
        <f t="shared" si="95"/>
        <v>2</v>
      </c>
      <c r="CM45" s="54">
        <f t="shared" si="96"/>
        <v>5</v>
      </c>
      <c r="CN45" s="54">
        <f t="shared" si="97"/>
        <v>2</v>
      </c>
      <c r="CO45" s="54">
        <f t="shared" si="98"/>
        <v>5</v>
      </c>
      <c r="CP45" s="54">
        <f t="shared" si="99"/>
        <v>2</v>
      </c>
      <c r="CQ45" s="54">
        <f t="shared" si="100"/>
        <v>5</v>
      </c>
      <c r="CR45" s="54">
        <f t="shared" si="101"/>
        <v>2</v>
      </c>
      <c r="CS45" s="54">
        <f t="shared" si="102"/>
        <v>5</v>
      </c>
      <c r="CT45" s="54">
        <f t="shared" si="103"/>
        <v>2</v>
      </c>
      <c r="CU45" s="54">
        <f t="shared" si="104"/>
        <v>5</v>
      </c>
      <c r="CV45" s="54">
        <f t="shared" si="105"/>
        <v>2</v>
      </c>
      <c r="CW45" s="54">
        <f t="shared" si="106"/>
        <v>5</v>
      </c>
      <c r="CX45" s="54">
        <f t="shared" si="107"/>
        <v>2</v>
      </c>
      <c r="CY45" s="54">
        <f t="shared" si="108"/>
        <v>5</v>
      </c>
      <c r="CZ45" s="54">
        <f t="shared" si="109"/>
        <v>2</v>
      </c>
      <c r="DA45" s="54">
        <f t="shared" si="110"/>
        <v>5</v>
      </c>
      <c r="DB45" s="54">
        <f t="shared" si="111"/>
        <v>2</v>
      </c>
      <c r="DC45" s="54">
        <f t="shared" si="112"/>
        <v>5</v>
      </c>
      <c r="DD45" s="54">
        <f t="shared" si="113"/>
        <v>2</v>
      </c>
      <c r="DE45" s="54">
        <f t="shared" si="114"/>
        <v>5</v>
      </c>
      <c r="DF45" s="54">
        <f t="shared" si="115"/>
        <v>2</v>
      </c>
      <c r="DG45" s="54">
        <f t="shared" si="116"/>
        <v>5</v>
      </c>
      <c r="DH45" s="54">
        <f t="shared" si="117"/>
        <v>2</v>
      </c>
      <c r="DI45" s="54">
        <f t="shared" si="118"/>
        <v>5</v>
      </c>
      <c r="DJ45" s="54">
        <f t="shared" si="119"/>
        <v>2</v>
      </c>
      <c r="DK45" s="54">
        <f t="shared" si="120"/>
        <v>5</v>
      </c>
      <c r="DL45" s="54">
        <f t="shared" si="121"/>
        <v>2</v>
      </c>
      <c r="DM45" s="54">
        <f t="shared" si="122"/>
        <v>5</v>
      </c>
      <c r="DN45" s="54">
        <f t="shared" si="123"/>
        <v>2</v>
      </c>
      <c r="DO45" s="54">
        <f t="shared" si="124"/>
        <v>5</v>
      </c>
      <c r="DP45" s="54">
        <f t="shared" si="125"/>
        <v>2</v>
      </c>
      <c r="DQ45" s="54">
        <f t="shared" si="126"/>
        <v>5</v>
      </c>
      <c r="DR45" s="54">
        <f t="shared" si="127"/>
        <v>2</v>
      </c>
      <c r="DS45" s="54">
        <f t="shared" si="128"/>
        <v>5</v>
      </c>
      <c r="DT45" s="54">
        <f t="shared" si="129"/>
        <v>2</v>
      </c>
      <c r="DU45" s="54">
        <f t="shared" si="130"/>
        <v>5</v>
      </c>
      <c r="DV45" s="54">
        <f t="shared" si="131"/>
        <v>2</v>
      </c>
      <c r="DW45" s="54">
        <f t="shared" si="132"/>
        <v>5</v>
      </c>
      <c r="DX45" s="54">
        <f t="shared" si="133"/>
        <v>2</v>
      </c>
      <c r="DY45" s="54">
        <f t="shared" si="134"/>
        <v>5</v>
      </c>
      <c r="DZ45" s="54">
        <f t="shared" si="135"/>
        <v>2</v>
      </c>
      <c r="EA45" s="54">
        <f t="shared" si="134"/>
        <v>5</v>
      </c>
      <c r="EB45" s="54">
        <f t="shared" si="135"/>
        <v>2</v>
      </c>
      <c r="EC45" s="54">
        <f t="shared" si="135"/>
        <v>5</v>
      </c>
      <c r="ED45" s="54">
        <f t="shared" si="173"/>
        <v>2</v>
      </c>
      <c r="EE45" s="54">
        <f t="shared" si="174"/>
        <v>5</v>
      </c>
      <c r="EF45" s="54">
        <f t="shared" si="175"/>
        <v>2</v>
      </c>
      <c r="EG45" s="54">
        <f t="shared" ref="EG45:EN45" si="183">EG44</f>
        <v>5</v>
      </c>
      <c r="EH45" s="54">
        <f t="shared" si="183"/>
        <v>2</v>
      </c>
      <c r="EI45" s="54">
        <f t="shared" si="183"/>
        <v>5</v>
      </c>
      <c r="EJ45" s="54">
        <f t="shared" si="183"/>
        <v>2</v>
      </c>
      <c r="EK45" s="54">
        <f t="shared" si="183"/>
        <v>5</v>
      </c>
      <c r="EL45" s="54">
        <f t="shared" si="183"/>
        <v>2</v>
      </c>
      <c r="EM45" s="54">
        <f t="shared" si="183"/>
        <v>5</v>
      </c>
      <c r="EN45" s="54">
        <f t="shared" si="183"/>
        <v>2</v>
      </c>
      <c r="EO45" s="54">
        <f t="shared" si="171"/>
        <v>2</v>
      </c>
      <c r="EP45" s="54">
        <f t="shared" si="172"/>
        <v>2</v>
      </c>
    </row>
    <row r="46" spans="1:146" x14ac:dyDescent="0.2">
      <c r="B46" t="s">
        <v>230</v>
      </c>
      <c r="C46" s="54">
        <f t="shared" si="9"/>
        <v>45474</v>
      </c>
      <c r="D46" s="54">
        <f t="shared" si="1"/>
        <v>1</v>
      </c>
      <c r="E46" s="54">
        <f t="shared" si="10"/>
        <v>4</v>
      </c>
      <c r="F46" s="54">
        <f t="shared" si="11"/>
        <v>2</v>
      </c>
      <c r="G46" s="54">
        <f t="shared" si="12"/>
        <v>5</v>
      </c>
      <c r="H46" s="54">
        <f t="shared" si="13"/>
        <v>2</v>
      </c>
      <c r="I46" s="54">
        <f t="shared" si="14"/>
        <v>5</v>
      </c>
      <c r="J46" s="54">
        <f t="shared" si="15"/>
        <v>2</v>
      </c>
      <c r="K46" s="54">
        <f t="shared" si="16"/>
        <v>5</v>
      </c>
      <c r="L46" s="54">
        <f t="shared" si="17"/>
        <v>2</v>
      </c>
      <c r="M46" s="54">
        <f t="shared" si="18"/>
        <v>5</v>
      </c>
      <c r="N46" s="54">
        <f t="shared" si="19"/>
        <v>2</v>
      </c>
      <c r="O46" s="54">
        <f t="shared" si="20"/>
        <v>5</v>
      </c>
      <c r="P46" s="54">
        <f t="shared" si="21"/>
        <v>2</v>
      </c>
      <c r="Q46" s="54">
        <f t="shared" si="22"/>
        <v>5</v>
      </c>
      <c r="R46" s="54">
        <f t="shared" si="23"/>
        <v>2</v>
      </c>
      <c r="S46" s="54">
        <f t="shared" si="24"/>
        <v>5</v>
      </c>
      <c r="T46" s="54">
        <f t="shared" si="25"/>
        <v>2</v>
      </c>
      <c r="U46" s="54">
        <f t="shared" si="26"/>
        <v>5</v>
      </c>
      <c r="V46" s="54">
        <f t="shared" si="27"/>
        <v>2</v>
      </c>
      <c r="W46" s="54">
        <f t="shared" si="28"/>
        <v>5</v>
      </c>
      <c r="X46" s="54">
        <f t="shared" si="29"/>
        <v>2</v>
      </c>
      <c r="Y46" s="54">
        <f t="shared" si="30"/>
        <v>5</v>
      </c>
      <c r="Z46" s="54">
        <f t="shared" si="31"/>
        <v>2</v>
      </c>
      <c r="AA46" s="54">
        <f t="shared" si="32"/>
        <v>5</v>
      </c>
      <c r="AB46" s="54">
        <f t="shared" si="33"/>
        <v>2</v>
      </c>
      <c r="AC46" s="54">
        <f t="shared" si="34"/>
        <v>5</v>
      </c>
      <c r="AD46" s="54">
        <f t="shared" si="35"/>
        <v>2</v>
      </c>
      <c r="AE46" s="54">
        <f t="shared" si="36"/>
        <v>5</v>
      </c>
      <c r="AF46" s="54">
        <f t="shared" si="37"/>
        <v>2</v>
      </c>
      <c r="AG46" s="54">
        <f t="shared" si="38"/>
        <v>5</v>
      </c>
      <c r="AH46" s="54">
        <f t="shared" si="39"/>
        <v>2</v>
      </c>
      <c r="AI46" s="54">
        <f t="shared" si="40"/>
        <v>5</v>
      </c>
      <c r="AJ46" s="54">
        <f t="shared" si="41"/>
        <v>2</v>
      </c>
      <c r="AK46" s="54">
        <f t="shared" si="42"/>
        <v>5</v>
      </c>
      <c r="AL46" s="54">
        <f t="shared" si="43"/>
        <v>2</v>
      </c>
      <c r="AM46" s="54">
        <f t="shared" si="44"/>
        <v>5</v>
      </c>
      <c r="AN46" s="54">
        <f t="shared" si="45"/>
        <v>2</v>
      </c>
      <c r="AO46" s="54">
        <f t="shared" si="46"/>
        <v>5</v>
      </c>
      <c r="AP46" s="54">
        <f t="shared" si="47"/>
        <v>2</v>
      </c>
      <c r="AQ46" s="54">
        <f t="shared" si="48"/>
        <v>5</v>
      </c>
      <c r="AR46" s="54">
        <f t="shared" si="49"/>
        <v>2</v>
      </c>
      <c r="AS46" s="54">
        <f t="shared" si="50"/>
        <v>5</v>
      </c>
      <c r="AT46" s="54">
        <f t="shared" si="51"/>
        <v>2</v>
      </c>
      <c r="AU46" s="54">
        <f t="shared" si="52"/>
        <v>5</v>
      </c>
      <c r="AV46" s="54">
        <f t="shared" si="53"/>
        <v>2</v>
      </c>
      <c r="AW46" s="54">
        <f t="shared" si="54"/>
        <v>5</v>
      </c>
      <c r="AX46" s="54">
        <f t="shared" si="55"/>
        <v>2</v>
      </c>
      <c r="AY46" s="54">
        <f t="shared" si="56"/>
        <v>5</v>
      </c>
      <c r="AZ46" s="54">
        <f t="shared" si="57"/>
        <v>2</v>
      </c>
      <c r="BA46" s="54">
        <f t="shared" si="58"/>
        <v>5</v>
      </c>
      <c r="BB46" s="54">
        <f t="shared" si="59"/>
        <v>2</v>
      </c>
      <c r="BC46" s="54">
        <f t="shared" si="60"/>
        <v>5</v>
      </c>
      <c r="BD46" s="54">
        <f t="shared" si="61"/>
        <v>2</v>
      </c>
      <c r="BE46" s="54">
        <f t="shared" si="62"/>
        <v>5</v>
      </c>
      <c r="BF46" s="54">
        <f t="shared" si="63"/>
        <v>2</v>
      </c>
      <c r="BG46" s="54">
        <f t="shared" si="64"/>
        <v>5</v>
      </c>
      <c r="BH46" s="54">
        <f t="shared" si="65"/>
        <v>2</v>
      </c>
      <c r="BI46" s="54">
        <f t="shared" si="66"/>
        <v>5</v>
      </c>
      <c r="BJ46" s="54">
        <f t="shared" si="67"/>
        <v>2</v>
      </c>
      <c r="BK46" s="54">
        <f t="shared" si="68"/>
        <v>5</v>
      </c>
      <c r="BL46" s="54">
        <f t="shared" si="69"/>
        <v>2</v>
      </c>
      <c r="BM46" s="54">
        <f t="shared" si="70"/>
        <v>5</v>
      </c>
      <c r="BN46" s="54">
        <f t="shared" si="71"/>
        <v>2</v>
      </c>
      <c r="BO46" s="54">
        <f t="shared" si="72"/>
        <v>5</v>
      </c>
      <c r="BP46" s="54">
        <f t="shared" si="73"/>
        <v>2</v>
      </c>
      <c r="BQ46" s="54">
        <f t="shared" si="74"/>
        <v>5</v>
      </c>
      <c r="BR46" s="54">
        <f t="shared" si="75"/>
        <v>2</v>
      </c>
      <c r="BS46" s="54">
        <f t="shared" si="76"/>
        <v>5</v>
      </c>
      <c r="BT46" s="54">
        <f t="shared" si="77"/>
        <v>2</v>
      </c>
      <c r="BU46" s="54">
        <f t="shared" si="78"/>
        <v>5</v>
      </c>
      <c r="BV46" s="54">
        <f t="shared" si="79"/>
        <v>2</v>
      </c>
      <c r="BW46" s="54">
        <f t="shared" si="80"/>
        <v>5</v>
      </c>
      <c r="BX46" s="54">
        <f t="shared" si="81"/>
        <v>2</v>
      </c>
      <c r="BY46" s="54">
        <f t="shared" si="82"/>
        <v>5</v>
      </c>
      <c r="BZ46" s="54">
        <f t="shared" si="83"/>
        <v>2</v>
      </c>
      <c r="CA46" s="54">
        <f t="shared" si="84"/>
        <v>5</v>
      </c>
      <c r="CB46" s="54">
        <f t="shared" si="85"/>
        <v>2</v>
      </c>
      <c r="CC46" s="54">
        <f t="shared" si="86"/>
        <v>5</v>
      </c>
      <c r="CD46" s="54">
        <f t="shared" si="87"/>
        <v>2</v>
      </c>
      <c r="CE46" s="54">
        <f t="shared" si="88"/>
        <v>5</v>
      </c>
      <c r="CF46" s="54">
        <f t="shared" si="89"/>
        <v>2</v>
      </c>
      <c r="CG46" s="54">
        <f t="shared" si="90"/>
        <v>5</v>
      </c>
      <c r="CH46" s="54">
        <f t="shared" si="91"/>
        <v>2</v>
      </c>
      <c r="CI46" s="54">
        <f t="shared" si="92"/>
        <v>5</v>
      </c>
      <c r="CJ46" s="54">
        <f t="shared" si="93"/>
        <v>2</v>
      </c>
      <c r="CK46" s="54">
        <f t="shared" si="94"/>
        <v>5</v>
      </c>
      <c r="CL46" s="54">
        <f t="shared" si="95"/>
        <v>2</v>
      </c>
      <c r="CM46" s="54">
        <f t="shared" si="96"/>
        <v>5</v>
      </c>
      <c r="CN46" s="54">
        <f t="shared" si="97"/>
        <v>2</v>
      </c>
      <c r="CO46" s="54">
        <f t="shared" si="98"/>
        <v>5</v>
      </c>
      <c r="CP46" s="54">
        <f t="shared" si="99"/>
        <v>2</v>
      </c>
      <c r="CQ46" s="54">
        <f t="shared" si="100"/>
        <v>5</v>
      </c>
      <c r="CR46" s="54">
        <f t="shared" si="101"/>
        <v>2</v>
      </c>
      <c r="CS46" s="54">
        <f t="shared" si="102"/>
        <v>5</v>
      </c>
      <c r="CT46" s="54">
        <f t="shared" si="103"/>
        <v>2</v>
      </c>
      <c r="CU46" s="54">
        <f t="shared" si="104"/>
        <v>5</v>
      </c>
      <c r="CV46" s="54">
        <f t="shared" si="105"/>
        <v>2</v>
      </c>
      <c r="CW46" s="54">
        <f t="shared" si="106"/>
        <v>5</v>
      </c>
      <c r="CX46" s="54">
        <f t="shared" si="107"/>
        <v>2</v>
      </c>
      <c r="CY46" s="54">
        <f t="shared" si="108"/>
        <v>5</v>
      </c>
      <c r="CZ46" s="54">
        <f t="shared" si="109"/>
        <v>2</v>
      </c>
      <c r="DA46" s="54">
        <f t="shared" si="110"/>
        <v>5</v>
      </c>
      <c r="DB46" s="54">
        <f t="shared" si="111"/>
        <v>2</v>
      </c>
      <c r="DC46" s="54">
        <f t="shared" si="112"/>
        <v>5</v>
      </c>
      <c r="DD46" s="54">
        <f t="shared" si="113"/>
        <v>2</v>
      </c>
      <c r="DE46" s="54">
        <f t="shared" si="114"/>
        <v>5</v>
      </c>
      <c r="DF46" s="54">
        <f t="shared" si="115"/>
        <v>2</v>
      </c>
      <c r="DG46" s="54">
        <f t="shared" si="116"/>
        <v>5</v>
      </c>
      <c r="DH46" s="54">
        <f t="shared" si="117"/>
        <v>2</v>
      </c>
      <c r="DI46" s="54">
        <f t="shared" si="118"/>
        <v>5</v>
      </c>
      <c r="DJ46" s="54">
        <f t="shared" si="119"/>
        <v>2</v>
      </c>
      <c r="DK46" s="54">
        <f t="shared" si="120"/>
        <v>5</v>
      </c>
      <c r="DL46" s="54">
        <f t="shared" si="121"/>
        <v>2</v>
      </c>
      <c r="DM46" s="54">
        <f t="shared" si="122"/>
        <v>5</v>
      </c>
      <c r="DN46" s="54">
        <f t="shared" si="123"/>
        <v>2</v>
      </c>
      <c r="DO46" s="54">
        <f t="shared" si="124"/>
        <v>5</v>
      </c>
      <c r="DP46" s="54">
        <f t="shared" si="125"/>
        <v>2</v>
      </c>
      <c r="DQ46" s="54">
        <f t="shared" si="126"/>
        <v>5</v>
      </c>
      <c r="DR46" s="54">
        <f t="shared" si="127"/>
        <v>2</v>
      </c>
      <c r="DS46" s="54">
        <f t="shared" si="128"/>
        <v>5</v>
      </c>
      <c r="DT46" s="54">
        <f t="shared" si="129"/>
        <v>2</v>
      </c>
      <c r="DU46" s="54">
        <f t="shared" si="130"/>
        <v>5</v>
      </c>
      <c r="DV46" s="54">
        <f t="shared" si="131"/>
        <v>2</v>
      </c>
      <c r="DW46" s="54">
        <f t="shared" si="132"/>
        <v>5</v>
      </c>
      <c r="DX46" s="54">
        <f t="shared" si="133"/>
        <v>2</v>
      </c>
      <c r="DY46" s="54">
        <f t="shared" si="134"/>
        <v>5</v>
      </c>
      <c r="DZ46" s="54">
        <f t="shared" si="135"/>
        <v>2</v>
      </c>
      <c r="EA46" s="54">
        <f t="shared" si="134"/>
        <v>5</v>
      </c>
      <c r="EB46" s="54">
        <f t="shared" si="135"/>
        <v>2</v>
      </c>
      <c r="EC46" s="54">
        <f t="shared" si="135"/>
        <v>5</v>
      </c>
      <c r="ED46" s="54">
        <f t="shared" si="173"/>
        <v>2</v>
      </c>
      <c r="EE46" s="54">
        <f t="shared" si="174"/>
        <v>5</v>
      </c>
      <c r="EF46" s="54">
        <f t="shared" si="175"/>
        <v>2</v>
      </c>
      <c r="EG46" s="54">
        <f t="shared" ref="EG46:EN46" si="184">EG45</f>
        <v>5</v>
      </c>
      <c r="EH46" s="54">
        <f t="shared" si="184"/>
        <v>2</v>
      </c>
      <c r="EI46" s="54">
        <f t="shared" si="184"/>
        <v>5</v>
      </c>
      <c r="EJ46" s="54">
        <f t="shared" si="184"/>
        <v>2</v>
      </c>
      <c r="EK46" s="54">
        <f t="shared" si="184"/>
        <v>5</v>
      </c>
      <c r="EL46" s="54">
        <f t="shared" si="184"/>
        <v>2</v>
      </c>
      <c r="EM46" s="54">
        <f t="shared" si="184"/>
        <v>5</v>
      </c>
      <c r="EN46" s="54">
        <f t="shared" si="184"/>
        <v>2</v>
      </c>
      <c r="EO46" s="54">
        <f t="shared" si="171"/>
        <v>2</v>
      </c>
      <c r="EP46" s="54">
        <f t="shared" si="172"/>
        <v>2</v>
      </c>
    </row>
    <row r="47" spans="1:146" x14ac:dyDescent="0.2">
      <c r="A47" s="54"/>
      <c r="B47" t="s">
        <v>230</v>
      </c>
      <c r="C47" s="54">
        <f t="shared" si="9"/>
        <v>45474</v>
      </c>
      <c r="D47" s="54">
        <f t="shared" si="1"/>
        <v>1</v>
      </c>
      <c r="E47" s="54">
        <f t="shared" si="10"/>
        <v>4</v>
      </c>
      <c r="F47" s="54">
        <f t="shared" si="11"/>
        <v>2</v>
      </c>
      <c r="G47" s="54">
        <f t="shared" si="12"/>
        <v>5</v>
      </c>
      <c r="H47" s="54">
        <f t="shared" si="13"/>
        <v>2</v>
      </c>
      <c r="I47" s="54">
        <f t="shared" si="14"/>
        <v>5</v>
      </c>
      <c r="J47" s="54">
        <f t="shared" si="15"/>
        <v>2</v>
      </c>
      <c r="K47" s="54">
        <f t="shared" si="16"/>
        <v>5</v>
      </c>
      <c r="L47" s="54">
        <f t="shared" si="17"/>
        <v>2</v>
      </c>
      <c r="M47" s="54">
        <f t="shared" si="18"/>
        <v>5</v>
      </c>
      <c r="N47" s="54">
        <f t="shared" si="19"/>
        <v>2</v>
      </c>
      <c r="O47" s="54">
        <f t="shared" si="20"/>
        <v>5</v>
      </c>
      <c r="P47" s="54">
        <f t="shared" si="21"/>
        <v>2</v>
      </c>
      <c r="Q47" s="54">
        <f t="shared" si="22"/>
        <v>5</v>
      </c>
      <c r="R47" s="54">
        <f t="shared" si="23"/>
        <v>2</v>
      </c>
      <c r="S47" s="54">
        <f t="shared" si="24"/>
        <v>5</v>
      </c>
      <c r="T47" s="54">
        <f t="shared" si="25"/>
        <v>2</v>
      </c>
      <c r="U47" s="54">
        <f t="shared" si="26"/>
        <v>5</v>
      </c>
      <c r="V47" s="54">
        <f t="shared" si="27"/>
        <v>2</v>
      </c>
      <c r="W47" s="54">
        <f t="shared" si="28"/>
        <v>5</v>
      </c>
      <c r="X47" s="54">
        <f t="shared" si="29"/>
        <v>2</v>
      </c>
      <c r="Y47" s="54">
        <f t="shared" si="30"/>
        <v>5</v>
      </c>
      <c r="Z47" s="54">
        <f t="shared" si="31"/>
        <v>2</v>
      </c>
      <c r="AA47" s="54">
        <f t="shared" si="32"/>
        <v>5</v>
      </c>
      <c r="AB47" s="54">
        <f t="shared" si="33"/>
        <v>2</v>
      </c>
      <c r="AC47" s="54">
        <f t="shared" si="34"/>
        <v>5</v>
      </c>
      <c r="AD47" s="54">
        <f t="shared" si="35"/>
        <v>2</v>
      </c>
      <c r="AE47" s="54">
        <f t="shared" si="36"/>
        <v>5</v>
      </c>
      <c r="AF47" s="54">
        <f t="shared" si="37"/>
        <v>2</v>
      </c>
      <c r="AG47" s="54">
        <f t="shared" si="38"/>
        <v>5</v>
      </c>
      <c r="AH47" s="54">
        <f t="shared" si="39"/>
        <v>2</v>
      </c>
      <c r="AI47" s="54">
        <f t="shared" si="40"/>
        <v>5</v>
      </c>
      <c r="AJ47" s="54">
        <f t="shared" si="41"/>
        <v>2</v>
      </c>
      <c r="AK47" s="54">
        <f t="shared" si="42"/>
        <v>5</v>
      </c>
      <c r="AL47" s="54">
        <f t="shared" si="43"/>
        <v>2</v>
      </c>
      <c r="AM47" s="54">
        <f t="shared" si="44"/>
        <v>5</v>
      </c>
      <c r="AN47" s="54">
        <f t="shared" si="45"/>
        <v>2</v>
      </c>
      <c r="AO47" s="54">
        <f t="shared" si="46"/>
        <v>5</v>
      </c>
      <c r="AP47" s="54">
        <f t="shared" si="47"/>
        <v>2</v>
      </c>
      <c r="AQ47" s="54">
        <f t="shared" si="48"/>
        <v>5</v>
      </c>
      <c r="AR47" s="54">
        <f t="shared" si="49"/>
        <v>2</v>
      </c>
      <c r="AS47" s="54">
        <f t="shared" si="50"/>
        <v>5</v>
      </c>
      <c r="AT47" s="54">
        <f t="shared" si="51"/>
        <v>2</v>
      </c>
      <c r="AU47" s="54">
        <f t="shared" si="52"/>
        <v>5</v>
      </c>
      <c r="AV47" s="54">
        <f t="shared" si="53"/>
        <v>2</v>
      </c>
      <c r="AW47" s="54">
        <f t="shared" si="54"/>
        <v>5</v>
      </c>
      <c r="AX47" s="54">
        <f t="shared" si="55"/>
        <v>2</v>
      </c>
      <c r="AY47" s="54">
        <f t="shared" si="56"/>
        <v>5</v>
      </c>
      <c r="AZ47" s="54">
        <f t="shared" si="57"/>
        <v>2</v>
      </c>
      <c r="BA47" s="54">
        <f t="shared" si="58"/>
        <v>5</v>
      </c>
      <c r="BB47" s="54">
        <f t="shared" si="59"/>
        <v>2</v>
      </c>
      <c r="BC47" s="54">
        <f t="shared" si="60"/>
        <v>5</v>
      </c>
      <c r="BD47" s="54">
        <f t="shared" si="61"/>
        <v>2</v>
      </c>
      <c r="BE47" s="54">
        <f t="shared" si="62"/>
        <v>5</v>
      </c>
      <c r="BF47" s="54">
        <f t="shared" si="63"/>
        <v>2</v>
      </c>
      <c r="BG47" s="54">
        <f t="shared" si="64"/>
        <v>5</v>
      </c>
      <c r="BH47" s="54">
        <f t="shared" si="65"/>
        <v>2</v>
      </c>
      <c r="BI47" s="54">
        <f t="shared" si="66"/>
        <v>5</v>
      </c>
      <c r="BJ47" s="54">
        <f t="shared" si="67"/>
        <v>2</v>
      </c>
      <c r="BK47" s="54">
        <f t="shared" si="68"/>
        <v>5</v>
      </c>
      <c r="BL47" s="54">
        <f t="shared" si="69"/>
        <v>2</v>
      </c>
      <c r="BM47" s="54">
        <f t="shared" si="70"/>
        <v>5</v>
      </c>
      <c r="BN47" s="54">
        <f t="shared" si="71"/>
        <v>2</v>
      </c>
      <c r="BO47" s="54">
        <f t="shared" si="72"/>
        <v>5</v>
      </c>
      <c r="BP47" s="54">
        <f t="shared" si="73"/>
        <v>2</v>
      </c>
      <c r="BQ47" s="54">
        <f t="shared" si="74"/>
        <v>5</v>
      </c>
      <c r="BR47" s="54">
        <f t="shared" si="75"/>
        <v>2</v>
      </c>
      <c r="BS47" s="54">
        <f t="shared" si="76"/>
        <v>5</v>
      </c>
      <c r="BT47" s="54">
        <f t="shared" si="77"/>
        <v>2</v>
      </c>
      <c r="BU47" s="54">
        <f t="shared" si="78"/>
        <v>5</v>
      </c>
      <c r="BV47" s="54">
        <f t="shared" si="79"/>
        <v>2</v>
      </c>
      <c r="BW47" s="54">
        <f t="shared" si="80"/>
        <v>5</v>
      </c>
      <c r="BX47" s="54">
        <f t="shared" si="81"/>
        <v>2</v>
      </c>
      <c r="BY47" s="54">
        <f t="shared" si="82"/>
        <v>5</v>
      </c>
      <c r="BZ47" s="54">
        <f t="shared" si="83"/>
        <v>2</v>
      </c>
      <c r="CA47" s="54">
        <f t="shared" si="84"/>
        <v>5</v>
      </c>
      <c r="CB47" s="54">
        <f t="shared" si="85"/>
        <v>2</v>
      </c>
      <c r="CC47" s="54">
        <f t="shared" si="86"/>
        <v>5</v>
      </c>
      <c r="CD47" s="54">
        <f t="shared" si="87"/>
        <v>2</v>
      </c>
      <c r="CE47" s="54">
        <f t="shared" si="88"/>
        <v>5</v>
      </c>
      <c r="CF47" s="54">
        <f t="shared" si="89"/>
        <v>2</v>
      </c>
      <c r="CG47" s="54">
        <f t="shared" si="90"/>
        <v>5</v>
      </c>
      <c r="CH47" s="54">
        <f t="shared" si="91"/>
        <v>2</v>
      </c>
      <c r="CI47" s="54">
        <f t="shared" si="92"/>
        <v>5</v>
      </c>
      <c r="CJ47" s="54">
        <f t="shared" si="93"/>
        <v>2</v>
      </c>
      <c r="CK47" s="54">
        <f t="shared" si="94"/>
        <v>5</v>
      </c>
      <c r="CL47" s="54">
        <f t="shared" si="95"/>
        <v>2</v>
      </c>
      <c r="CM47" s="54">
        <f t="shared" si="96"/>
        <v>5</v>
      </c>
      <c r="CN47" s="54">
        <f t="shared" si="97"/>
        <v>2</v>
      </c>
      <c r="CO47" s="54">
        <f t="shared" si="98"/>
        <v>5</v>
      </c>
      <c r="CP47" s="54">
        <f t="shared" si="99"/>
        <v>2</v>
      </c>
      <c r="CQ47" s="54">
        <f t="shared" si="100"/>
        <v>5</v>
      </c>
      <c r="CR47" s="54">
        <f t="shared" si="101"/>
        <v>2</v>
      </c>
      <c r="CS47" s="54">
        <f t="shared" si="102"/>
        <v>5</v>
      </c>
      <c r="CT47" s="54">
        <f t="shared" si="103"/>
        <v>2</v>
      </c>
      <c r="CU47" s="54">
        <f t="shared" si="104"/>
        <v>5</v>
      </c>
      <c r="CV47" s="54">
        <f t="shared" si="105"/>
        <v>2</v>
      </c>
      <c r="CW47" s="54">
        <f t="shared" si="106"/>
        <v>5</v>
      </c>
      <c r="CX47" s="54">
        <f t="shared" si="107"/>
        <v>2</v>
      </c>
      <c r="CY47" s="54">
        <f t="shared" si="108"/>
        <v>5</v>
      </c>
      <c r="CZ47" s="54">
        <f t="shared" si="109"/>
        <v>2</v>
      </c>
      <c r="DA47" s="54">
        <f t="shared" si="110"/>
        <v>5</v>
      </c>
      <c r="DB47" s="54">
        <f t="shared" si="111"/>
        <v>2</v>
      </c>
      <c r="DC47" s="54">
        <f t="shared" si="112"/>
        <v>5</v>
      </c>
      <c r="DD47" s="54">
        <f t="shared" si="113"/>
        <v>2</v>
      </c>
      <c r="DE47" s="54">
        <f t="shared" si="114"/>
        <v>5</v>
      </c>
      <c r="DF47" s="54">
        <f t="shared" si="115"/>
        <v>2</v>
      </c>
      <c r="DG47" s="54">
        <f t="shared" si="116"/>
        <v>5</v>
      </c>
      <c r="DH47" s="54">
        <f t="shared" si="117"/>
        <v>2</v>
      </c>
      <c r="DI47" s="54">
        <f t="shared" si="118"/>
        <v>5</v>
      </c>
      <c r="DJ47" s="54">
        <f t="shared" si="119"/>
        <v>2</v>
      </c>
      <c r="DK47" s="54">
        <f t="shared" si="120"/>
        <v>5</v>
      </c>
      <c r="DL47" s="54">
        <f t="shared" si="121"/>
        <v>2</v>
      </c>
      <c r="DM47" s="54">
        <f t="shared" si="122"/>
        <v>5</v>
      </c>
      <c r="DN47" s="54">
        <f t="shared" si="123"/>
        <v>2</v>
      </c>
      <c r="DO47" s="54">
        <f t="shared" si="124"/>
        <v>5</v>
      </c>
      <c r="DP47" s="54">
        <f t="shared" si="125"/>
        <v>2</v>
      </c>
      <c r="DQ47" s="54">
        <f t="shared" si="126"/>
        <v>5</v>
      </c>
      <c r="DR47" s="54">
        <f t="shared" si="127"/>
        <v>2</v>
      </c>
      <c r="DS47" s="54">
        <f t="shared" si="128"/>
        <v>5</v>
      </c>
      <c r="DT47" s="54">
        <f t="shared" si="129"/>
        <v>2</v>
      </c>
      <c r="DU47" s="54">
        <f t="shared" si="130"/>
        <v>5</v>
      </c>
      <c r="DV47" s="54">
        <f t="shared" si="131"/>
        <v>2</v>
      </c>
      <c r="DW47" s="54">
        <f t="shared" si="132"/>
        <v>5</v>
      </c>
      <c r="DX47" s="54">
        <f t="shared" si="133"/>
        <v>2</v>
      </c>
      <c r="DY47" s="54">
        <f t="shared" si="134"/>
        <v>5</v>
      </c>
      <c r="DZ47" s="54">
        <f t="shared" si="135"/>
        <v>2</v>
      </c>
      <c r="EA47" s="54">
        <f t="shared" si="134"/>
        <v>5</v>
      </c>
      <c r="EB47" s="54">
        <f t="shared" si="135"/>
        <v>2</v>
      </c>
      <c r="EC47" s="54">
        <f t="shared" si="135"/>
        <v>5</v>
      </c>
      <c r="ED47" s="54">
        <f t="shared" si="173"/>
        <v>2</v>
      </c>
      <c r="EE47" s="54">
        <f t="shared" si="174"/>
        <v>5</v>
      </c>
      <c r="EF47" s="54">
        <f t="shared" si="175"/>
        <v>2</v>
      </c>
      <c r="EG47" s="54">
        <f t="shared" ref="EG47:EN47" si="185">EG46</f>
        <v>5</v>
      </c>
      <c r="EH47" s="54">
        <f t="shared" si="185"/>
        <v>2</v>
      </c>
      <c r="EI47" s="54">
        <f t="shared" si="185"/>
        <v>5</v>
      </c>
      <c r="EJ47" s="54">
        <f t="shared" si="185"/>
        <v>2</v>
      </c>
      <c r="EK47" s="54">
        <f t="shared" si="185"/>
        <v>5</v>
      </c>
      <c r="EL47" s="54">
        <f t="shared" si="185"/>
        <v>2</v>
      </c>
      <c r="EM47" s="54">
        <f t="shared" si="185"/>
        <v>5</v>
      </c>
      <c r="EN47" s="54">
        <f t="shared" si="185"/>
        <v>2</v>
      </c>
      <c r="EO47" s="54">
        <f t="shared" si="171"/>
        <v>2</v>
      </c>
      <c r="EP47" s="54">
        <f t="shared" si="172"/>
        <v>2</v>
      </c>
    </row>
    <row r="48" spans="1:146" x14ac:dyDescent="0.2">
      <c r="B48" t="s">
        <v>230</v>
      </c>
      <c r="C48" s="54">
        <f t="shared" si="9"/>
        <v>45474</v>
      </c>
      <c r="D48" s="54">
        <f t="shared" si="1"/>
        <v>1</v>
      </c>
      <c r="E48" s="54">
        <f t="shared" si="10"/>
        <v>4</v>
      </c>
      <c r="F48" s="54">
        <f t="shared" si="11"/>
        <v>2</v>
      </c>
      <c r="G48" s="54">
        <f t="shared" si="12"/>
        <v>5</v>
      </c>
      <c r="H48" s="54">
        <f t="shared" si="13"/>
        <v>2</v>
      </c>
      <c r="I48" s="54">
        <f t="shared" si="14"/>
        <v>5</v>
      </c>
      <c r="J48" s="54">
        <f t="shared" si="15"/>
        <v>2</v>
      </c>
      <c r="K48" s="54">
        <f t="shared" si="16"/>
        <v>5</v>
      </c>
      <c r="L48" s="54">
        <f t="shared" si="17"/>
        <v>2</v>
      </c>
      <c r="M48" s="54">
        <f t="shared" si="18"/>
        <v>5</v>
      </c>
      <c r="N48" s="54">
        <f t="shared" si="19"/>
        <v>2</v>
      </c>
      <c r="O48" s="54">
        <f t="shared" si="20"/>
        <v>5</v>
      </c>
      <c r="P48" s="54">
        <f t="shared" si="21"/>
        <v>2</v>
      </c>
      <c r="Q48" s="54">
        <f t="shared" si="22"/>
        <v>5</v>
      </c>
      <c r="R48" s="54">
        <f t="shared" si="23"/>
        <v>2</v>
      </c>
      <c r="S48" s="54">
        <f t="shared" si="24"/>
        <v>5</v>
      </c>
      <c r="T48" s="54">
        <f t="shared" si="25"/>
        <v>2</v>
      </c>
      <c r="U48" s="54">
        <f t="shared" si="26"/>
        <v>5</v>
      </c>
      <c r="V48" s="54">
        <f t="shared" si="27"/>
        <v>2</v>
      </c>
      <c r="W48" s="54">
        <f t="shared" si="28"/>
        <v>5</v>
      </c>
      <c r="X48" s="54">
        <f t="shared" si="29"/>
        <v>2</v>
      </c>
      <c r="Y48" s="54">
        <f t="shared" si="30"/>
        <v>5</v>
      </c>
      <c r="Z48" s="54">
        <f t="shared" si="31"/>
        <v>2</v>
      </c>
      <c r="AA48" s="54">
        <f t="shared" si="32"/>
        <v>5</v>
      </c>
      <c r="AB48" s="54">
        <f t="shared" si="33"/>
        <v>2</v>
      </c>
      <c r="AC48" s="54">
        <f t="shared" si="34"/>
        <v>5</v>
      </c>
      <c r="AD48" s="54">
        <f t="shared" si="35"/>
        <v>2</v>
      </c>
      <c r="AE48" s="54">
        <f t="shared" si="36"/>
        <v>5</v>
      </c>
      <c r="AF48" s="54">
        <f t="shared" si="37"/>
        <v>2</v>
      </c>
      <c r="AG48" s="54">
        <f t="shared" si="38"/>
        <v>5</v>
      </c>
      <c r="AH48" s="54">
        <f t="shared" si="39"/>
        <v>2</v>
      </c>
      <c r="AI48" s="54">
        <f t="shared" si="40"/>
        <v>5</v>
      </c>
      <c r="AJ48" s="54">
        <f t="shared" si="41"/>
        <v>2</v>
      </c>
      <c r="AK48" s="54">
        <f t="shared" si="42"/>
        <v>5</v>
      </c>
      <c r="AL48" s="54">
        <f t="shared" si="43"/>
        <v>2</v>
      </c>
      <c r="AM48" s="54">
        <f t="shared" si="44"/>
        <v>5</v>
      </c>
      <c r="AN48" s="54">
        <f t="shared" si="45"/>
        <v>2</v>
      </c>
      <c r="AO48" s="54">
        <f t="shared" si="46"/>
        <v>5</v>
      </c>
      <c r="AP48" s="54">
        <f t="shared" si="47"/>
        <v>2</v>
      </c>
      <c r="AQ48" s="54">
        <f t="shared" si="48"/>
        <v>5</v>
      </c>
      <c r="AR48" s="54">
        <f t="shared" si="49"/>
        <v>2</v>
      </c>
      <c r="AS48" s="54">
        <f t="shared" si="50"/>
        <v>5</v>
      </c>
      <c r="AT48" s="54">
        <f t="shared" si="51"/>
        <v>2</v>
      </c>
      <c r="AU48" s="54">
        <f t="shared" si="52"/>
        <v>5</v>
      </c>
      <c r="AV48" s="54">
        <f t="shared" si="53"/>
        <v>2</v>
      </c>
      <c r="AW48" s="54">
        <f t="shared" si="54"/>
        <v>5</v>
      </c>
      <c r="AX48" s="54">
        <f t="shared" si="55"/>
        <v>2</v>
      </c>
      <c r="AY48" s="54">
        <f t="shared" si="56"/>
        <v>5</v>
      </c>
      <c r="AZ48" s="54">
        <f t="shared" si="57"/>
        <v>2</v>
      </c>
      <c r="BA48" s="54">
        <f t="shared" si="58"/>
        <v>5</v>
      </c>
      <c r="BB48" s="54">
        <f t="shared" si="59"/>
        <v>2</v>
      </c>
      <c r="BC48" s="54">
        <f t="shared" si="60"/>
        <v>5</v>
      </c>
      <c r="BD48" s="54">
        <f t="shared" si="61"/>
        <v>2</v>
      </c>
      <c r="BE48" s="54">
        <f t="shared" si="62"/>
        <v>5</v>
      </c>
      <c r="BF48" s="54">
        <f t="shared" si="63"/>
        <v>2</v>
      </c>
      <c r="BG48" s="54">
        <f t="shared" si="64"/>
        <v>5</v>
      </c>
      <c r="BH48" s="54">
        <f t="shared" si="65"/>
        <v>2</v>
      </c>
      <c r="BI48" s="54">
        <f t="shared" si="66"/>
        <v>5</v>
      </c>
      <c r="BJ48" s="54">
        <f t="shared" si="67"/>
        <v>2</v>
      </c>
      <c r="BK48" s="54">
        <f t="shared" si="68"/>
        <v>5</v>
      </c>
      <c r="BL48" s="54">
        <f t="shared" si="69"/>
        <v>2</v>
      </c>
      <c r="BM48" s="54">
        <f t="shared" si="70"/>
        <v>5</v>
      </c>
      <c r="BN48" s="54">
        <f t="shared" si="71"/>
        <v>2</v>
      </c>
      <c r="BO48" s="54">
        <f t="shared" si="72"/>
        <v>5</v>
      </c>
      <c r="BP48" s="54">
        <f t="shared" si="73"/>
        <v>2</v>
      </c>
      <c r="BQ48" s="54">
        <f t="shared" si="74"/>
        <v>5</v>
      </c>
      <c r="BR48" s="54">
        <f t="shared" si="75"/>
        <v>2</v>
      </c>
      <c r="BS48" s="54">
        <f t="shared" si="76"/>
        <v>5</v>
      </c>
      <c r="BT48" s="54">
        <f t="shared" si="77"/>
        <v>2</v>
      </c>
      <c r="BU48" s="54">
        <f t="shared" si="78"/>
        <v>5</v>
      </c>
      <c r="BV48" s="54">
        <f t="shared" si="79"/>
        <v>2</v>
      </c>
      <c r="BW48" s="54">
        <f t="shared" si="80"/>
        <v>5</v>
      </c>
      <c r="BX48" s="54">
        <f t="shared" si="81"/>
        <v>2</v>
      </c>
      <c r="BY48" s="54">
        <f t="shared" si="82"/>
        <v>5</v>
      </c>
      <c r="BZ48" s="54">
        <f t="shared" si="83"/>
        <v>2</v>
      </c>
      <c r="CA48" s="54">
        <f t="shared" si="84"/>
        <v>5</v>
      </c>
      <c r="CB48" s="54">
        <f t="shared" si="85"/>
        <v>2</v>
      </c>
      <c r="CC48" s="54">
        <f t="shared" si="86"/>
        <v>5</v>
      </c>
      <c r="CD48" s="54">
        <f t="shared" si="87"/>
        <v>2</v>
      </c>
      <c r="CE48" s="54">
        <f t="shared" si="88"/>
        <v>5</v>
      </c>
      <c r="CF48" s="54">
        <f t="shared" si="89"/>
        <v>2</v>
      </c>
      <c r="CG48" s="54">
        <f t="shared" si="90"/>
        <v>5</v>
      </c>
      <c r="CH48" s="54">
        <f t="shared" si="91"/>
        <v>2</v>
      </c>
      <c r="CI48" s="54">
        <f t="shared" si="92"/>
        <v>5</v>
      </c>
      <c r="CJ48" s="54">
        <f t="shared" si="93"/>
        <v>2</v>
      </c>
      <c r="CK48" s="54">
        <f t="shared" si="94"/>
        <v>5</v>
      </c>
      <c r="CL48" s="54">
        <f t="shared" si="95"/>
        <v>2</v>
      </c>
      <c r="CM48" s="54">
        <f t="shared" si="96"/>
        <v>5</v>
      </c>
      <c r="CN48" s="54">
        <f t="shared" si="97"/>
        <v>2</v>
      </c>
      <c r="CO48" s="54">
        <f t="shared" si="98"/>
        <v>5</v>
      </c>
      <c r="CP48" s="54">
        <f t="shared" si="99"/>
        <v>2</v>
      </c>
      <c r="CQ48" s="54">
        <f t="shared" si="100"/>
        <v>5</v>
      </c>
      <c r="CR48" s="54">
        <f t="shared" si="101"/>
        <v>2</v>
      </c>
      <c r="CS48" s="54">
        <f t="shared" si="102"/>
        <v>5</v>
      </c>
      <c r="CT48" s="54">
        <f t="shared" si="103"/>
        <v>2</v>
      </c>
      <c r="CU48" s="54">
        <f t="shared" si="104"/>
        <v>5</v>
      </c>
      <c r="CV48" s="54">
        <f t="shared" si="105"/>
        <v>2</v>
      </c>
      <c r="CW48" s="54">
        <f t="shared" si="106"/>
        <v>5</v>
      </c>
      <c r="CX48" s="54">
        <f t="shared" si="107"/>
        <v>2</v>
      </c>
      <c r="CY48" s="54">
        <f t="shared" si="108"/>
        <v>5</v>
      </c>
      <c r="CZ48" s="54">
        <f t="shared" si="109"/>
        <v>2</v>
      </c>
      <c r="DA48" s="54">
        <f t="shared" si="110"/>
        <v>5</v>
      </c>
      <c r="DB48" s="54">
        <f t="shared" si="111"/>
        <v>2</v>
      </c>
      <c r="DC48" s="54">
        <f t="shared" si="112"/>
        <v>5</v>
      </c>
      <c r="DD48" s="54">
        <f t="shared" si="113"/>
        <v>2</v>
      </c>
      <c r="DE48" s="54">
        <f t="shared" si="114"/>
        <v>5</v>
      </c>
      <c r="DF48" s="54">
        <f t="shared" si="115"/>
        <v>2</v>
      </c>
      <c r="DG48" s="54">
        <f t="shared" si="116"/>
        <v>5</v>
      </c>
      <c r="DH48" s="54">
        <f t="shared" si="117"/>
        <v>2</v>
      </c>
      <c r="DI48" s="54">
        <f t="shared" si="118"/>
        <v>5</v>
      </c>
      <c r="DJ48" s="54">
        <f t="shared" si="119"/>
        <v>2</v>
      </c>
      <c r="DK48" s="54">
        <f t="shared" si="120"/>
        <v>5</v>
      </c>
      <c r="DL48" s="54">
        <f t="shared" si="121"/>
        <v>2</v>
      </c>
      <c r="DM48" s="54">
        <f t="shared" si="122"/>
        <v>5</v>
      </c>
      <c r="DN48" s="54">
        <f t="shared" si="123"/>
        <v>2</v>
      </c>
      <c r="DO48" s="54">
        <f t="shared" si="124"/>
        <v>5</v>
      </c>
      <c r="DP48" s="54">
        <f t="shared" si="125"/>
        <v>2</v>
      </c>
      <c r="DQ48" s="54">
        <f t="shared" si="126"/>
        <v>5</v>
      </c>
      <c r="DR48" s="54">
        <f t="shared" si="127"/>
        <v>2</v>
      </c>
      <c r="DS48" s="54">
        <f t="shared" si="128"/>
        <v>5</v>
      </c>
      <c r="DT48" s="54">
        <f t="shared" si="129"/>
        <v>2</v>
      </c>
      <c r="DU48" s="54">
        <f t="shared" si="130"/>
        <v>5</v>
      </c>
      <c r="DV48" s="54">
        <f t="shared" si="131"/>
        <v>2</v>
      </c>
      <c r="DW48" s="54">
        <f t="shared" si="132"/>
        <v>5</v>
      </c>
      <c r="DX48" s="54">
        <f t="shared" si="133"/>
        <v>2</v>
      </c>
      <c r="DY48" s="54">
        <f t="shared" si="134"/>
        <v>5</v>
      </c>
      <c r="DZ48" s="54">
        <f t="shared" si="135"/>
        <v>2</v>
      </c>
      <c r="EA48" s="54">
        <f t="shared" si="134"/>
        <v>5</v>
      </c>
      <c r="EB48" s="54">
        <f t="shared" si="135"/>
        <v>2</v>
      </c>
      <c r="EC48" s="54">
        <f t="shared" si="135"/>
        <v>5</v>
      </c>
      <c r="ED48" s="54">
        <f t="shared" si="173"/>
        <v>2</v>
      </c>
      <c r="EE48" s="54">
        <f t="shared" si="174"/>
        <v>5</v>
      </c>
      <c r="EF48" s="54">
        <f t="shared" si="175"/>
        <v>2</v>
      </c>
      <c r="EG48" s="54">
        <f t="shared" ref="EG48:EN48" si="186">EG47</f>
        <v>5</v>
      </c>
      <c r="EH48" s="54">
        <f t="shared" si="186"/>
        <v>2</v>
      </c>
      <c r="EI48" s="54">
        <f t="shared" si="186"/>
        <v>5</v>
      </c>
      <c r="EJ48" s="54">
        <f t="shared" si="186"/>
        <v>2</v>
      </c>
      <c r="EK48" s="54">
        <f t="shared" si="186"/>
        <v>5</v>
      </c>
      <c r="EL48" s="54">
        <f t="shared" si="186"/>
        <v>2</v>
      </c>
      <c r="EM48" s="54">
        <f t="shared" si="186"/>
        <v>5</v>
      </c>
      <c r="EN48" s="54">
        <f t="shared" si="186"/>
        <v>2</v>
      </c>
      <c r="EO48" s="54">
        <f t="shared" si="171"/>
        <v>2</v>
      </c>
      <c r="EP48" s="54">
        <f t="shared" si="172"/>
        <v>2</v>
      </c>
    </row>
    <row r="49" spans="1:146" x14ac:dyDescent="0.2">
      <c r="B49" t="s">
        <v>230</v>
      </c>
      <c r="C49" s="54">
        <f t="shared" si="9"/>
        <v>45474</v>
      </c>
      <c r="D49" s="54">
        <f t="shared" si="1"/>
        <v>1</v>
      </c>
      <c r="E49" s="54">
        <f t="shared" si="10"/>
        <v>4</v>
      </c>
      <c r="F49" s="54">
        <f t="shared" si="11"/>
        <v>2</v>
      </c>
      <c r="G49" s="54">
        <f t="shared" si="12"/>
        <v>5</v>
      </c>
      <c r="H49" s="54">
        <f t="shared" si="13"/>
        <v>2</v>
      </c>
      <c r="I49" s="54">
        <f t="shared" si="14"/>
        <v>5</v>
      </c>
      <c r="J49" s="54">
        <f t="shared" si="15"/>
        <v>2</v>
      </c>
      <c r="K49" s="54">
        <f t="shared" si="16"/>
        <v>5</v>
      </c>
      <c r="L49" s="54">
        <f t="shared" si="17"/>
        <v>2</v>
      </c>
      <c r="M49" s="54">
        <f t="shared" si="18"/>
        <v>5</v>
      </c>
      <c r="N49" s="54">
        <f t="shared" si="19"/>
        <v>2</v>
      </c>
      <c r="O49" s="54">
        <f t="shared" si="20"/>
        <v>5</v>
      </c>
      <c r="P49" s="54">
        <f t="shared" si="21"/>
        <v>2</v>
      </c>
      <c r="Q49" s="54">
        <f t="shared" si="22"/>
        <v>5</v>
      </c>
      <c r="R49" s="54">
        <f t="shared" si="23"/>
        <v>2</v>
      </c>
      <c r="S49" s="54">
        <f t="shared" si="24"/>
        <v>5</v>
      </c>
      <c r="T49" s="54">
        <f t="shared" si="25"/>
        <v>2</v>
      </c>
      <c r="U49" s="54">
        <f t="shared" si="26"/>
        <v>5</v>
      </c>
      <c r="V49" s="54">
        <f t="shared" si="27"/>
        <v>2</v>
      </c>
      <c r="W49" s="54">
        <f t="shared" si="28"/>
        <v>5</v>
      </c>
      <c r="X49" s="54">
        <f t="shared" si="29"/>
        <v>2</v>
      </c>
      <c r="Y49" s="54">
        <f t="shared" si="30"/>
        <v>5</v>
      </c>
      <c r="Z49" s="54">
        <f t="shared" si="31"/>
        <v>2</v>
      </c>
      <c r="AA49" s="54">
        <f t="shared" si="32"/>
        <v>5</v>
      </c>
      <c r="AB49" s="54">
        <f t="shared" si="33"/>
        <v>2</v>
      </c>
      <c r="AC49" s="54">
        <f t="shared" si="34"/>
        <v>5</v>
      </c>
      <c r="AD49" s="54">
        <f t="shared" si="35"/>
        <v>2</v>
      </c>
      <c r="AE49" s="54">
        <f t="shared" si="36"/>
        <v>5</v>
      </c>
      <c r="AF49" s="54">
        <f t="shared" si="37"/>
        <v>2</v>
      </c>
      <c r="AG49" s="54">
        <f t="shared" si="38"/>
        <v>5</v>
      </c>
      <c r="AH49" s="54">
        <f t="shared" si="39"/>
        <v>2</v>
      </c>
      <c r="AI49" s="54">
        <f t="shared" si="40"/>
        <v>5</v>
      </c>
      <c r="AJ49" s="54">
        <f t="shared" si="41"/>
        <v>2</v>
      </c>
      <c r="AK49" s="54">
        <f t="shared" si="42"/>
        <v>5</v>
      </c>
      <c r="AL49" s="54">
        <f t="shared" si="43"/>
        <v>2</v>
      </c>
      <c r="AM49" s="54">
        <f t="shared" si="44"/>
        <v>5</v>
      </c>
      <c r="AN49" s="54">
        <f t="shared" si="45"/>
        <v>2</v>
      </c>
      <c r="AO49" s="54">
        <f t="shared" si="46"/>
        <v>5</v>
      </c>
      <c r="AP49" s="54">
        <f t="shared" si="47"/>
        <v>2</v>
      </c>
      <c r="AQ49" s="54">
        <f t="shared" si="48"/>
        <v>5</v>
      </c>
      <c r="AR49" s="54">
        <f t="shared" si="49"/>
        <v>2</v>
      </c>
      <c r="AS49" s="54">
        <f t="shared" si="50"/>
        <v>5</v>
      </c>
      <c r="AT49" s="54">
        <f t="shared" si="51"/>
        <v>2</v>
      </c>
      <c r="AU49" s="54">
        <f t="shared" si="52"/>
        <v>5</v>
      </c>
      <c r="AV49" s="54">
        <f t="shared" si="53"/>
        <v>2</v>
      </c>
      <c r="AW49" s="54">
        <f t="shared" si="54"/>
        <v>5</v>
      </c>
      <c r="AX49" s="54">
        <f t="shared" si="55"/>
        <v>2</v>
      </c>
      <c r="AY49" s="54">
        <f t="shared" si="56"/>
        <v>5</v>
      </c>
      <c r="AZ49" s="54">
        <f t="shared" si="57"/>
        <v>2</v>
      </c>
      <c r="BA49" s="54">
        <f t="shared" si="58"/>
        <v>5</v>
      </c>
      <c r="BB49" s="54">
        <f t="shared" si="59"/>
        <v>2</v>
      </c>
      <c r="BC49" s="54">
        <f t="shared" si="60"/>
        <v>5</v>
      </c>
      <c r="BD49" s="54">
        <f t="shared" si="61"/>
        <v>2</v>
      </c>
      <c r="BE49" s="54">
        <f t="shared" si="62"/>
        <v>5</v>
      </c>
      <c r="BF49" s="54">
        <f t="shared" si="63"/>
        <v>2</v>
      </c>
      <c r="BG49" s="54">
        <f t="shared" si="64"/>
        <v>5</v>
      </c>
      <c r="BH49" s="54">
        <f t="shared" si="65"/>
        <v>2</v>
      </c>
      <c r="BI49" s="54">
        <f t="shared" si="66"/>
        <v>5</v>
      </c>
      <c r="BJ49" s="54">
        <f t="shared" si="67"/>
        <v>2</v>
      </c>
      <c r="BK49" s="54">
        <f t="shared" si="68"/>
        <v>5</v>
      </c>
      <c r="BL49" s="54">
        <f t="shared" si="69"/>
        <v>2</v>
      </c>
      <c r="BM49" s="54">
        <f t="shared" si="70"/>
        <v>5</v>
      </c>
      <c r="BN49" s="54">
        <f t="shared" si="71"/>
        <v>2</v>
      </c>
      <c r="BO49" s="54">
        <f t="shared" si="72"/>
        <v>5</v>
      </c>
      <c r="BP49" s="54">
        <f t="shared" si="73"/>
        <v>2</v>
      </c>
      <c r="BQ49" s="54">
        <f t="shared" si="74"/>
        <v>5</v>
      </c>
      <c r="BR49" s="54">
        <f t="shared" si="75"/>
        <v>2</v>
      </c>
      <c r="BS49" s="54">
        <f t="shared" si="76"/>
        <v>5</v>
      </c>
      <c r="BT49" s="54">
        <f t="shared" si="77"/>
        <v>2</v>
      </c>
      <c r="BU49" s="54">
        <f t="shared" si="78"/>
        <v>5</v>
      </c>
      <c r="BV49" s="54">
        <f t="shared" si="79"/>
        <v>2</v>
      </c>
      <c r="BW49" s="54">
        <f t="shared" si="80"/>
        <v>5</v>
      </c>
      <c r="BX49" s="54">
        <f t="shared" si="81"/>
        <v>2</v>
      </c>
      <c r="BY49" s="54">
        <f t="shared" si="82"/>
        <v>5</v>
      </c>
      <c r="BZ49" s="54">
        <f t="shared" si="83"/>
        <v>2</v>
      </c>
      <c r="CA49" s="54">
        <f t="shared" si="84"/>
        <v>5</v>
      </c>
      <c r="CB49" s="54">
        <f t="shared" si="85"/>
        <v>2</v>
      </c>
      <c r="CC49" s="54">
        <f t="shared" si="86"/>
        <v>5</v>
      </c>
      <c r="CD49" s="54">
        <f t="shared" si="87"/>
        <v>2</v>
      </c>
      <c r="CE49" s="54">
        <f t="shared" si="88"/>
        <v>5</v>
      </c>
      <c r="CF49" s="54">
        <f t="shared" si="89"/>
        <v>2</v>
      </c>
      <c r="CG49" s="54">
        <f t="shared" si="90"/>
        <v>5</v>
      </c>
      <c r="CH49" s="54">
        <f t="shared" si="91"/>
        <v>2</v>
      </c>
      <c r="CI49" s="54">
        <f t="shared" si="92"/>
        <v>5</v>
      </c>
      <c r="CJ49" s="54">
        <f t="shared" si="93"/>
        <v>2</v>
      </c>
      <c r="CK49" s="54">
        <f t="shared" si="94"/>
        <v>5</v>
      </c>
      <c r="CL49" s="54">
        <f t="shared" si="95"/>
        <v>2</v>
      </c>
      <c r="CM49" s="54">
        <f t="shared" si="96"/>
        <v>5</v>
      </c>
      <c r="CN49" s="54">
        <f t="shared" si="97"/>
        <v>2</v>
      </c>
      <c r="CO49" s="54">
        <f t="shared" si="98"/>
        <v>5</v>
      </c>
      <c r="CP49" s="54">
        <f t="shared" si="99"/>
        <v>2</v>
      </c>
      <c r="CQ49" s="54">
        <f t="shared" si="100"/>
        <v>5</v>
      </c>
      <c r="CR49" s="54">
        <f t="shared" si="101"/>
        <v>2</v>
      </c>
      <c r="CS49" s="54">
        <f t="shared" si="102"/>
        <v>5</v>
      </c>
      <c r="CT49" s="54">
        <f t="shared" si="103"/>
        <v>2</v>
      </c>
      <c r="CU49" s="54">
        <f t="shared" si="104"/>
        <v>5</v>
      </c>
      <c r="CV49" s="54">
        <f t="shared" si="105"/>
        <v>2</v>
      </c>
      <c r="CW49" s="54">
        <f t="shared" si="106"/>
        <v>5</v>
      </c>
      <c r="CX49" s="54">
        <f t="shared" si="107"/>
        <v>2</v>
      </c>
      <c r="CY49" s="54">
        <f t="shared" si="108"/>
        <v>5</v>
      </c>
      <c r="CZ49" s="54">
        <f t="shared" si="109"/>
        <v>2</v>
      </c>
      <c r="DA49" s="54">
        <f t="shared" si="110"/>
        <v>5</v>
      </c>
      <c r="DB49" s="54">
        <f t="shared" si="111"/>
        <v>2</v>
      </c>
      <c r="DC49" s="54">
        <f t="shared" si="112"/>
        <v>5</v>
      </c>
      <c r="DD49" s="54">
        <f t="shared" si="113"/>
        <v>2</v>
      </c>
      <c r="DE49" s="54">
        <f t="shared" si="114"/>
        <v>5</v>
      </c>
      <c r="DF49" s="54">
        <f t="shared" si="115"/>
        <v>2</v>
      </c>
      <c r="DG49" s="54">
        <f t="shared" si="116"/>
        <v>5</v>
      </c>
      <c r="DH49" s="54">
        <f t="shared" si="117"/>
        <v>2</v>
      </c>
      <c r="DI49" s="54">
        <f t="shared" si="118"/>
        <v>5</v>
      </c>
      <c r="DJ49" s="54">
        <f t="shared" si="119"/>
        <v>2</v>
      </c>
      <c r="DK49" s="54">
        <f t="shared" si="120"/>
        <v>5</v>
      </c>
      <c r="DL49" s="54">
        <f t="shared" si="121"/>
        <v>2</v>
      </c>
      <c r="DM49" s="54">
        <f t="shared" si="122"/>
        <v>5</v>
      </c>
      <c r="DN49" s="54">
        <f t="shared" si="123"/>
        <v>2</v>
      </c>
      <c r="DO49" s="54">
        <f t="shared" si="124"/>
        <v>5</v>
      </c>
      <c r="DP49" s="54">
        <f t="shared" si="125"/>
        <v>2</v>
      </c>
      <c r="DQ49" s="54">
        <f t="shared" si="126"/>
        <v>5</v>
      </c>
      <c r="DR49" s="54">
        <f t="shared" si="127"/>
        <v>2</v>
      </c>
      <c r="DS49" s="54">
        <f t="shared" si="128"/>
        <v>5</v>
      </c>
      <c r="DT49" s="54">
        <f t="shared" si="129"/>
        <v>2</v>
      </c>
      <c r="DU49" s="54">
        <f t="shared" si="130"/>
        <v>5</v>
      </c>
      <c r="DV49" s="54">
        <f t="shared" si="131"/>
        <v>2</v>
      </c>
      <c r="DW49" s="54">
        <f t="shared" si="132"/>
        <v>5</v>
      </c>
      <c r="DX49" s="54">
        <f t="shared" si="133"/>
        <v>2</v>
      </c>
      <c r="DY49" s="54">
        <f t="shared" si="134"/>
        <v>5</v>
      </c>
      <c r="DZ49" s="54">
        <f t="shared" si="135"/>
        <v>2</v>
      </c>
      <c r="EA49" s="54">
        <f t="shared" si="134"/>
        <v>5</v>
      </c>
      <c r="EB49" s="54">
        <f t="shared" si="135"/>
        <v>2</v>
      </c>
      <c r="EC49" s="54">
        <f t="shared" si="135"/>
        <v>5</v>
      </c>
      <c r="ED49" s="54">
        <f t="shared" si="173"/>
        <v>2</v>
      </c>
      <c r="EE49" s="54">
        <f t="shared" si="174"/>
        <v>5</v>
      </c>
      <c r="EF49" s="54">
        <f t="shared" si="175"/>
        <v>2</v>
      </c>
      <c r="EG49" s="54">
        <f t="shared" ref="EG49:EN49" si="187">EG48</f>
        <v>5</v>
      </c>
      <c r="EH49" s="54">
        <f t="shared" si="187"/>
        <v>2</v>
      </c>
      <c r="EI49" s="54">
        <f t="shared" si="187"/>
        <v>5</v>
      </c>
      <c r="EJ49" s="54">
        <f t="shared" si="187"/>
        <v>2</v>
      </c>
      <c r="EK49" s="54">
        <f t="shared" si="187"/>
        <v>5</v>
      </c>
      <c r="EL49" s="54">
        <f t="shared" si="187"/>
        <v>2</v>
      </c>
      <c r="EM49" s="54">
        <f t="shared" si="187"/>
        <v>5</v>
      </c>
      <c r="EN49" s="54">
        <f t="shared" si="187"/>
        <v>2</v>
      </c>
      <c r="EO49" s="54">
        <f t="shared" si="171"/>
        <v>2</v>
      </c>
      <c r="EP49" s="54">
        <f t="shared" si="172"/>
        <v>2</v>
      </c>
    </row>
    <row r="50" spans="1:146" x14ac:dyDescent="0.2">
      <c r="A50" s="54"/>
      <c r="B50" t="s">
        <v>230</v>
      </c>
      <c r="C50" s="54">
        <f t="shared" si="9"/>
        <v>45474</v>
      </c>
      <c r="D50" s="54">
        <f t="shared" si="1"/>
        <v>1</v>
      </c>
      <c r="E50" s="54">
        <f t="shared" si="10"/>
        <v>4</v>
      </c>
      <c r="F50" s="54">
        <f t="shared" si="11"/>
        <v>2</v>
      </c>
      <c r="G50" s="54">
        <f t="shared" si="12"/>
        <v>5</v>
      </c>
      <c r="H50" s="54">
        <f t="shared" si="13"/>
        <v>2</v>
      </c>
      <c r="I50" s="54">
        <f t="shared" si="14"/>
        <v>5</v>
      </c>
      <c r="J50" s="54">
        <f t="shared" si="15"/>
        <v>2</v>
      </c>
      <c r="K50" s="54">
        <f t="shared" si="16"/>
        <v>5</v>
      </c>
      <c r="L50" s="54">
        <f t="shared" si="17"/>
        <v>2</v>
      </c>
      <c r="M50" s="54">
        <f t="shared" si="18"/>
        <v>5</v>
      </c>
      <c r="N50" s="54">
        <f t="shared" si="19"/>
        <v>2</v>
      </c>
      <c r="O50" s="54">
        <f t="shared" si="20"/>
        <v>5</v>
      </c>
      <c r="P50" s="54">
        <f t="shared" si="21"/>
        <v>2</v>
      </c>
      <c r="Q50" s="54">
        <f t="shared" si="22"/>
        <v>5</v>
      </c>
      <c r="R50" s="54">
        <f t="shared" si="23"/>
        <v>2</v>
      </c>
      <c r="S50" s="54">
        <f t="shared" si="24"/>
        <v>5</v>
      </c>
      <c r="T50" s="54">
        <f t="shared" si="25"/>
        <v>2</v>
      </c>
      <c r="U50" s="54">
        <f t="shared" si="26"/>
        <v>5</v>
      </c>
      <c r="V50" s="54">
        <f t="shared" si="27"/>
        <v>2</v>
      </c>
      <c r="W50" s="54">
        <f t="shared" si="28"/>
        <v>5</v>
      </c>
      <c r="X50" s="54">
        <f t="shared" si="29"/>
        <v>2</v>
      </c>
      <c r="Y50" s="54">
        <f t="shared" si="30"/>
        <v>5</v>
      </c>
      <c r="Z50" s="54">
        <f t="shared" si="31"/>
        <v>2</v>
      </c>
      <c r="AA50" s="54">
        <f t="shared" si="32"/>
        <v>5</v>
      </c>
      <c r="AB50" s="54">
        <f t="shared" si="33"/>
        <v>2</v>
      </c>
      <c r="AC50" s="54">
        <f t="shared" si="34"/>
        <v>5</v>
      </c>
      <c r="AD50" s="54">
        <f t="shared" si="35"/>
        <v>2</v>
      </c>
      <c r="AE50" s="54">
        <f t="shared" si="36"/>
        <v>5</v>
      </c>
      <c r="AF50" s="54">
        <f t="shared" si="37"/>
        <v>2</v>
      </c>
      <c r="AG50" s="54">
        <f t="shared" si="38"/>
        <v>5</v>
      </c>
      <c r="AH50" s="54">
        <f t="shared" si="39"/>
        <v>2</v>
      </c>
      <c r="AI50" s="54">
        <f t="shared" si="40"/>
        <v>5</v>
      </c>
      <c r="AJ50" s="54">
        <f t="shared" si="41"/>
        <v>2</v>
      </c>
      <c r="AK50" s="54">
        <f t="shared" si="42"/>
        <v>5</v>
      </c>
      <c r="AL50" s="54">
        <f t="shared" si="43"/>
        <v>2</v>
      </c>
      <c r="AM50" s="54">
        <f t="shared" si="44"/>
        <v>5</v>
      </c>
      <c r="AN50" s="54">
        <f t="shared" si="45"/>
        <v>2</v>
      </c>
      <c r="AO50" s="54">
        <f t="shared" si="46"/>
        <v>5</v>
      </c>
      <c r="AP50" s="54">
        <f t="shared" si="47"/>
        <v>2</v>
      </c>
      <c r="AQ50" s="54">
        <f t="shared" si="48"/>
        <v>5</v>
      </c>
      <c r="AR50" s="54">
        <f t="shared" si="49"/>
        <v>2</v>
      </c>
      <c r="AS50" s="54">
        <f t="shared" si="50"/>
        <v>5</v>
      </c>
      <c r="AT50" s="54">
        <f t="shared" si="51"/>
        <v>2</v>
      </c>
      <c r="AU50" s="54">
        <f t="shared" si="52"/>
        <v>5</v>
      </c>
      <c r="AV50" s="54">
        <f t="shared" si="53"/>
        <v>2</v>
      </c>
      <c r="AW50" s="54">
        <f t="shared" si="54"/>
        <v>5</v>
      </c>
      <c r="AX50" s="54">
        <f t="shared" si="55"/>
        <v>2</v>
      </c>
      <c r="AY50" s="54">
        <f t="shared" si="56"/>
        <v>5</v>
      </c>
      <c r="AZ50" s="54">
        <f t="shared" si="57"/>
        <v>2</v>
      </c>
      <c r="BA50" s="54">
        <f t="shared" si="58"/>
        <v>5</v>
      </c>
      <c r="BB50" s="54">
        <f t="shared" si="59"/>
        <v>2</v>
      </c>
      <c r="BC50" s="54">
        <f t="shared" si="60"/>
        <v>5</v>
      </c>
      <c r="BD50" s="54">
        <f t="shared" si="61"/>
        <v>2</v>
      </c>
      <c r="BE50" s="54">
        <f t="shared" si="62"/>
        <v>5</v>
      </c>
      <c r="BF50" s="54">
        <f t="shared" si="63"/>
        <v>2</v>
      </c>
      <c r="BG50" s="54">
        <f t="shared" si="64"/>
        <v>5</v>
      </c>
      <c r="BH50" s="54">
        <f t="shared" si="65"/>
        <v>2</v>
      </c>
      <c r="BI50" s="54">
        <f t="shared" si="66"/>
        <v>5</v>
      </c>
      <c r="BJ50" s="54">
        <f t="shared" si="67"/>
        <v>2</v>
      </c>
      <c r="BK50" s="54">
        <f t="shared" si="68"/>
        <v>5</v>
      </c>
      <c r="BL50" s="54">
        <f t="shared" si="69"/>
        <v>2</v>
      </c>
      <c r="BM50" s="54">
        <f t="shared" si="70"/>
        <v>5</v>
      </c>
      <c r="BN50" s="54">
        <f t="shared" si="71"/>
        <v>2</v>
      </c>
      <c r="BO50" s="54">
        <f t="shared" si="72"/>
        <v>5</v>
      </c>
      <c r="BP50" s="54">
        <f t="shared" si="73"/>
        <v>2</v>
      </c>
      <c r="BQ50" s="54">
        <f t="shared" si="74"/>
        <v>5</v>
      </c>
      <c r="BR50" s="54">
        <f t="shared" si="75"/>
        <v>2</v>
      </c>
      <c r="BS50" s="54">
        <f t="shared" si="76"/>
        <v>5</v>
      </c>
      <c r="BT50" s="54">
        <f t="shared" si="77"/>
        <v>2</v>
      </c>
      <c r="BU50" s="54">
        <f t="shared" si="78"/>
        <v>5</v>
      </c>
      <c r="BV50" s="54">
        <f t="shared" si="79"/>
        <v>2</v>
      </c>
      <c r="BW50" s="54">
        <f t="shared" si="80"/>
        <v>5</v>
      </c>
      <c r="BX50" s="54">
        <f t="shared" si="81"/>
        <v>2</v>
      </c>
      <c r="BY50" s="54">
        <f t="shared" si="82"/>
        <v>5</v>
      </c>
      <c r="BZ50" s="54">
        <f t="shared" si="83"/>
        <v>2</v>
      </c>
      <c r="CA50" s="54">
        <f t="shared" si="84"/>
        <v>5</v>
      </c>
      <c r="CB50" s="54">
        <f t="shared" si="85"/>
        <v>2</v>
      </c>
      <c r="CC50" s="54">
        <f t="shared" si="86"/>
        <v>5</v>
      </c>
      <c r="CD50" s="54">
        <f t="shared" si="87"/>
        <v>2</v>
      </c>
      <c r="CE50" s="54">
        <f t="shared" si="88"/>
        <v>5</v>
      </c>
      <c r="CF50" s="54">
        <f t="shared" si="89"/>
        <v>2</v>
      </c>
      <c r="CG50" s="54">
        <f t="shared" si="90"/>
        <v>5</v>
      </c>
      <c r="CH50" s="54">
        <f t="shared" si="91"/>
        <v>2</v>
      </c>
      <c r="CI50" s="54">
        <f t="shared" si="92"/>
        <v>5</v>
      </c>
      <c r="CJ50" s="54">
        <f t="shared" si="93"/>
        <v>2</v>
      </c>
      <c r="CK50" s="54">
        <f t="shared" si="94"/>
        <v>5</v>
      </c>
      <c r="CL50" s="54">
        <f t="shared" si="95"/>
        <v>2</v>
      </c>
      <c r="CM50" s="54">
        <f t="shared" si="96"/>
        <v>5</v>
      </c>
      <c r="CN50" s="54">
        <f t="shared" si="97"/>
        <v>2</v>
      </c>
      <c r="CO50" s="54">
        <f t="shared" si="98"/>
        <v>5</v>
      </c>
      <c r="CP50" s="54">
        <f t="shared" si="99"/>
        <v>2</v>
      </c>
      <c r="CQ50" s="54">
        <f t="shared" si="100"/>
        <v>5</v>
      </c>
      <c r="CR50" s="54">
        <f t="shared" si="101"/>
        <v>2</v>
      </c>
      <c r="CS50" s="54">
        <f t="shared" si="102"/>
        <v>5</v>
      </c>
      <c r="CT50" s="54">
        <f t="shared" si="103"/>
        <v>2</v>
      </c>
      <c r="CU50" s="54">
        <f t="shared" si="104"/>
        <v>5</v>
      </c>
      <c r="CV50" s="54">
        <f t="shared" si="105"/>
        <v>2</v>
      </c>
      <c r="CW50" s="54">
        <f t="shared" si="106"/>
        <v>5</v>
      </c>
      <c r="CX50" s="54">
        <f t="shared" si="107"/>
        <v>2</v>
      </c>
      <c r="CY50" s="54">
        <f t="shared" si="108"/>
        <v>5</v>
      </c>
      <c r="CZ50" s="54">
        <f t="shared" si="109"/>
        <v>2</v>
      </c>
      <c r="DA50" s="54">
        <f t="shared" si="110"/>
        <v>5</v>
      </c>
      <c r="DB50" s="54">
        <f t="shared" si="111"/>
        <v>2</v>
      </c>
      <c r="DC50" s="54">
        <f t="shared" si="112"/>
        <v>5</v>
      </c>
      <c r="DD50" s="54">
        <f t="shared" si="113"/>
        <v>2</v>
      </c>
      <c r="DE50" s="54">
        <f t="shared" si="114"/>
        <v>5</v>
      </c>
      <c r="DF50" s="54">
        <f t="shared" si="115"/>
        <v>2</v>
      </c>
      <c r="DG50" s="54">
        <f t="shared" si="116"/>
        <v>5</v>
      </c>
      <c r="DH50" s="54">
        <f t="shared" si="117"/>
        <v>2</v>
      </c>
      <c r="DI50" s="54">
        <f t="shared" si="118"/>
        <v>5</v>
      </c>
      <c r="DJ50" s="54">
        <f t="shared" si="119"/>
        <v>2</v>
      </c>
      <c r="DK50" s="54">
        <f t="shared" si="120"/>
        <v>5</v>
      </c>
      <c r="DL50" s="54">
        <f t="shared" si="121"/>
        <v>2</v>
      </c>
      <c r="DM50" s="54">
        <f t="shared" si="122"/>
        <v>5</v>
      </c>
      <c r="DN50" s="54">
        <f t="shared" si="123"/>
        <v>2</v>
      </c>
      <c r="DO50" s="54">
        <f t="shared" si="124"/>
        <v>5</v>
      </c>
      <c r="DP50" s="54">
        <f t="shared" si="125"/>
        <v>2</v>
      </c>
      <c r="DQ50" s="54">
        <f t="shared" si="126"/>
        <v>5</v>
      </c>
      <c r="DR50" s="54">
        <f t="shared" si="127"/>
        <v>2</v>
      </c>
      <c r="DS50" s="54">
        <f t="shared" si="128"/>
        <v>5</v>
      </c>
      <c r="DT50" s="54">
        <f t="shared" si="129"/>
        <v>2</v>
      </c>
      <c r="DU50" s="54">
        <f t="shared" si="130"/>
        <v>5</v>
      </c>
      <c r="DV50" s="54">
        <f t="shared" si="131"/>
        <v>2</v>
      </c>
      <c r="DW50" s="54">
        <f t="shared" si="132"/>
        <v>5</v>
      </c>
      <c r="DX50" s="54">
        <f t="shared" si="133"/>
        <v>2</v>
      </c>
      <c r="DY50" s="54">
        <f t="shared" si="134"/>
        <v>5</v>
      </c>
      <c r="DZ50" s="54">
        <f t="shared" si="135"/>
        <v>2</v>
      </c>
      <c r="EA50" s="54">
        <f t="shared" si="134"/>
        <v>5</v>
      </c>
      <c r="EB50" s="54">
        <f t="shared" si="135"/>
        <v>2</v>
      </c>
      <c r="EC50" s="54">
        <f t="shared" si="135"/>
        <v>5</v>
      </c>
      <c r="ED50" s="54">
        <f t="shared" si="173"/>
        <v>2</v>
      </c>
      <c r="EE50" s="54">
        <f t="shared" si="174"/>
        <v>5</v>
      </c>
      <c r="EF50" s="54">
        <f t="shared" si="175"/>
        <v>2</v>
      </c>
      <c r="EG50" s="54">
        <f t="shared" ref="EG50:EN50" si="188">EG49</f>
        <v>5</v>
      </c>
      <c r="EH50" s="54">
        <f t="shared" si="188"/>
        <v>2</v>
      </c>
      <c r="EI50" s="54">
        <f t="shared" si="188"/>
        <v>5</v>
      </c>
      <c r="EJ50" s="54">
        <f t="shared" si="188"/>
        <v>2</v>
      </c>
      <c r="EK50" s="54">
        <f t="shared" si="188"/>
        <v>5</v>
      </c>
      <c r="EL50" s="54">
        <f t="shared" si="188"/>
        <v>2</v>
      </c>
      <c r="EM50" s="54">
        <f t="shared" si="188"/>
        <v>5</v>
      </c>
      <c r="EN50" s="54">
        <f t="shared" si="188"/>
        <v>2</v>
      </c>
      <c r="EO50" s="54">
        <f t="shared" si="171"/>
        <v>2</v>
      </c>
      <c r="EP50" s="54">
        <f t="shared" si="172"/>
        <v>2</v>
      </c>
    </row>
    <row r="51" spans="1:146" x14ac:dyDescent="0.2">
      <c r="B51" t="s">
        <v>230</v>
      </c>
      <c r="C51" s="54">
        <f t="shared" si="9"/>
        <v>45474</v>
      </c>
      <c r="D51" s="54">
        <f t="shared" si="1"/>
        <v>1</v>
      </c>
      <c r="E51" s="54">
        <f t="shared" si="10"/>
        <v>4</v>
      </c>
      <c r="F51" s="54">
        <f t="shared" si="11"/>
        <v>2</v>
      </c>
      <c r="G51" s="54">
        <f t="shared" si="12"/>
        <v>5</v>
      </c>
      <c r="H51" s="54">
        <f t="shared" si="13"/>
        <v>2</v>
      </c>
      <c r="I51" s="54">
        <f t="shared" si="14"/>
        <v>5</v>
      </c>
      <c r="J51" s="54">
        <f t="shared" si="15"/>
        <v>2</v>
      </c>
      <c r="K51" s="54">
        <f t="shared" si="16"/>
        <v>5</v>
      </c>
      <c r="L51" s="54">
        <f t="shared" si="17"/>
        <v>2</v>
      </c>
      <c r="M51" s="54">
        <f t="shared" si="18"/>
        <v>5</v>
      </c>
      <c r="N51" s="54">
        <f t="shared" si="19"/>
        <v>2</v>
      </c>
      <c r="O51" s="54">
        <f t="shared" si="20"/>
        <v>5</v>
      </c>
      <c r="P51" s="54">
        <f t="shared" si="21"/>
        <v>2</v>
      </c>
      <c r="Q51" s="54">
        <f t="shared" si="22"/>
        <v>5</v>
      </c>
      <c r="R51" s="54">
        <f t="shared" si="23"/>
        <v>2</v>
      </c>
      <c r="S51" s="54">
        <f t="shared" si="24"/>
        <v>5</v>
      </c>
      <c r="T51" s="54">
        <f t="shared" si="25"/>
        <v>2</v>
      </c>
      <c r="U51" s="54">
        <f t="shared" si="26"/>
        <v>5</v>
      </c>
      <c r="V51" s="54">
        <f t="shared" si="27"/>
        <v>2</v>
      </c>
      <c r="W51" s="54">
        <f t="shared" si="28"/>
        <v>5</v>
      </c>
      <c r="X51" s="54">
        <f t="shared" si="29"/>
        <v>2</v>
      </c>
      <c r="Y51" s="54">
        <f t="shared" si="30"/>
        <v>5</v>
      </c>
      <c r="Z51" s="54">
        <f t="shared" si="31"/>
        <v>2</v>
      </c>
      <c r="AA51" s="54">
        <f t="shared" si="32"/>
        <v>5</v>
      </c>
      <c r="AB51" s="54">
        <f t="shared" si="33"/>
        <v>2</v>
      </c>
      <c r="AC51" s="54">
        <f t="shared" si="34"/>
        <v>5</v>
      </c>
      <c r="AD51" s="54">
        <f t="shared" si="35"/>
        <v>2</v>
      </c>
      <c r="AE51" s="54">
        <f t="shared" si="36"/>
        <v>5</v>
      </c>
      <c r="AF51" s="54">
        <f t="shared" si="37"/>
        <v>2</v>
      </c>
      <c r="AG51" s="54">
        <f t="shared" si="38"/>
        <v>5</v>
      </c>
      <c r="AH51" s="54">
        <f t="shared" si="39"/>
        <v>2</v>
      </c>
      <c r="AI51" s="54">
        <f t="shared" si="40"/>
        <v>5</v>
      </c>
      <c r="AJ51" s="54">
        <f t="shared" si="41"/>
        <v>2</v>
      </c>
      <c r="AK51" s="54">
        <f t="shared" si="42"/>
        <v>5</v>
      </c>
      <c r="AL51" s="54">
        <f t="shared" si="43"/>
        <v>2</v>
      </c>
      <c r="AM51" s="54">
        <f t="shared" si="44"/>
        <v>5</v>
      </c>
      <c r="AN51" s="54">
        <f t="shared" si="45"/>
        <v>2</v>
      </c>
      <c r="AO51" s="54">
        <f t="shared" si="46"/>
        <v>5</v>
      </c>
      <c r="AP51" s="54">
        <f t="shared" si="47"/>
        <v>2</v>
      </c>
      <c r="AQ51" s="54">
        <f t="shared" si="48"/>
        <v>5</v>
      </c>
      <c r="AR51" s="54">
        <f t="shared" si="49"/>
        <v>2</v>
      </c>
      <c r="AS51" s="54">
        <f t="shared" si="50"/>
        <v>5</v>
      </c>
      <c r="AT51" s="54">
        <f t="shared" si="51"/>
        <v>2</v>
      </c>
      <c r="AU51" s="54">
        <f t="shared" si="52"/>
        <v>5</v>
      </c>
      <c r="AV51" s="54">
        <f t="shared" si="53"/>
        <v>2</v>
      </c>
      <c r="AW51" s="54">
        <f t="shared" si="54"/>
        <v>5</v>
      </c>
      <c r="AX51" s="54">
        <f t="shared" si="55"/>
        <v>2</v>
      </c>
      <c r="AY51" s="54">
        <f t="shared" si="56"/>
        <v>5</v>
      </c>
      <c r="AZ51" s="54">
        <f t="shared" si="57"/>
        <v>2</v>
      </c>
      <c r="BA51" s="54">
        <f t="shared" si="58"/>
        <v>5</v>
      </c>
      <c r="BB51" s="54">
        <f t="shared" si="59"/>
        <v>2</v>
      </c>
      <c r="BC51" s="54">
        <f t="shared" si="60"/>
        <v>5</v>
      </c>
      <c r="BD51" s="54">
        <f t="shared" si="61"/>
        <v>2</v>
      </c>
      <c r="BE51" s="54">
        <f t="shared" si="62"/>
        <v>5</v>
      </c>
      <c r="BF51" s="54">
        <f t="shared" si="63"/>
        <v>2</v>
      </c>
      <c r="BG51" s="54">
        <f t="shared" si="64"/>
        <v>5</v>
      </c>
      <c r="BH51" s="54">
        <f t="shared" si="65"/>
        <v>2</v>
      </c>
      <c r="BI51" s="54">
        <f t="shared" si="66"/>
        <v>5</v>
      </c>
      <c r="BJ51" s="54">
        <f t="shared" si="67"/>
        <v>2</v>
      </c>
      <c r="BK51" s="54">
        <f t="shared" si="68"/>
        <v>5</v>
      </c>
      <c r="BL51" s="54">
        <f t="shared" si="69"/>
        <v>2</v>
      </c>
      <c r="BM51" s="54">
        <f t="shared" si="70"/>
        <v>5</v>
      </c>
      <c r="BN51" s="54">
        <f t="shared" si="71"/>
        <v>2</v>
      </c>
      <c r="BO51" s="54">
        <f t="shared" si="72"/>
        <v>5</v>
      </c>
      <c r="BP51" s="54">
        <f t="shared" si="73"/>
        <v>2</v>
      </c>
      <c r="BQ51" s="54">
        <f t="shared" si="74"/>
        <v>5</v>
      </c>
      <c r="BR51" s="54">
        <f t="shared" si="75"/>
        <v>2</v>
      </c>
      <c r="BS51" s="54">
        <f t="shared" si="76"/>
        <v>5</v>
      </c>
      <c r="BT51" s="54">
        <f t="shared" si="77"/>
        <v>2</v>
      </c>
      <c r="BU51" s="54">
        <f t="shared" si="78"/>
        <v>5</v>
      </c>
      <c r="BV51" s="54">
        <f t="shared" si="79"/>
        <v>2</v>
      </c>
      <c r="BW51" s="54">
        <f t="shared" si="80"/>
        <v>5</v>
      </c>
      <c r="BX51" s="54">
        <f t="shared" si="81"/>
        <v>2</v>
      </c>
      <c r="BY51" s="54">
        <f t="shared" si="82"/>
        <v>5</v>
      </c>
      <c r="BZ51" s="54">
        <f t="shared" si="83"/>
        <v>2</v>
      </c>
      <c r="CA51" s="54">
        <f t="shared" si="84"/>
        <v>5</v>
      </c>
      <c r="CB51" s="54">
        <f t="shared" si="85"/>
        <v>2</v>
      </c>
      <c r="CC51" s="54">
        <f t="shared" si="86"/>
        <v>5</v>
      </c>
      <c r="CD51" s="54">
        <f t="shared" si="87"/>
        <v>2</v>
      </c>
      <c r="CE51" s="54">
        <f t="shared" si="88"/>
        <v>5</v>
      </c>
      <c r="CF51" s="54">
        <f t="shared" si="89"/>
        <v>2</v>
      </c>
      <c r="CG51" s="54">
        <f t="shared" si="90"/>
        <v>5</v>
      </c>
      <c r="CH51" s="54">
        <f t="shared" si="91"/>
        <v>2</v>
      </c>
      <c r="CI51" s="54">
        <f t="shared" si="92"/>
        <v>5</v>
      </c>
      <c r="CJ51" s="54">
        <f t="shared" si="93"/>
        <v>2</v>
      </c>
      <c r="CK51" s="54">
        <f t="shared" si="94"/>
        <v>5</v>
      </c>
      <c r="CL51" s="54">
        <f t="shared" si="95"/>
        <v>2</v>
      </c>
      <c r="CM51" s="54">
        <f t="shared" si="96"/>
        <v>5</v>
      </c>
      <c r="CN51" s="54">
        <f t="shared" si="97"/>
        <v>2</v>
      </c>
      <c r="CO51" s="54">
        <f t="shared" si="98"/>
        <v>5</v>
      </c>
      <c r="CP51" s="54">
        <f t="shared" si="99"/>
        <v>2</v>
      </c>
      <c r="CQ51" s="54">
        <f t="shared" si="100"/>
        <v>5</v>
      </c>
      <c r="CR51" s="54">
        <f t="shared" si="101"/>
        <v>2</v>
      </c>
      <c r="CS51" s="54">
        <f t="shared" si="102"/>
        <v>5</v>
      </c>
      <c r="CT51" s="54">
        <f t="shared" si="103"/>
        <v>2</v>
      </c>
      <c r="CU51" s="54">
        <f t="shared" si="104"/>
        <v>5</v>
      </c>
      <c r="CV51" s="54">
        <f t="shared" si="105"/>
        <v>2</v>
      </c>
      <c r="CW51" s="54">
        <f t="shared" si="106"/>
        <v>5</v>
      </c>
      <c r="CX51" s="54">
        <f t="shared" si="107"/>
        <v>2</v>
      </c>
      <c r="CY51" s="54">
        <f t="shared" si="108"/>
        <v>5</v>
      </c>
      <c r="CZ51" s="54">
        <f t="shared" si="109"/>
        <v>2</v>
      </c>
      <c r="DA51" s="54">
        <f t="shared" si="110"/>
        <v>5</v>
      </c>
      <c r="DB51" s="54">
        <f t="shared" si="111"/>
        <v>2</v>
      </c>
      <c r="DC51" s="54">
        <f t="shared" si="112"/>
        <v>5</v>
      </c>
      <c r="DD51" s="54">
        <f t="shared" si="113"/>
        <v>2</v>
      </c>
      <c r="DE51" s="54">
        <f t="shared" si="114"/>
        <v>5</v>
      </c>
      <c r="DF51" s="54">
        <f t="shared" si="115"/>
        <v>2</v>
      </c>
      <c r="DG51" s="54">
        <f t="shared" si="116"/>
        <v>5</v>
      </c>
      <c r="DH51" s="54">
        <f t="shared" si="117"/>
        <v>2</v>
      </c>
      <c r="DI51" s="54">
        <f t="shared" si="118"/>
        <v>5</v>
      </c>
      <c r="DJ51" s="54">
        <f t="shared" si="119"/>
        <v>2</v>
      </c>
      <c r="DK51" s="54">
        <f t="shared" si="120"/>
        <v>5</v>
      </c>
      <c r="DL51" s="54">
        <f t="shared" si="121"/>
        <v>2</v>
      </c>
      <c r="DM51" s="54">
        <f t="shared" si="122"/>
        <v>5</v>
      </c>
      <c r="DN51" s="54">
        <f t="shared" si="123"/>
        <v>2</v>
      </c>
      <c r="DO51" s="54">
        <f t="shared" si="124"/>
        <v>5</v>
      </c>
      <c r="DP51" s="54">
        <f t="shared" si="125"/>
        <v>2</v>
      </c>
      <c r="DQ51" s="54">
        <f t="shared" si="126"/>
        <v>5</v>
      </c>
      <c r="DR51" s="54">
        <f t="shared" si="127"/>
        <v>2</v>
      </c>
      <c r="DS51" s="54">
        <f t="shared" si="128"/>
        <v>5</v>
      </c>
      <c r="DT51" s="54">
        <f t="shared" si="129"/>
        <v>2</v>
      </c>
      <c r="DU51" s="54">
        <f t="shared" si="130"/>
        <v>5</v>
      </c>
      <c r="DV51" s="54">
        <f t="shared" si="131"/>
        <v>2</v>
      </c>
      <c r="DW51" s="54">
        <f t="shared" si="132"/>
        <v>5</v>
      </c>
      <c r="DX51" s="54">
        <f t="shared" si="133"/>
        <v>2</v>
      </c>
      <c r="DY51" s="54">
        <f t="shared" si="134"/>
        <v>5</v>
      </c>
      <c r="DZ51" s="54">
        <f t="shared" si="135"/>
        <v>2</v>
      </c>
      <c r="EA51" s="54">
        <f t="shared" si="134"/>
        <v>5</v>
      </c>
      <c r="EB51" s="54">
        <f t="shared" si="135"/>
        <v>2</v>
      </c>
      <c r="EC51" s="54">
        <f t="shared" si="135"/>
        <v>5</v>
      </c>
      <c r="ED51" s="54">
        <f t="shared" si="173"/>
        <v>2</v>
      </c>
      <c r="EE51" s="54">
        <f t="shared" si="174"/>
        <v>5</v>
      </c>
      <c r="EF51" s="54">
        <f t="shared" si="175"/>
        <v>2</v>
      </c>
      <c r="EG51" s="54">
        <f t="shared" ref="EG51:EN51" si="189">EG50</f>
        <v>5</v>
      </c>
      <c r="EH51" s="54">
        <f t="shared" si="189"/>
        <v>2</v>
      </c>
      <c r="EI51" s="54">
        <f t="shared" si="189"/>
        <v>5</v>
      </c>
      <c r="EJ51" s="54">
        <f t="shared" si="189"/>
        <v>2</v>
      </c>
      <c r="EK51" s="54">
        <f t="shared" si="189"/>
        <v>5</v>
      </c>
      <c r="EL51" s="54">
        <f t="shared" si="189"/>
        <v>2</v>
      </c>
      <c r="EM51" s="54">
        <f t="shared" si="189"/>
        <v>5</v>
      </c>
      <c r="EN51" s="54">
        <f t="shared" si="189"/>
        <v>2</v>
      </c>
      <c r="EO51" s="54">
        <f t="shared" si="171"/>
        <v>2</v>
      </c>
      <c r="EP51" s="54">
        <f t="shared" si="172"/>
        <v>2</v>
      </c>
    </row>
    <row r="52" spans="1:146" x14ac:dyDescent="0.2">
      <c r="B52" t="s">
        <v>230</v>
      </c>
      <c r="C52" s="54">
        <f t="shared" si="9"/>
        <v>45474</v>
      </c>
      <c r="D52" s="54">
        <f t="shared" si="1"/>
        <v>1</v>
      </c>
      <c r="E52" s="54">
        <f t="shared" si="10"/>
        <v>4</v>
      </c>
      <c r="F52" s="54">
        <f t="shared" si="11"/>
        <v>2</v>
      </c>
      <c r="G52" s="54">
        <f t="shared" si="12"/>
        <v>5</v>
      </c>
      <c r="H52" s="54">
        <f t="shared" si="13"/>
        <v>2</v>
      </c>
      <c r="I52" s="54">
        <f t="shared" si="14"/>
        <v>5</v>
      </c>
      <c r="J52" s="54">
        <f t="shared" si="15"/>
        <v>2</v>
      </c>
      <c r="K52" s="54">
        <f t="shared" si="16"/>
        <v>5</v>
      </c>
      <c r="L52" s="54">
        <f t="shared" si="17"/>
        <v>2</v>
      </c>
      <c r="M52" s="54">
        <f t="shared" si="18"/>
        <v>5</v>
      </c>
      <c r="N52" s="54">
        <f t="shared" si="19"/>
        <v>2</v>
      </c>
      <c r="O52" s="54">
        <f t="shared" si="20"/>
        <v>5</v>
      </c>
      <c r="P52" s="54">
        <f t="shared" si="21"/>
        <v>2</v>
      </c>
      <c r="Q52" s="54">
        <f t="shared" si="22"/>
        <v>5</v>
      </c>
      <c r="R52" s="54">
        <f t="shared" si="23"/>
        <v>2</v>
      </c>
      <c r="S52" s="54">
        <f t="shared" si="24"/>
        <v>5</v>
      </c>
      <c r="T52" s="54">
        <f t="shared" si="25"/>
        <v>2</v>
      </c>
      <c r="U52" s="54">
        <f t="shared" si="26"/>
        <v>5</v>
      </c>
      <c r="V52" s="54">
        <f t="shared" si="27"/>
        <v>2</v>
      </c>
      <c r="W52" s="54">
        <f t="shared" si="28"/>
        <v>5</v>
      </c>
      <c r="X52" s="54">
        <f t="shared" si="29"/>
        <v>2</v>
      </c>
      <c r="Y52" s="54">
        <f t="shared" si="30"/>
        <v>5</v>
      </c>
      <c r="Z52" s="54">
        <f t="shared" si="31"/>
        <v>2</v>
      </c>
      <c r="AA52" s="54">
        <f t="shared" si="32"/>
        <v>5</v>
      </c>
      <c r="AB52" s="54">
        <f t="shared" si="33"/>
        <v>2</v>
      </c>
      <c r="AC52" s="54">
        <f t="shared" si="34"/>
        <v>5</v>
      </c>
      <c r="AD52" s="54">
        <f t="shared" si="35"/>
        <v>2</v>
      </c>
      <c r="AE52" s="54">
        <f t="shared" si="36"/>
        <v>5</v>
      </c>
      <c r="AF52" s="54">
        <f t="shared" si="37"/>
        <v>2</v>
      </c>
      <c r="AG52" s="54">
        <f t="shared" si="38"/>
        <v>5</v>
      </c>
      <c r="AH52" s="54">
        <f t="shared" si="39"/>
        <v>2</v>
      </c>
      <c r="AI52" s="54">
        <f t="shared" si="40"/>
        <v>5</v>
      </c>
      <c r="AJ52" s="54">
        <f t="shared" si="41"/>
        <v>2</v>
      </c>
      <c r="AK52" s="54">
        <f t="shared" si="42"/>
        <v>5</v>
      </c>
      <c r="AL52" s="54">
        <f t="shared" si="43"/>
        <v>2</v>
      </c>
      <c r="AM52" s="54">
        <f t="shared" si="44"/>
        <v>5</v>
      </c>
      <c r="AN52" s="54">
        <f t="shared" si="45"/>
        <v>2</v>
      </c>
      <c r="AO52" s="54">
        <f t="shared" si="46"/>
        <v>5</v>
      </c>
      <c r="AP52" s="54">
        <f t="shared" si="47"/>
        <v>2</v>
      </c>
      <c r="AQ52" s="54">
        <f t="shared" si="48"/>
        <v>5</v>
      </c>
      <c r="AR52" s="54">
        <f t="shared" si="49"/>
        <v>2</v>
      </c>
      <c r="AS52" s="54">
        <f t="shared" si="50"/>
        <v>5</v>
      </c>
      <c r="AT52" s="54">
        <f t="shared" si="51"/>
        <v>2</v>
      </c>
      <c r="AU52" s="54">
        <f t="shared" si="52"/>
        <v>5</v>
      </c>
      <c r="AV52" s="54">
        <f t="shared" si="53"/>
        <v>2</v>
      </c>
      <c r="AW52" s="54">
        <f t="shared" si="54"/>
        <v>5</v>
      </c>
      <c r="AX52" s="54">
        <f t="shared" si="55"/>
        <v>2</v>
      </c>
      <c r="AY52" s="54">
        <f t="shared" si="56"/>
        <v>5</v>
      </c>
      <c r="AZ52" s="54">
        <f t="shared" si="57"/>
        <v>2</v>
      </c>
      <c r="BA52" s="54">
        <f t="shared" si="58"/>
        <v>5</v>
      </c>
      <c r="BB52" s="54">
        <f t="shared" si="59"/>
        <v>2</v>
      </c>
      <c r="BC52" s="54">
        <f t="shared" si="60"/>
        <v>5</v>
      </c>
      <c r="BD52" s="54">
        <f t="shared" si="61"/>
        <v>2</v>
      </c>
      <c r="BE52" s="54">
        <f t="shared" si="62"/>
        <v>5</v>
      </c>
      <c r="BF52" s="54">
        <f t="shared" si="63"/>
        <v>2</v>
      </c>
      <c r="BG52" s="54">
        <f t="shared" si="64"/>
        <v>5</v>
      </c>
      <c r="BH52" s="54">
        <f t="shared" si="65"/>
        <v>2</v>
      </c>
      <c r="BI52" s="54">
        <f t="shared" si="66"/>
        <v>5</v>
      </c>
      <c r="BJ52" s="54">
        <f t="shared" si="67"/>
        <v>2</v>
      </c>
      <c r="BK52" s="54">
        <f t="shared" si="68"/>
        <v>5</v>
      </c>
      <c r="BL52" s="54">
        <f t="shared" si="69"/>
        <v>2</v>
      </c>
      <c r="BM52" s="54">
        <f t="shared" si="70"/>
        <v>5</v>
      </c>
      <c r="BN52" s="54">
        <f t="shared" si="71"/>
        <v>2</v>
      </c>
      <c r="BO52" s="54">
        <f t="shared" si="72"/>
        <v>5</v>
      </c>
      <c r="BP52" s="54">
        <f t="shared" si="73"/>
        <v>2</v>
      </c>
      <c r="BQ52" s="54">
        <f t="shared" si="74"/>
        <v>5</v>
      </c>
      <c r="BR52" s="54">
        <f t="shared" si="75"/>
        <v>2</v>
      </c>
      <c r="BS52" s="54">
        <f t="shared" si="76"/>
        <v>5</v>
      </c>
      <c r="BT52" s="54">
        <f t="shared" si="77"/>
        <v>2</v>
      </c>
      <c r="BU52" s="54">
        <f t="shared" si="78"/>
        <v>5</v>
      </c>
      <c r="BV52" s="54">
        <f t="shared" si="79"/>
        <v>2</v>
      </c>
      <c r="BW52" s="54">
        <f t="shared" si="80"/>
        <v>5</v>
      </c>
      <c r="BX52" s="54">
        <f t="shared" si="81"/>
        <v>2</v>
      </c>
      <c r="BY52" s="54">
        <f t="shared" si="82"/>
        <v>5</v>
      </c>
      <c r="BZ52" s="54">
        <f t="shared" si="83"/>
        <v>2</v>
      </c>
      <c r="CA52" s="54">
        <f t="shared" si="84"/>
        <v>5</v>
      </c>
      <c r="CB52" s="54">
        <f t="shared" si="85"/>
        <v>2</v>
      </c>
      <c r="CC52" s="54">
        <f t="shared" si="86"/>
        <v>5</v>
      </c>
      <c r="CD52" s="54">
        <f t="shared" si="87"/>
        <v>2</v>
      </c>
      <c r="CE52" s="54">
        <f t="shared" si="88"/>
        <v>5</v>
      </c>
      <c r="CF52" s="54">
        <f t="shared" si="89"/>
        <v>2</v>
      </c>
      <c r="CG52" s="54">
        <f t="shared" si="90"/>
        <v>5</v>
      </c>
      <c r="CH52" s="54">
        <f t="shared" si="91"/>
        <v>2</v>
      </c>
      <c r="CI52" s="54">
        <f t="shared" si="92"/>
        <v>5</v>
      </c>
      <c r="CJ52" s="54">
        <f t="shared" si="93"/>
        <v>2</v>
      </c>
      <c r="CK52" s="54">
        <f t="shared" si="94"/>
        <v>5</v>
      </c>
      <c r="CL52" s="54">
        <f t="shared" si="95"/>
        <v>2</v>
      </c>
      <c r="CM52" s="54">
        <f t="shared" si="96"/>
        <v>5</v>
      </c>
      <c r="CN52" s="54">
        <f t="shared" si="97"/>
        <v>2</v>
      </c>
      <c r="CO52" s="54">
        <f t="shared" si="98"/>
        <v>5</v>
      </c>
      <c r="CP52" s="54">
        <f t="shared" si="99"/>
        <v>2</v>
      </c>
      <c r="CQ52" s="54">
        <f t="shared" si="100"/>
        <v>5</v>
      </c>
      <c r="CR52" s="54">
        <f t="shared" si="101"/>
        <v>2</v>
      </c>
      <c r="CS52" s="54">
        <f t="shared" si="102"/>
        <v>5</v>
      </c>
      <c r="CT52" s="54">
        <f t="shared" si="103"/>
        <v>2</v>
      </c>
      <c r="CU52" s="54">
        <f t="shared" si="104"/>
        <v>5</v>
      </c>
      <c r="CV52" s="54">
        <f t="shared" si="105"/>
        <v>2</v>
      </c>
      <c r="CW52" s="54">
        <f t="shared" si="106"/>
        <v>5</v>
      </c>
      <c r="CX52" s="54">
        <f t="shared" si="107"/>
        <v>2</v>
      </c>
      <c r="CY52" s="54">
        <f t="shared" si="108"/>
        <v>5</v>
      </c>
      <c r="CZ52" s="54">
        <f t="shared" si="109"/>
        <v>2</v>
      </c>
      <c r="DA52" s="54">
        <f t="shared" si="110"/>
        <v>5</v>
      </c>
      <c r="DB52" s="54">
        <f t="shared" si="111"/>
        <v>2</v>
      </c>
      <c r="DC52" s="54">
        <f t="shared" si="112"/>
        <v>5</v>
      </c>
      <c r="DD52" s="54">
        <f t="shared" si="113"/>
        <v>2</v>
      </c>
      <c r="DE52" s="54">
        <f t="shared" si="114"/>
        <v>5</v>
      </c>
      <c r="DF52" s="54">
        <f t="shared" si="115"/>
        <v>2</v>
      </c>
      <c r="DG52" s="54">
        <f t="shared" si="116"/>
        <v>5</v>
      </c>
      <c r="DH52" s="54">
        <f t="shared" si="117"/>
        <v>2</v>
      </c>
      <c r="DI52" s="54">
        <f t="shared" si="118"/>
        <v>5</v>
      </c>
      <c r="DJ52" s="54">
        <f t="shared" si="119"/>
        <v>2</v>
      </c>
      <c r="DK52" s="54">
        <f t="shared" si="120"/>
        <v>5</v>
      </c>
      <c r="DL52" s="54">
        <f t="shared" si="121"/>
        <v>2</v>
      </c>
      <c r="DM52" s="54">
        <f t="shared" si="122"/>
        <v>5</v>
      </c>
      <c r="DN52" s="54">
        <f t="shared" si="123"/>
        <v>2</v>
      </c>
      <c r="DO52" s="54">
        <f t="shared" si="124"/>
        <v>5</v>
      </c>
      <c r="DP52" s="54">
        <f t="shared" si="125"/>
        <v>2</v>
      </c>
      <c r="DQ52" s="54">
        <f t="shared" si="126"/>
        <v>5</v>
      </c>
      <c r="DR52" s="54">
        <f t="shared" si="127"/>
        <v>2</v>
      </c>
      <c r="DS52" s="54">
        <f t="shared" si="128"/>
        <v>5</v>
      </c>
      <c r="DT52" s="54">
        <f t="shared" si="129"/>
        <v>2</v>
      </c>
      <c r="DU52" s="54">
        <f t="shared" si="130"/>
        <v>5</v>
      </c>
      <c r="DV52" s="54">
        <f t="shared" si="131"/>
        <v>2</v>
      </c>
      <c r="DW52" s="54">
        <f t="shared" si="132"/>
        <v>5</v>
      </c>
      <c r="DX52" s="54">
        <f t="shared" si="133"/>
        <v>2</v>
      </c>
      <c r="DY52" s="54">
        <f t="shared" si="134"/>
        <v>5</v>
      </c>
      <c r="DZ52" s="54">
        <f t="shared" si="135"/>
        <v>2</v>
      </c>
      <c r="EA52" s="54">
        <f t="shared" si="134"/>
        <v>5</v>
      </c>
      <c r="EB52" s="54">
        <f t="shared" si="135"/>
        <v>2</v>
      </c>
      <c r="EC52" s="54">
        <f t="shared" si="135"/>
        <v>5</v>
      </c>
      <c r="ED52" s="54">
        <f t="shared" si="173"/>
        <v>2</v>
      </c>
      <c r="EE52" s="54">
        <f t="shared" si="174"/>
        <v>5</v>
      </c>
      <c r="EF52" s="54">
        <f t="shared" si="175"/>
        <v>2</v>
      </c>
      <c r="EG52" s="54">
        <f t="shared" ref="EG52:EN52" si="190">EG51</f>
        <v>5</v>
      </c>
      <c r="EH52" s="54">
        <f t="shared" si="190"/>
        <v>2</v>
      </c>
      <c r="EI52" s="54">
        <f t="shared" si="190"/>
        <v>5</v>
      </c>
      <c r="EJ52" s="54">
        <f t="shared" si="190"/>
        <v>2</v>
      </c>
      <c r="EK52" s="54">
        <f t="shared" si="190"/>
        <v>5</v>
      </c>
      <c r="EL52" s="54">
        <f t="shared" si="190"/>
        <v>2</v>
      </c>
      <c r="EM52" s="54">
        <f t="shared" si="190"/>
        <v>5</v>
      </c>
      <c r="EN52" s="54">
        <f t="shared" si="190"/>
        <v>2</v>
      </c>
      <c r="EO52" s="54">
        <f t="shared" si="171"/>
        <v>2</v>
      </c>
      <c r="EP52" s="54">
        <f t="shared" si="172"/>
        <v>2</v>
      </c>
    </row>
    <row r="53" spans="1:146" x14ac:dyDescent="0.2">
      <c r="A53" s="54"/>
      <c r="B53" t="s">
        <v>230</v>
      </c>
      <c r="C53" s="54">
        <f t="shared" si="9"/>
        <v>45474</v>
      </c>
      <c r="D53" s="54">
        <f t="shared" si="1"/>
        <v>1</v>
      </c>
      <c r="E53" s="54">
        <f t="shared" si="10"/>
        <v>4</v>
      </c>
      <c r="F53" s="54">
        <f t="shared" si="11"/>
        <v>2</v>
      </c>
      <c r="G53" s="54">
        <f t="shared" si="12"/>
        <v>5</v>
      </c>
      <c r="H53" s="54">
        <f t="shared" si="13"/>
        <v>2</v>
      </c>
      <c r="I53" s="54">
        <f t="shared" si="14"/>
        <v>5</v>
      </c>
      <c r="J53" s="54">
        <f t="shared" si="15"/>
        <v>2</v>
      </c>
      <c r="K53" s="54">
        <f t="shared" si="16"/>
        <v>5</v>
      </c>
      <c r="L53" s="54">
        <f t="shared" si="17"/>
        <v>2</v>
      </c>
      <c r="M53" s="54">
        <f t="shared" si="18"/>
        <v>5</v>
      </c>
      <c r="N53" s="54">
        <f t="shared" si="19"/>
        <v>2</v>
      </c>
      <c r="O53" s="54">
        <f t="shared" si="20"/>
        <v>5</v>
      </c>
      <c r="P53" s="54">
        <f t="shared" si="21"/>
        <v>2</v>
      </c>
      <c r="Q53" s="54">
        <f t="shared" si="22"/>
        <v>5</v>
      </c>
      <c r="R53" s="54">
        <f t="shared" si="23"/>
        <v>2</v>
      </c>
      <c r="S53" s="54">
        <f t="shared" si="24"/>
        <v>5</v>
      </c>
      <c r="T53" s="54">
        <f t="shared" si="25"/>
        <v>2</v>
      </c>
      <c r="U53" s="54">
        <f t="shared" si="26"/>
        <v>5</v>
      </c>
      <c r="V53" s="54">
        <f t="shared" si="27"/>
        <v>2</v>
      </c>
      <c r="W53" s="54">
        <f t="shared" si="28"/>
        <v>5</v>
      </c>
      <c r="X53" s="54">
        <f t="shared" si="29"/>
        <v>2</v>
      </c>
      <c r="Y53" s="54">
        <f t="shared" si="30"/>
        <v>5</v>
      </c>
      <c r="Z53" s="54">
        <f t="shared" si="31"/>
        <v>2</v>
      </c>
      <c r="AA53" s="54">
        <f t="shared" si="32"/>
        <v>5</v>
      </c>
      <c r="AB53" s="54">
        <f t="shared" si="33"/>
        <v>2</v>
      </c>
      <c r="AC53" s="54">
        <f t="shared" si="34"/>
        <v>5</v>
      </c>
      <c r="AD53" s="54">
        <f t="shared" si="35"/>
        <v>2</v>
      </c>
      <c r="AE53" s="54">
        <f t="shared" si="36"/>
        <v>5</v>
      </c>
      <c r="AF53" s="54">
        <f t="shared" si="37"/>
        <v>2</v>
      </c>
      <c r="AG53" s="54">
        <f t="shared" si="38"/>
        <v>5</v>
      </c>
      <c r="AH53" s="54">
        <f t="shared" si="39"/>
        <v>2</v>
      </c>
      <c r="AI53" s="54">
        <f t="shared" si="40"/>
        <v>5</v>
      </c>
      <c r="AJ53" s="54">
        <f t="shared" si="41"/>
        <v>2</v>
      </c>
      <c r="AK53" s="54">
        <f t="shared" si="42"/>
        <v>5</v>
      </c>
      <c r="AL53" s="54">
        <f t="shared" si="43"/>
        <v>2</v>
      </c>
      <c r="AM53" s="54">
        <f t="shared" si="44"/>
        <v>5</v>
      </c>
      <c r="AN53" s="54">
        <f t="shared" si="45"/>
        <v>2</v>
      </c>
      <c r="AO53" s="54">
        <f t="shared" si="46"/>
        <v>5</v>
      </c>
      <c r="AP53" s="54">
        <f t="shared" si="47"/>
        <v>2</v>
      </c>
      <c r="AQ53" s="54">
        <f t="shared" si="48"/>
        <v>5</v>
      </c>
      <c r="AR53" s="54">
        <f t="shared" si="49"/>
        <v>2</v>
      </c>
      <c r="AS53" s="54">
        <f t="shared" si="50"/>
        <v>5</v>
      </c>
      <c r="AT53" s="54">
        <f t="shared" si="51"/>
        <v>2</v>
      </c>
      <c r="AU53" s="54">
        <f t="shared" si="52"/>
        <v>5</v>
      </c>
      <c r="AV53" s="54">
        <f t="shared" si="53"/>
        <v>2</v>
      </c>
      <c r="AW53" s="54">
        <f t="shared" si="54"/>
        <v>5</v>
      </c>
      <c r="AX53" s="54">
        <f t="shared" si="55"/>
        <v>2</v>
      </c>
      <c r="AY53" s="54">
        <f t="shared" si="56"/>
        <v>5</v>
      </c>
      <c r="AZ53" s="54">
        <f t="shared" si="57"/>
        <v>2</v>
      </c>
      <c r="BA53" s="54">
        <f t="shared" si="58"/>
        <v>5</v>
      </c>
      <c r="BB53" s="54">
        <f t="shared" si="59"/>
        <v>2</v>
      </c>
      <c r="BC53" s="54">
        <f t="shared" si="60"/>
        <v>5</v>
      </c>
      <c r="BD53" s="54">
        <f t="shared" si="61"/>
        <v>2</v>
      </c>
      <c r="BE53" s="54">
        <f t="shared" si="62"/>
        <v>5</v>
      </c>
      <c r="BF53" s="54">
        <f t="shared" si="63"/>
        <v>2</v>
      </c>
      <c r="BG53" s="54">
        <f t="shared" si="64"/>
        <v>5</v>
      </c>
      <c r="BH53" s="54">
        <f t="shared" si="65"/>
        <v>2</v>
      </c>
      <c r="BI53" s="54">
        <f t="shared" si="66"/>
        <v>5</v>
      </c>
      <c r="BJ53" s="54">
        <f t="shared" si="67"/>
        <v>2</v>
      </c>
      <c r="BK53" s="54">
        <f t="shared" si="68"/>
        <v>5</v>
      </c>
      <c r="BL53" s="54">
        <f t="shared" si="69"/>
        <v>2</v>
      </c>
      <c r="BM53" s="54">
        <f t="shared" si="70"/>
        <v>5</v>
      </c>
      <c r="BN53" s="54">
        <f t="shared" si="71"/>
        <v>2</v>
      </c>
      <c r="BO53" s="54">
        <f t="shared" si="72"/>
        <v>5</v>
      </c>
      <c r="BP53" s="54">
        <f t="shared" si="73"/>
        <v>2</v>
      </c>
      <c r="BQ53" s="54">
        <f t="shared" si="74"/>
        <v>5</v>
      </c>
      <c r="BR53" s="54">
        <f t="shared" si="75"/>
        <v>2</v>
      </c>
      <c r="BS53" s="54">
        <f t="shared" si="76"/>
        <v>5</v>
      </c>
      <c r="BT53" s="54">
        <f t="shared" si="77"/>
        <v>2</v>
      </c>
      <c r="BU53" s="54">
        <f t="shared" si="78"/>
        <v>5</v>
      </c>
      <c r="BV53" s="54">
        <f t="shared" si="79"/>
        <v>2</v>
      </c>
      <c r="BW53" s="54">
        <f t="shared" si="80"/>
        <v>5</v>
      </c>
      <c r="BX53" s="54">
        <f t="shared" si="81"/>
        <v>2</v>
      </c>
      <c r="BY53" s="54">
        <f t="shared" si="82"/>
        <v>5</v>
      </c>
      <c r="BZ53" s="54">
        <f t="shared" si="83"/>
        <v>2</v>
      </c>
      <c r="CA53" s="54">
        <f t="shared" si="84"/>
        <v>5</v>
      </c>
      <c r="CB53" s="54">
        <f t="shared" si="85"/>
        <v>2</v>
      </c>
      <c r="CC53" s="54">
        <f t="shared" si="86"/>
        <v>5</v>
      </c>
      <c r="CD53" s="54">
        <f t="shared" si="87"/>
        <v>2</v>
      </c>
      <c r="CE53" s="54">
        <f t="shared" si="88"/>
        <v>5</v>
      </c>
      <c r="CF53" s="54">
        <f t="shared" si="89"/>
        <v>2</v>
      </c>
      <c r="CG53" s="54">
        <f t="shared" si="90"/>
        <v>5</v>
      </c>
      <c r="CH53" s="54">
        <f t="shared" si="91"/>
        <v>2</v>
      </c>
      <c r="CI53" s="54">
        <f t="shared" si="92"/>
        <v>5</v>
      </c>
      <c r="CJ53" s="54">
        <f t="shared" si="93"/>
        <v>2</v>
      </c>
      <c r="CK53" s="54">
        <f t="shared" si="94"/>
        <v>5</v>
      </c>
      <c r="CL53" s="54">
        <f t="shared" si="95"/>
        <v>2</v>
      </c>
      <c r="CM53" s="54">
        <f t="shared" si="96"/>
        <v>5</v>
      </c>
      <c r="CN53" s="54">
        <f t="shared" si="97"/>
        <v>2</v>
      </c>
      <c r="CO53" s="54">
        <f t="shared" si="98"/>
        <v>5</v>
      </c>
      <c r="CP53" s="54">
        <f t="shared" si="99"/>
        <v>2</v>
      </c>
      <c r="CQ53" s="54">
        <f t="shared" si="100"/>
        <v>5</v>
      </c>
      <c r="CR53" s="54">
        <f t="shared" si="101"/>
        <v>2</v>
      </c>
      <c r="CS53" s="54">
        <f t="shared" si="102"/>
        <v>5</v>
      </c>
      <c r="CT53" s="54">
        <f t="shared" si="103"/>
        <v>2</v>
      </c>
      <c r="CU53" s="54">
        <f t="shared" si="104"/>
        <v>5</v>
      </c>
      <c r="CV53" s="54">
        <f t="shared" si="105"/>
        <v>2</v>
      </c>
      <c r="CW53" s="54">
        <f t="shared" si="106"/>
        <v>5</v>
      </c>
      <c r="CX53" s="54">
        <f t="shared" si="107"/>
        <v>2</v>
      </c>
      <c r="CY53" s="54">
        <f t="shared" si="108"/>
        <v>5</v>
      </c>
      <c r="CZ53" s="54">
        <f t="shared" si="109"/>
        <v>2</v>
      </c>
      <c r="DA53" s="54">
        <f t="shared" si="110"/>
        <v>5</v>
      </c>
      <c r="DB53" s="54">
        <f t="shared" si="111"/>
        <v>2</v>
      </c>
      <c r="DC53" s="54">
        <f t="shared" si="112"/>
        <v>5</v>
      </c>
      <c r="DD53" s="54">
        <f t="shared" si="113"/>
        <v>2</v>
      </c>
      <c r="DE53" s="54">
        <f t="shared" si="114"/>
        <v>5</v>
      </c>
      <c r="DF53" s="54">
        <f t="shared" si="115"/>
        <v>2</v>
      </c>
      <c r="DG53" s="54">
        <f t="shared" si="116"/>
        <v>5</v>
      </c>
      <c r="DH53" s="54">
        <f t="shared" si="117"/>
        <v>2</v>
      </c>
      <c r="DI53" s="54">
        <f t="shared" si="118"/>
        <v>5</v>
      </c>
      <c r="DJ53" s="54">
        <f t="shared" si="119"/>
        <v>2</v>
      </c>
      <c r="DK53" s="54">
        <f t="shared" si="120"/>
        <v>5</v>
      </c>
      <c r="DL53" s="54">
        <f t="shared" si="121"/>
        <v>2</v>
      </c>
      <c r="DM53" s="54">
        <f t="shared" si="122"/>
        <v>5</v>
      </c>
      <c r="DN53" s="54">
        <f t="shared" si="123"/>
        <v>2</v>
      </c>
      <c r="DO53" s="54">
        <f t="shared" si="124"/>
        <v>5</v>
      </c>
      <c r="DP53" s="54">
        <f t="shared" si="125"/>
        <v>2</v>
      </c>
      <c r="DQ53" s="54">
        <f t="shared" si="126"/>
        <v>5</v>
      </c>
      <c r="DR53" s="54">
        <f t="shared" si="127"/>
        <v>2</v>
      </c>
      <c r="DS53" s="54">
        <f t="shared" si="128"/>
        <v>5</v>
      </c>
      <c r="DT53" s="54">
        <f t="shared" si="129"/>
        <v>2</v>
      </c>
      <c r="DU53" s="54">
        <f t="shared" si="130"/>
        <v>5</v>
      </c>
      <c r="DV53" s="54">
        <f t="shared" si="131"/>
        <v>2</v>
      </c>
      <c r="DW53" s="54">
        <f t="shared" si="132"/>
        <v>5</v>
      </c>
      <c r="DX53" s="54">
        <f t="shared" si="133"/>
        <v>2</v>
      </c>
      <c r="DY53" s="54">
        <f t="shared" si="134"/>
        <v>5</v>
      </c>
      <c r="DZ53" s="54">
        <f t="shared" si="135"/>
        <v>2</v>
      </c>
      <c r="EA53" s="54">
        <f t="shared" si="134"/>
        <v>5</v>
      </c>
      <c r="EB53" s="54">
        <f t="shared" si="135"/>
        <v>2</v>
      </c>
      <c r="EC53" s="54">
        <f t="shared" si="135"/>
        <v>5</v>
      </c>
      <c r="ED53" s="54">
        <f t="shared" si="173"/>
        <v>2</v>
      </c>
      <c r="EE53" s="54">
        <f t="shared" si="174"/>
        <v>5</v>
      </c>
      <c r="EF53" s="54">
        <f t="shared" si="175"/>
        <v>2</v>
      </c>
      <c r="EG53" s="54">
        <f t="shared" ref="EG53:EN53" si="191">EG52</f>
        <v>5</v>
      </c>
      <c r="EH53" s="54">
        <f t="shared" si="191"/>
        <v>2</v>
      </c>
      <c r="EI53" s="54">
        <f t="shared" si="191"/>
        <v>5</v>
      </c>
      <c r="EJ53" s="54">
        <f t="shared" si="191"/>
        <v>2</v>
      </c>
      <c r="EK53" s="54">
        <f t="shared" si="191"/>
        <v>5</v>
      </c>
      <c r="EL53" s="54">
        <f t="shared" si="191"/>
        <v>2</v>
      </c>
      <c r="EM53" s="54">
        <f t="shared" si="191"/>
        <v>5</v>
      </c>
      <c r="EN53" s="54">
        <f t="shared" si="191"/>
        <v>2</v>
      </c>
      <c r="EO53" s="54">
        <f t="shared" si="171"/>
        <v>2</v>
      </c>
      <c r="EP53" s="54">
        <f t="shared" si="172"/>
        <v>2</v>
      </c>
    </row>
    <row r="54" spans="1:146" x14ac:dyDescent="0.2">
      <c r="B54" t="s">
        <v>230</v>
      </c>
      <c r="C54" s="54">
        <f t="shared" si="9"/>
        <v>45474</v>
      </c>
      <c r="D54" s="54">
        <f t="shared" si="1"/>
        <v>1</v>
      </c>
      <c r="E54" s="54">
        <f t="shared" si="10"/>
        <v>4</v>
      </c>
      <c r="F54" s="54">
        <f t="shared" si="11"/>
        <v>2</v>
      </c>
      <c r="G54" s="54">
        <f t="shared" si="12"/>
        <v>5</v>
      </c>
      <c r="H54" s="54">
        <f t="shared" si="13"/>
        <v>2</v>
      </c>
      <c r="I54" s="54">
        <f t="shared" si="14"/>
        <v>5</v>
      </c>
      <c r="J54" s="54">
        <f t="shared" si="15"/>
        <v>2</v>
      </c>
      <c r="K54" s="54">
        <f t="shared" si="16"/>
        <v>5</v>
      </c>
      <c r="L54" s="54">
        <f t="shared" si="17"/>
        <v>2</v>
      </c>
      <c r="M54" s="54">
        <f t="shared" si="18"/>
        <v>5</v>
      </c>
      <c r="N54" s="54">
        <f t="shared" si="19"/>
        <v>2</v>
      </c>
      <c r="O54" s="54">
        <f t="shared" si="20"/>
        <v>5</v>
      </c>
      <c r="P54" s="54">
        <f t="shared" si="21"/>
        <v>2</v>
      </c>
      <c r="Q54" s="54">
        <f t="shared" si="22"/>
        <v>5</v>
      </c>
      <c r="R54" s="54">
        <f t="shared" si="23"/>
        <v>2</v>
      </c>
      <c r="S54" s="54">
        <f t="shared" si="24"/>
        <v>5</v>
      </c>
      <c r="T54" s="54">
        <f t="shared" si="25"/>
        <v>2</v>
      </c>
      <c r="U54" s="54">
        <f t="shared" si="26"/>
        <v>5</v>
      </c>
      <c r="V54" s="54">
        <f t="shared" si="27"/>
        <v>2</v>
      </c>
      <c r="W54" s="54">
        <f t="shared" si="28"/>
        <v>5</v>
      </c>
      <c r="X54" s="54">
        <f t="shared" si="29"/>
        <v>2</v>
      </c>
      <c r="Y54" s="54">
        <f t="shared" si="30"/>
        <v>5</v>
      </c>
      <c r="Z54" s="54">
        <f t="shared" si="31"/>
        <v>2</v>
      </c>
      <c r="AA54" s="54">
        <f t="shared" si="32"/>
        <v>5</v>
      </c>
      <c r="AB54" s="54">
        <f t="shared" si="33"/>
        <v>2</v>
      </c>
      <c r="AC54" s="54">
        <f t="shared" si="34"/>
        <v>5</v>
      </c>
      <c r="AD54" s="54">
        <f t="shared" si="35"/>
        <v>2</v>
      </c>
      <c r="AE54" s="54">
        <f t="shared" si="36"/>
        <v>5</v>
      </c>
      <c r="AF54" s="54">
        <f t="shared" si="37"/>
        <v>2</v>
      </c>
      <c r="AG54" s="54">
        <f t="shared" si="38"/>
        <v>5</v>
      </c>
      <c r="AH54" s="54">
        <f t="shared" si="39"/>
        <v>2</v>
      </c>
      <c r="AI54" s="54">
        <f t="shared" si="40"/>
        <v>5</v>
      </c>
      <c r="AJ54" s="54">
        <f t="shared" si="41"/>
        <v>2</v>
      </c>
      <c r="AK54" s="54">
        <f t="shared" si="42"/>
        <v>5</v>
      </c>
      <c r="AL54" s="54">
        <f t="shared" si="43"/>
        <v>2</v>
      </c>
      <c r="AM54" s="54">
        <f t="shared" si="44"/>
        <v>5</v>
      </c>
      <c r="AN54" s="54">
        <f t="shared" si="45"/>
        <v>2</v>
      </c>
      <c r="AO54" s="54">
        <f t="shared" si="46"/>
        <v>5</v>
      </c>
      <c r="AP54" s="54">
        <f t="shared" si="47"/>
        <v>2</v>
      </c>
      <c r="AQ54" s="54">
        <f t="shared" si="48"/>
        <v>5</v>
      </c>
      <c r="AR54" s="54">
        <f t="shared" si="49"/>
        <v>2</v>
      </c>
      <c r="AS54" s="54">
        <f t="shared" si="50"/>
        <v>5</v>
      </c>
      <c r="AT54" s="54">
        <f t="shared" si="51"/>
        <v>2</v>
      </c>
      <c r="AU54" s="54">
        <f t="shared" si="52"/>
        <v>5</v>
      </c>
      <c r="AV54" s="54">
        <f t="shared" si="53"/>
        <v>2</v>
      </c>
      <c r="AW54" s="54">
        <f t="shared" si="54"/>
        <v>5</v>
      </c>
      <c r="AX54" s="54">
        <f t="shared" si="55"/>
        <v>2</v>
      </c>
      <c r="AY54" s="54">
        <f t="shared" si="56"/>
        <v>5</v>
      </c>
      <c r="AZ54" s="54">
        <f t="shared" si="57"/>
        <v>2</v>
      </c>
      <c r="BA54" s="54">
        <f t="shared" si="58"/>
        <v>5</v>
      </c>
      <c r="BB54" s="54">
        <f t="shared" si="59"/>
        <v>2</v>
      </c>
      <c r="BC54" s="54">
        <f t="shared" si="60"/>
        <v>5</v>
      </c>
      <c r="BD54" s="54">
        <f t="shared" si="61"/>
        <v>2</v>
      </c>
      <c r="BE54" s="54">
        <f t="shared" si="62"/>
        <v>5</v>
      </c>
      <c r="BF54" s="54">
        <f t="shared" si="63"/>
        <v>2</v>
      </c>
      <c r="BG54" s="54">
        <f t="shared" si="64"/>
        <v>5</v>
      </c>
      <c r="BH54" s="54">
        <f t="shared" si="65"/>
        <v>2</v>
      </c>
      <c r="BI54" s="54">
        <f t="shared" si="66"/>
        <v>5</v>
      </c>
      <c r="BJ54" s="54">
        <f t="shared" si="67"/>
        <v>2</v>
      </c>
      <c r="BK54" s="54">
        <f t="shared" si="68"/>
        <v>5</v>
      </c>
      <c r="BL54" s="54">
        <f t="shared" si="69"/>
        <v>2</v>
      </c>
      <c r="BM54" s="54">
        <f t="shared" si="70"/>
        <v>5</v>
      </c>
      <c r="BN54" s="54">
        <f t="shared" si="71"/>
        <v>2</v>
      </c>
      <c r="BO54" s="54">
        <f t="shared" si="72"/>
        <v>5</v>
      </c>
      <c r="BP54" s="54">
        <f t="shared" si="73"/>
        <v>2</v>
      </c>
      <c r="BQ54" s="54">
        <f t="shared" si="74"/>
        <v>5</v>
      </c>
      <c r="BR54" s="54">
        <f t="shared" si="75"/>
        <v>2</v>
      </c>
      <c r="BS54" s="54">
        <f t="shared" si="76"/>
        <v>5</v>
      </c>
      <c r="BT54" s="54">
        <f t="shared" si="77"/>
        <v>2</v>
      </c>
      <c r="BU54" s="54">
        <f t="shared" si="78"/>
        <v>5</v>
      </c>
      <c r="BV54" s="54">
        <f t="shared" si="79"/>
        <v>2</v>
      </c>
      <c r="BW54" s="54">
        <f t="shared" si="80"/>
        <v>5</v>
      </c>
      <c r="BX54" s="54">
        <f t="shared" si="81"/>
        <v>2</v>
      </c>
      <c r="BY54" s="54">
        <f t="shared" si="82"/>
        <v>5</v>
      </c>
      <c r="BZ54" s="54">
        <f t="shared" si="83"/>
        <v>2</v>
      </c>
      <c r="CA54" s="54">
        <f t="shared" si="84"/>
        <v>5</v>
      </c>
      <c r="CB54" s="54">
        <f t="shared" si="85"/>
        <v>2</v>
      </c>
      <c r="CC54" s="54">
        <f t="shared" si="86"/>
        <v>5</v>
      </c>
      <c r="CD54" s="54">
        <f t="shared" si="87"/>
        <v>2</v>
      </c>
      <c r="CE54" s="54">
        <f t="shared" si="88"/>
        <v>5</v>
      </c>
      <c r="CF54" s="54">
        <f t="shared" si="89"/>
        <v>2</v>
      </c>
      <c r="CG54" s="54">
        <f t="shared" si="90"/>
        <v>5</v>
      </c>
      <c r="CH54" s="54">
        <f t="shared" si="91"/>
        <v>2</v>
      </c>
      <c r="CI54" s="54">
        <f t="shared" si="92"/>
        <v>5</v>
      </c>
      <c r="CJ54" s="54">
        <f t="shared" si="93"/>
        <v>2</v>
      </c>
      <c r="CK54" s="54">
        <f t="shared" si="94"/>
        <v>5</v>
      </c>
      <c r="CL54" s="54">
        <f t="shared" si="95"/>
        <v>2</v>
      </c>
      <c r="CM54" s="54">
        <f t="shared" si="96"/>
        <v>5</v>
      </c>
      <c r="CN54" s="54">
        <f t="shared" si="97"/>
        <v>2</v>
      </c>
      <c r="CO54" s="54">
        <f t="shared" si="98"/>
        <v>5</v>
      </c>
      <c r="CP54" s="54">
        <f t="shared" si="99"/>
        <v>2</v>
      </c>
      <c r="CQ54" s="54">
        <f t="shared" si="100"/>
        <v>5</v>
      </c>
      <c r="CR54" s="54">
        <f t="shared" si="101"/>
        <v>2</v>
      </c>
      <c r="CS54" s="54">
        <f t="shared" si="102"/>
        <v>5</v>
      </c>
      <c r="CT54" s="54">
        <f t="shared" si="103"/>
        <v>2</v>
      </c>
      <c r="CU54" s="54">
        <f t="shared" si="104"/>
        <v>5</v>
      </c>
      <c r="CV54" s="54">
        <f t="shared" si="105"/>
        <v>2</v>
      </c>
      <c r="CW54" s="54">
        <f t="shared" si="106"/>
        <v>5</v>
      </c>
      <c r="CX54" s="54">
        <f t="shared" si="107"/>
        <v>2</v>
      </c>
      <c r="CY54" s="54">
        <f t="shared" si="108"/>
        <v>5</v>
      </c>
      <c r="CZ54" s="54">
        <f t="shared" si="109"/>
        <v>2</v>
      </c>
      <c r="DA54" s="54">
        <f t="shared" si="110"/>
        <v>5</v>
      </c>
      <c r="DB54" s="54">
        <f t="shared" si="111"/>
        <v>2</v>
      </c>
      <c r="DC54" s="54">
        <f t="shared" si="112"/>
        <v>5</v>
      </c>
      <c r="DD54" s="54">
        <f t="shared" si="113"/>
        <v>2</v>
      </c>
      <c r="DE54" s="54">
        <f t="shared" si="114"/>
        <v>5</v>
      </c>
      <c r="DF54" s="54">
        <f t="shared" si="115"/>
        <v>2</v>
      </c>
      <c r="DG54" s="54">
        <f t="shared" si="116"/>
        <v>5</v>
      </c>
      <c r="DH54" s="54">
        <f t="shared" si="117"/>
        <v>2</v>
      </c>
      <c r="DI54" s="54">
        <f t="shared" si="118"/>
        <v>5</v>
      </c>
      <c r="DJ54" s="54">
        <f t="shared" si="119"/>
        <v>2</v>
      </c>
      <c r="DK54" s="54">
        <f t="shared" si="120"/>
        <v>5</v>
      </c>
      <c r="DL54" s="54">
        <f t="shared" si="121"/>
        <v>2</v>
      </c>
      <c r="DM54" s="54">
        <f t="shared" si="122"/>
        <v>5</v>
      </c>
      <c r="DN54" s="54">
        <f t="shared" si="123"/>
        <v>2</v>
      </c>
      <c r="DO54" s="54">
        <f t="shared" si="124"/>
        <v>5</v>
      </c>
      <c r="DP54" s="54">
        <f t="shared" si="125"/>
        <v>2</v>
      </c>
      <c r="DQ54" s="54">
        <f t="shared" si="126"/>
        <v>5</v>
      </c>
      <c r="DR54" s="54">
        <f t="shared" si="127"/>
        <v>2</v>
      </c>
      <c r="DS54" s="54">
        <f t="shared" si="128"/>
        <v>5</v>
      </c>
      <c r="DT54" s="54">
        <f t="shared" si="129"/>
        <v>2</v>
      </c>
      <c r="DU54" s="54">
        <f t="shared" si="130"/>
        <v>5</v>
      </c>
      <c r="DV54" s="54">
        <f t="shared" si="131"/>
        <v>2</v>
      </c>
      <c r="DW54" s="54">
        <f t="shared" si="132"/>
        <v>5</v>
      </c>
      <c r="DX54" s="54">
        <f t="shared" si="133"/>
        <v>2</v>
      </c>
      <c r="DY54" s="54">
        <f t="shared" si="134"/>
        <v>5</v>
      </c>
      <c r="DZ54" s="54">
        <f t="shared" si="135"/>
        <v>2</v>
      </c>
      <c r="EA54" s="54">
        <f t="shared" si="134"/>
        <v>5</v>
      </c>
      <c r="EB54" s="54">
        <f t="shared" si="135"/>
        <v>2</v>
      </c>
      <c r="EC54" s="54">
        <f t="shared" si="135"/>
        <v>5</v>
      </c>
      <c r="ED54" s="54">
        <f t="shared" si="173"/>
        <v>2</v>
      </c>
      <c r="EE54" s="54">
        <f t="shared" si="174"/>
        <v>5</v>
      </c>
      <c r="EF54" s="54">
        <f t="shared" si="175"/>
        <v>2</v>
      </c>
      <c r="EG54" s="54">
        <f t="shared" ref="EG54:EN54" si="192">EG53</f>
        <v>5</v>
      </c>
      <c r="EH54" s="54">
        <f t="shared" si="192"/>
        <v>2</v>
      </c>
      <c r="EI54" s="54">
        <f t="shared" si="192"/>
        <v>5</v>
      </c>
      <c r="EJ54" s="54">
        <f t="shared" si="192"/>
        <v>2</v>
      </c>
      <c r="EK54" s="54">
        <f t="shared" si="192"/>
        <v>5</v>
      </c>
      <c r="EL54" s="54">
        <f t="shared" si="192"/>
        <v>2</v>
      </c>
      <c r="EM54" s="54">
        <f t="shared" si="192"/>
        <v>5</v>
      </c>
      <c r="EN54" s="54">
        <f t="shared" si="192"/>
        <v>2</v>
      </c>
      <c r="EO54" s="54">
        <f t="shared" si="171"/>
        <v>2</v>
      </c>
      <c r="EP54" s="54">
        <f t="shared" si="172"/>
        <v>2</v>
      </c>
    </row>
    <row r="55" spans="1:146" x14ac:dyDescent="0.2">
      <c r="B55" t="s">
        <v>230</v>
      </c>
      <c r="C55" s="54">
        <f t="shared" si="9"/>
        <v>45474</v>
      </c>
      <c r="D55" s="54">
        <f t="shared" si="1"/>
        <v>1</v>
      </c>
      <c r="E55" s="54">
        <f t="shared" si="10"/>
        <v>4</v>
      </c>
      <c r="F55" s="54">
        <f t="shared" si="11"/>
        <v>2</v>
      </c>
      <c r="G55" s="54">
        <f t="shared" si="12"/>
        <v>5</v>
      </c>
      <c r="H55" s="54">
        <f t="shared" si="13"/>
        <v>2</v>
      </c>
      <c r="I55" s="54">
        <f t="shared" si="14"/>
        <v>5</v>
      </c>
      <c r="J55" s="54">
        <f t="shared" si="15"/>
        <v>2</v>
      </c>
      <c r="K55" s="54">
        <f t="shared" si="16"/>
        <v>5</v>
      </c>
      <c r="L55" s="54">
        <f t="shared" si="17"/>
        <v>2</v>
      </c>
      <c r="M55" s="54">
        <f t="shared" si="18"/>
        <v>5</v>
      </c>
      <c r="N55" s="54">
        <f t="shared" si="19"/>
        <v>2</v>
      </c>
      <c r="O55" s="54">
        <f t="shared" si="20"/>
        <v>5</v>
      </c>
      <c r="P55" s="54">
        <f t="shared" si="21"/>
        <v>2</v>
      </c>
      <c r="Q55" s="54">
        <f t="shared" si="22"/>
        <v>5</v>
      </c>
      <c r="R55" s="54">
        <f t="shared" si="23"/>
        <v>2</v>
      </c>
      <c r="S55" s="54">
        <f t="shared" si="24"/>
        <v>5</v>
      </c>
      <c r="T55" s="54">
        <f t="shared" si="25"/>
        <v>2</v>
      </c>
      <c r="U55" s="54">
        <f t="shared" si="26"/>
        <v>5</v>
      </c>
      <c r="V55" s="54">
        <f t="shared" si="27"/>
        <v>2</v>
      </c>
      <c r="W55" s="54">
        <f t="shared" si="28"/>
        <v>5</v>
      </c>
      <c r="X55" s="54">
        <f t="shared" si="29"/>
        <v>2</v>
      </c>
      <c r="Y55" s="54">
        <f t="shared" si="30"/>
        <v>5</v>
      </c>
      <c r="Z55" s="54">
        <f t="shared" si="31"/>
        <v>2</v>
      </c>
      <c r="AA55" s="54">
        <f t="shared" si="32"/>
        <v>5</v>
      </c>
      <c r="AB55" s="54">
        <f t="shared" si="33"/>
        <v>2</v>
      </c>
      <c r="AC55" s="54">
        <f t="shared" si="34"/>
        <v>5</v>
      </c>
      <c r="AD55" s="54">
        <f t="shared" si="35"/>
        <v>2</v>
      </c>
      <c r="AE55" s="54">
        <f t="shared" si="36"/>
        <v>5</v>
      </c>
      <c r="AF55" s="54">
        <f t="shared" si="37"/>
        <v>2</v>
      </c>
      <c r="AG55" s="54">
        <f t="shared" si="38"/>
        <v>5</v>
      </c>
      <c r="AH55" s="54">
        <f t="shared" si="39"/>
        <v>2</v>
      </c>
      <c r="AI55" s="54">
        <f t="shared" si="40"/>
        <v>5</v>
      </c>
      <c r="AJ55" s="54">
        <f t="shared" si="41"/>
        <v>2</v>
      </c>
      <c r="AK55" s="54">
        <f t="shared" si="42"/>
        <v>5</v>
      </c>
      <c r="AL55" s="54">
        <f t="shared" si="43"/>
        <v>2</v>
      </c>
      <c r="AM55" s="54">
        <f t="shared" si="44"/>
        <v>5</v>
      </c>
      <c r="AN55" s="54">
        <f t="shared" si="45"/>
        <v>2</v>
      </c>
      <c r="AO55" s="54">
        <f t="shared" si="46"/>
        <v>5</v>
      </c>
      <c r="AP55" s="54">
        <f t="shared" si="47"/>
        <v>2</v>
      </c>
      <c r="AQ55" s="54">
        <f t="shared" si="48"/>
        <v>5</v>
      </c>
      <c r="AR55" s="54">
        <f t="shared" si="49"/>
        <v>2</v>
      </c>
      <c r="AS55" s="54">
        <f t="shared" si="50"/>
        <v>5</v>
      </c>
      <c r="AT55" s="54">
        <f t="shared" si="51"/>
        <v>2</v>
      </c>
      <c r="AU55" s="54">
        <f t="shared" si="52"/>
        <v>5</v>
      </c>
      <c r="AV55" s="54">
        <f t="shared" si="53"/>
        <v>2</v>
      </c>
      <c r="AW55" s="54">
        <f t="shared" si="54"/>
        <v>5</v>
      </c>
      <c r="AX55" s="54">
        <f t="shared" si="55"/>
        <v>2</v>
      </c>
      <c r="AY55" s="54">
        <f t="shared" si="56"/>
        <v>5</v>
      </c>
      <c r="AZ55" s="54">
        <f t="shared" si="57"/>
        <v>2</v>
      </c>
      <c r="BA55" s="54">
        <f t="shared" si="58"/>
        <v>5</v>
      </c>
      <c r="BB55" s="54">
        <f t="shared" si="59"/>
        <v>2</v>
      </c>
      <c r="BC55" s="54">
        <f t="shared" si="60"/>
        <v>5</v>
      </c>
      <c r="BD55" s="54">
        <f t="shared" si="61"/>
        <v>2</v>
      </c>
      <c r="BE55" s="54">
        <f t="shared" si="62"/>
        <v>5</v>
      </c>
      <c r="BF55" s="54">
        <f t="shared" si="63"/>
        <v>2</v>
      </c>
      <c r="BG55" s="54">
        <f t="shared" si="64"/>
        <v>5</v>
      </c>
      <c r="BH55" s="54">
        <f t="shared" si="65"/>
        <v>2</v>
      </c>
      <c r="BI55" s="54">
        <f t="shared" si="66"/>
        <v>5</v>
      </c>
      <c r="BJ55" s="54">
        <f t="shared" si="67"/>
        <v>2</v>
      </c>
      <c r="BK55" s="54">
        <f t="shared" si="68"/>
        <v>5</v>
      </c>
      <c r="BL55" s="54">
        <f t="shared" si="69"/>
        <v>2</v>
      </c>
      <c r="BM55" s="54">
        <f t="shared" si="70"/>
        <v>5</v>
      </c>
      <c r="BN55" s="54">
        <f t="shared" si="71"/>
        <v>2</v>
      </c>
      <c r="BO55" s="54">
        <f t="shared" si="72"/>
        <v>5</v>
      </c>
      <c r="BP55" s="54">
        <f t="shared" si="73"/>
        <v>2</v>
      </c>
      <c r="BQ55" s="54">
        <f t="shared" si="74"/>
        <v>5</v>
      </c>
      <c r="BR55" s="54">
        <f t="shared" si="75"/>
        <v>2</v>
      </c>
      <c r="BS55" s="54">
        <f t="shared" si="76"/>
        <v>5</v>
      </c>
      <c r="BT55" s="54">
        <f t="shared" si="77"/>
        <v>2</v>
      </c>
      <c r="BU55" s="54">
        <f t="shared" si="78"/>
        <v>5</v>
      </c>
      <c r="BV55" s="54">
        <f t="shared" si="79"/>
        <v>2</v>
      </c>
      <c r="BW55" s="54">
        <f t="shared" si="80"/>
        <v>5</v>
      </c>
      <c r="BX55" s="54">
        <f t="shared" si="81"/>
        <v>2</v>
      </c>
      <c r="BY55" s="54">
        <f t="shared" si="82"/>
        <v>5</v>
      </c>
      <c r="BZ55" s="54">
        <f t="shared" si="83"/>
        <v>2</v>
      </c>
      <c r="CA55" s="54">
        <f t="shared" si="84"/>
        <v>5</v>
      </c>
      <c r="CB55" s="54">
        <f t="shared" si="85"/>
        <v>2</v>
      </c>
      <c r="CC55" s="54">
        <f t="shared" si="86"/>
        <v>5</v>
      </c>
      <c r="CD55" s="54">
        <f t="shared" si="87"/>
        <v>2</v>
      </c>
      <c r="CE55" s="54">
        <f t="shared" si="88"/>
        <v>5</v>
      </c>
      <c r="CF55" s="54">
        <f t="shared" si="89"/>
        <v>2</v>
      </c>
      <c r="CG55" s="54">
        <f t="shared" si="90"/>
        <v>5</v>
      </c>
      <c r="CH55" s="54">
        <f t="shared" si="91"/>
        <v>2</v>
      </c>
      <c r="CI55" s="54">
        <f t="shared" si="92"/>
        <v>5</v>
      </c>
      <c r="CJ55" s="54">
        <f t="shared" si="93"/>
        <v>2</v>
      </c>
      <c r="CK55" s="54">
        <f t="shared" si="94"/>
        <v>5</v>
      </c>
      <c r="CL55" s="54">
        <f t="shared" si="95"/>
        <v>2</v>
      </c>
      <c r="CM55" s="54">
        <f t="shared" si="96"/>
        <v>5</v>
      </c>
      <c r="CN55" s="54">
        <f t="shared" si="97"/>
        <v>2</v>
      </c>
      <c r="CO55" s="54">
        <f t="shared" si="98"/>
        <v>5</v>
      </c>
      <c r="CP55" s="54">
        <f t="shared" si="99"/>
        <v>2</v>
      </c>
      <c r="CQ55" s="54">
        <f t="shared" si="100"/>
        <v>5</v>
      </c>
      <c r="CR55" s="54">
        <f t="shared" si="101"/>
        <v>2</v>
      </c>
      <c r="CS55" s="54">
        <f t="shared" si="102"/>
        <v>5</v>
      </c>
      <c r="CT55" s="54">
        <f t="shared" si="103"/>
        <v>2</v>
      </c>
      <c r="CU55" s="54">
        <f t="shared" si="104"/>
        <v>5</v>
      </c>
      <c r="CV55" s="54">
        <f t="shared" si="105"/>
        <v>2</v>
      </c>
      <c r="CW55" s="54">
        <f t="shared" si="106"/>
        <v>5</v>
      </c>
      <c r="CX55" s="54">
        <f t="shared" si="107"/>
        <v>2</v>
      </c>
      <c r="CY55" s="54">
        <f t="shared" si="108"/>
        <v>5</v>
      </c>
      <c r="CZ55" s="54">
        <f t="shared" si="109"/>
        <v>2</v>
      </c>
      <c r="DA55" s="54">
        <f t="shared" si="110"/>
        <v>5</v>
      </c>
      <c r="DB55" s="54">
        <f t="shared" si="111"/>
        <v>2</v>
      </c>
      <c r="DC55" s="54">
        <f t="shared" si="112"/>
        <v>5</v>
      </c>
      <c r="DD55" s="54">
        <f t="shared" si="113"/>
        <v>2</v>
      </c>
      <c r="DE55" s="54">
        <f t="shared" si="114"/>
        <v>5</v>
      </c>
      <c r="DF55" s="54">
        <f t="shared" si="115"/>
        <v>2</v>
      </c>
      <c r="DG55" s="54">
        <f t="shared" si="116"/>
        <v>5</v>
      </c>
      <c r="DH55" s="54">
        <f t="shared" si="117"/>
        <v>2</v>
      </c>
      <c r="DI55" s="54">
        <f t="shared" si="118"/>
        <v>5</v>
      </c>
      <c r="DJ55" s="54">
        <f t="shared" si="119"/>
        <v>2</v>
      </c>
      <c r="DK55" s="54">
        <f t="shared" si="120"/>
        <v>5</v>
      </c>
      <c r="DL55" s="54">
        <f t="shared" si="121"/>
        <v>2</v>
      </c>
      <c r="DM55" s="54">
        <f t="shared" si="122"/>
        <v>5</v>
      </c>
      <c r="DN55" s="54">
        <f t="shared" si="123"/>
        <v>2</v>
      </c>
      <c r="DO55" s="54">
        <f t="shared" si="124"/>
        <v>5</v>
      </c>
      <c r="DP55" s="54">
        <f t="shared" si="125"/>
        <v>2</v>
      </c>
      <c r="DQ55" s="54">
        <f t="shared" si="126"/>
        <v>5</v>
      </c>
      <c r="DR55" s="54">
        <f t="shared" si="127"/>
        <v>2</v>
      </c>
      <c r="DS55" s="54">
        <f t="shared" si="128"/>
        <v>5</v>
      </c>
      <c r="DT55" s="54">
        <f t="shared" si="129"/>
        <v>2</v>
      </c>
      <c r="DU55" s="54">
        <f t="shared" si="130"/>
        <v>5</v>
      </c>
      <c r="DV55" s="54">
        <f t="shared" si="131"/>
        <v>2</v>
      </c>
      <c r="DW55" s="54">
        <f t="shared" si="132"/>
        <v>5</v>
      </c>
      <c r="DX55" s="54">
        <f t="shared" si="133"/>
        <v>2</v>
      </c>
      <c r="DY55" s="54">
        <f t="shared" si="134"/>
        <v>5</v>
      </c>
      <c r="DZ55" s="54">
        <f t="shared" si="135"/>
        <v>2</v>
      </c>
      <c r="EA55" s="54">
        <f t="shared" si="134"/>
        <v>5</v>
      </c>
      <c r="EB55" s="54">
        <f t="shared" si="135"/>
        <v>2</v>
      </c>
      <c r="EC55" s="54">
        <f t="shared" si="135"/>
        <v>5</v>
      </c>
      <c r="ED55" s="54">
        <f t="shared" si="173"/>
        <v>2</v>
      </c>
      <c r="EE55" s="54">
        <f t="shared" si="174"/>
        <v>5</v>
      </c>
      <c r="EF55" s="54">
        <f t="shared" si="175"/>
        <v>2</v>
      </c>
      <c r="EG55" s="54">
        <f t="shared" ref="EG55:EN55" si="193">EG54</f>
        <v>5</v>
      </c>
      <c r="EH55" s="54">
        <f t="shared" si="193"/>
        <v>2</v>
      </c>
      <c r="EI55" s="54">
        <f t="shared" si="193"/>
        <v>5</v>
      </c>
      <c r="EJ55" s="54">
        <f t="shared" si="193"/>
        <v>2</v>
      </c>
      <c r="EK55" s="54">
        <f t="shared" si="193"/>
        <v>5</v>
      </c>
      <c r="EL55" s="54">
        <f t="shared" si="193"/>
        <v>2</v>
      </c>
      <c r="EM55" s="54">
        <f t="shared" si="193"/>
        <v>5</v>
      </c>
      <c r="EN55" s="54">
        <f t="shared" si="193"/>
        <v>2</v>
      </c>
      <c r="EO55" s="54">
        <f t="shared" si="171"/>
        <v>2</v>
      </c>
      <c r="EP55" s="54">
        <f t="shared" si="172"/>
        <v>2</v>
      </c>
    </row>
    <row r="56" spans="1:146" x14ac:dyDescent="0.2">
      <c r="A56" s="54"/>
      <c r="B56" t="s">
        <v>230</v>
      </c>
      <c r="C56" s="54">
        <f t="shared" si="9"/>
        <v>45474</v>
      </c>
      <c r="D56" s="54">
        <f t="shared" si="1"/>
        <v>1</v>
      </c>
      <c r="E56" s="54">
        <f t="shared" si="10"/>
        <v>4</v>
      </c>
      <c r="F56" s="54">
        <f t="shared" si="11"/>
        <v>2</v>
      </c>
      <c r="G56" s="54">
        <f t="shared" si="12"/>
        <v>5</v>
      </c>
      <c r="H56" s="54">
        <f t="shared" si="13"/>
        <v>2</v>
      </c>
      <c r="I56" s="54">
        <f t="shared" si="14"/>
        <v>5</v>
      </c>
      <c r="J56" s="54">
        <f t="shared" si="15"/>
        <v>2</v>
      </c>
      <c r="K56" s="54">
        <f t="shared" si="16"/>
        <v>5</v>
      </c>
      <c r="L56" s="54">
        <f t="shared" si="17"/>
        <v>2</v>
      </c>
      <c r="M56" s="54">
        <f t="shared" si="18"/>
        <v>5</v>
      </c>
      <c r="N56" s="54">
        <f t="shared" si="19"/>
        <v>2</v>
      </c>
      <c r="O56" s="54">
        <f t="shared" si="20"/>
        <v>5</v>
      </c>
      <c r="P56" s="54">
        <f t="shared" si="21"/>
        <v>2</v>
      </c>
      <c r="Q56" s="54">
        <f t="shared" si="22"/>
        <v>5</v>
      </c>
      <c r="R56" s="54">
        <f t="shared" si="23"/>
        <v>2</v>
      </c>
      <c r="S56" s="54">
        <f t="shared" si="24"/>
        <v>5</v>
      </c>
      <c r="T56" s="54">
        <f t="shared" si="25"/>
        <v>2</v>
      </c>
      <c r="U56" s="54">
        <f t="shared" si="26"/>
        <v>5</v>
      </c>
      <c r="V56" s="54">
        <f t="shared" si="27"/>
        <v>2</v>
      </c>
      <c r="W56" s="54">
        <f t="shared" si="28"/>
        <v>5</v>
      </c>
      <c r="X56" s="54">
        <f t="shared" si="29"/>
        <v>2</v>
      </c>
      <c r="Y56" s="54">
        <f t="shared" si="30"/>
        <v>5</v>
      </c>
      <c r="Z56" s="54">
        <f t="shared" si="31"/>
        <v>2</v>
      </c>
      <c r="AA56" s="54">
        <f t="shared" si="32"/>
        <v>5</v>
      </c>
      <c r="AB56" s="54">
        <f t="shared" si="33"/>
        <v>2</v>
      </c>
      <c r="AC56" s="54">
        <f t="shared" si="34"/>
        <v>5</v>
      </c>
      <c r="AD56" s="54">
        <f t="shared" si="35"/>
        <v>2</v>
      </c>
      <c r="AE56" s="54">
        <f t="shared" si="36"/>
        <v>5</v>
      </c>
      <c r="AF56" s="54">
        <f t="shared" si="37"/>
        <v>2</v>
      </c>
      <c r="AG56" s="54">
        <f t="shared" si="38"/>
        <v>5</v>
      </c>
      <c r="AH56" s="54">
        <f t="shared" si="39"/>
        <v>2</v>
      </c>
      <c r="AI56" s="54">
        <f t="shared" si="40"/>
        <v>5</v>
      </c>
      <c r="AJ56" s="54">
        <f t="shared" si="41"/>
        <v>2</v>
      </c>
      <c r="AK56" s="54">
        <f t="shared" si="42"/>
        <v>5</v>
      </c>
      <c r="AL56" s="54">
        <f t="shared" si="43"/>
        <v>2</v>
      </c>
      <c r="AM56" s="54">
        <f t="shared" si="44"/>
        <v>5</v>
      </c>
      <c r="AN56" s="54">
        <f t="shared" si="45"/>
        <v>2</v>
      </c>
      <c r="AO56" s="54">
        <f t="shared" si="46"/>
        <v>5</v>
      </c>
      <c r="AP56" s="54">
        <f t="shared" si="47"/>
        <v>2</v>
      </c>
      <c r="AQ56" s="54">
        <f t="shared" si="48"/>
        <v>5</v>
      </c>
      <c r="AR56" s="54">
        <f t="shared" si="49"/>
        <v>2</v>
      </c>
      <c r="AS56" s="54">
        <f t="shared" si="50"/>
        <v>5</v>
      </c>
      <c r="AT56" s="54">
        <f t="shared" si="51"/>
        <v>2</v>
      </c>
      <c r="AU56" s="54">
        <f t="shared" si="52"/>
        <v>5</v>
      </c>
      <c r="AV56" s="54">
        <f t="shared" si="53"/>
        <v>2</v>
      </c>
      <c r="AW56" s="54">
        <f t="shared" si="54"/>
        <v>5</v>
      </c>
      <c r="AX56" s="54">
        <f t="shared" si="55"/>
        <v>2</v>
      </c>
      <c r="AY56" s="54">
        <f t="shared" si="56"/>
        <v>5</v>
      </c>
      <c r="AZ56" s="54">
        <f t="shared" si="57"/>
        <v>2</v>
      </c>
      <c r="BA56" s="54">
        <f t="shared" si="58"/>
        <v>5</v>
      </c>
      <c r="BB56" s="54">
        <f t="shared" si="59"/>
        <v>2</v>
      </c>
      <c r="BC56" s="54">
        <f t="shared" si="60"/>
        <v>5</v>
      </c>
      <c r="BD56" s="54">
        <f t="shared" si="61"/>
        <v>2</v>
      </c>
      <c r="BE56" s="54">
        <f t="shared" si="62"/>
        <v>5</v>
      </c>
      <c r="BF56" s="54">
        <f t="shared" si="63"/>
        <v>2</v>
      </c>
      <c r="BG56" s="54">
        <f t="shared" si="64"/>
        <v>5</v>
      </c>
      <c r="BH56" s="54">
        <f t="shared" si="65"/>
        <v>2</v>
      </c>
      <c r="BI56" s="54">
        <f t="shared" si="66"/>
        <v>5</v>
      </c>
      <c r="BJ56" s="54">
        <f t="shared" si="67"/>
        <v>2</v>
      </c>
      <c r="BK56" s="54">
        <f t="shared" si="68"/>
        <v>5</v>
      </c>
      <c r="BL56" s="54">
        <f t="shared" si="69"/>
        <v>2</v>
      </c>
      <c r="BM56" s="54">
        <f t="shared" si="70"/>
        <v>5</v>
      </c>
      <c r="BN56" s="54">
        <f t="shared" si="71"/>
        <v>2</v>
      </c>
      <c r="BO56" s="54">
        <f t="shared" si="72"/>
        <v>5</v>
      </c>
      <c r="BP56" s="54">
        <f t="shared" si="73"/>
        <v>2</v>
      </c>
      <c r="BQ56" s="54">
        <f t="shared" si="74"/>
        <v>5</v>
      </c>
      <c r="BR56" s="54">
        <f t="shared" si="75"/>
        <v>2</v>
      </c>
      <c r="BS56" s="54">
        <f t="shared" si="76"/>
        <v>5</v>
      </c>
      <c r="BT56" s="54">
        <f t="shared" si="77"/>
        <v>2</v>
      </c>
      <c r="BU56" s="54">
        <f t="shared" si="78"/>
        <v>5</v>
      </c>
      <c r="BV56" s="54">
        <f t="shared" si="79"/>
        <v>2</v>
      </c>
      <c r="BW56" s="54">
        <f t="shared" si="80"/>
        <v>5</v>
      </c>
      <c r="BX56" s="54">
        <f t="shared" si="81"/>
        <v>2</v>
      </c>
      <c r="BY56" s="54">
        <f t="shared" si="82"/>
        <v>5</v>
      </c>
      <c r="BZ56" s="54">
        <f t="shared" si="83"/>
        <v>2</v>
      </c>
      <c r="CA56" s="54">
        <f t="shared" si="84"/>
        <v>5</v>
      </c>
      <c r="CB56" s="54">
        <f t="shared" si="85"/>
        <v>2</v>
      </c>
      <c r="CC56" s="54">
        <f t="shared" si="86"/>
        <v>5</v>
      </c>
      <c r="CD56" s="54">
        <f t="shared" si="87"/>
        <v>2</v>
      </c>
      <c r="CE56" s="54">
        <f t="shared" si="88"/>
        <v>5</v>
      </c>
      <c r="CF56" s="54">
        <f t="shared" si="89"/>
        <v>2</v>
      </c>
      <c r="CG56" s="54">
        <f t="shared" si="90"/>
        <v>5</v>
      </c>
      <c r="CH56" s="54">
        <f t="shared" si="91"/>
        <v>2</v>
      </c>
      <c r="CI56" s="54">
        <f t="shared" si="92"/>
        <v>5</v>
      </c>
      <c r="CJ56" s="54">
        <f t="shared" si="93"/>
        <v>2</v>
      </c>
      <c r="CK56" s="54">
        <f t="shared" si="94"/>
        <v>5</v>
      </c>
      <c r="CL56" s="54">
        <f t="shared" si="95"/>
        <v>2</v>
      </c>
      <c r="CM56" s="54">
        <f t="shared" si="96"/>
        <v>5</v>
      </c>
      <c r="CN56" s="54">
        <f t="shared" si="97"/>
        <v>2</v>
      </c>
      <c r="CO56" s="54">
        <f t="shared" si="98"/>
        <v>5</v>
      </c>
      <c r="CP56" s="54">
        <f t="shared" si="99"/>
        <v>2</v>
      </c>
      <c r="CQ56" s="54">
        <f t="shared" si="100"/>
        <v>5</v>
      </c>
      <c r="CR56" s="54">
        <f t="shared" si="101"/>
        <v>2</v>
      </c>
      <c r="CS56" s="54">
        <f t="shared" si="102"/>
        <v>5</v>
      </c>
      <c r="CT56" s="54">
        <f t="shared" si="103"/>
        <v>2</v>
      </c>
      <c r="CU56" s="54">
        <f t="shared" si="104"/>
        <v>5</v>
      </c>
      <c r="CV56" s="54">
        <f t="shared" si="105"/>
        <v>2</v>
      </c>
      <c r="CW56" s="54">
        <f t="shared" si="106"/>
        <v>5</v>
      </c>
      <c r="CX56" s="54">
        <f t="shared" si="107"/>
        <v>2</v>
      </c>
      <c r="CY56" s="54">
        <f t="shared" si="108"/>
        <v>5</v>
      </c>
      <c r="CZ56" s="54">
        <f t="shared" si="109"/>
        <v>2</v>
      </c>
      <c r="DA56" s="54">
        <f t="shared" si="110"/>
        <v>5</v>
      </c>
      <c r="DB56" s="54">
        <f t="shared" si="111"/>
        <v>2</v>
      </c>
      <c r="DC56" s="54">
        <f t="shared" si="112"/>
        <v>5</v>
      </c>
      <c r="DD56" s="54">
        <f t="shared" si="113"/>
        <v>2</v>
      </c>
      <c r="DE56" s="54">
        <f t="shared" si="114"/>
        <v>5</v>
      </c>
      <c r="DF56" s="54">
        <f t="shared" si="115"/>
        <v>2</v>
      </c>
      <c r="DG56" s="54">
        <f t="shared" si="116"/>
        <v>5</v>
      </c>
      <c r="DH56" s="54">
        <f t="shared" si="117"/>
        <v>2</v>
      </c>
      <c r="DI56" s="54">
        <f t="shared" si="118"/>
        <v>5</v>
      </c>
      <c r="DJ56" s="54">
        <f t="shared" si="119"/>
        <v>2</v>
      </c>
      <c r="DK56" s="54">
        <f t="shared" si="120"/>
        <v>5</v>
      </c>
      <c r="DL56" s="54">
        <f t="shared" si="121"/>
        <v>2</v>
      </c>
      <c r="DM56" s="54">
        <f t="shared" si="122"/>
        <v>5</v>
      </c>
      <c r="DN56" s="54">
        <f t="shared" si="123"/>
        <v>2</v>
      </c>
      <c r="DO56" s="54">
        <f t="shared" si="124"/>
        <v>5</v>
      </c>
      <c r="DP56" s="54">
        <f t="shared" si="125"/>
        <v>2</v>
      </c>
      <c r="DQ56" s="54">
        <f t="shared" si="126"/>
        <v>5</v>
      </c>
      <c r="DR56" s="54">
        <f t="shared" si="127"/>
        <v>2</v>
      </c>
      <c r="DS56" s="54">
        <f t="shared" si="128"/>
        <v>5</v>
      </c>
      <c r="DT56" s="54">
        <f t="shared" si="129"/>
        <v>2</v>
      </c>
      <c r="DU56" s="54">
        <f t="shared" si="130"/>
        <v>5</v>
      </c>
      <c r="DV56" s="54">
        <f t="shared" si="131"/>
        <v>2</v>
      </c>
      <c r="DW56" s="54">
        <f t="shared" si="132"/>
        <v>5</v>
      </c>
      <c r="DX56" s="54">
        <f t="shared" si="133"/>
        <v>2</v>
      </c>
      <c r="DY56" s="54">
        <f t="shared" si="134"/>
        <v>5</v>
      </c>
      <c r="DZ56" s="54">
        <f t="shared" si="135"/>
        <v>2</v>
      </c>
      <c r="EA56" s="54">
        <f t="shared" si="134"/>
        <v>5</v>
      </c>
      <c r="EB56" s="54">
        <f t="shared" si="135"/>
        <v>2</v>
      </c>
      <c r="EC56" s="54">
        <f t="shared" si="135"/>
        <v>5</v>
      </c>
      <c r="ED56" s="54">
        <f t="shared" si="173"/>
        <v>2</v>
      </c>
      <c r="EE56" s="54">
        <f t="shared" si="174"/>
        <v>5</v>
      </c>
      <c r="EF56" s="54">
        <f t="shared" si="175"/>
        <v>2</v>
      </c>
      <c r="EG56" s="54">
        <f t="shared" ref="EG56:EN56" si="194">EG55</f>
        <v>5</v>
      </c>
      <c r="EH56" s="54">
        <f t="shared" si="194"/>
        <v>2</v>
      </c>
      <c r="EI56" s="54">
        <f t="shared" si="194"/>
        <v>5</v>
      </c>
      <c r="EJ56" s="54">
        <f t="shared" si="194"/>
        <v>2</v>
      </c>
      <c r="EK56" s="54">
        <f t="shared" si="194"/>
        <v>5</v>
      </c>
      <c r="EL56" s="54">
        <f t="shared" si="194"/>
        <v>2</v>
      </c>
      <c r="EM56" s="54">
        <f t="shared" si="194"/>
        <v>5</v>
      </c>
      <c r="EN56" s="54">
        <f t="shared" si="194"/>
        <v>2</v>
      </c>
      <c r="EO56" s="54">
        <f t="shared" si="171"/>
        <v>2</v>
      </c>
      <c r="EP56" s="54">
        <f t="shared" si="172"/>
        <v>2</v>
      </c>
    </row>
    <row r="57" spans="1:146" x14ac:dyDescent="0.2">
      <c r="B57" t="s">
        <v>230</v>
      </c>
      <c r="C57" s="54">
        <f t="shared" si="9"/>
        <v>45474</v>
      </c>
      <c r="D57" s="54">
        <f t="shared" si="1"/>
        <v>1</v>
      </c>
      <c r="E57" s="54">
        <f t="shared" si="10"/>
        <v>4</v>
      </c>
      <c r="F57" s="54">
        <f t="shared" si="11"/>
        <v>2</v>
      </c>
      <c r="G57" s="54">
        <f t="shared" si="12"/>
        <v>5</v>
      </c>
      <c r="H57" s="54">
        <f t="shared" si="13"/>
        <v>2</v>
      </c>
      <c r="I57" s="54">
        <f t="shared" si="14"/>
        <v>5</v>
      </c>
      <c r="J57" s="54">
        <f t="shared" si="15"/>
        <v>2</v>
      </c>
      <c r="K57" s="54">
        <f t="shared" si="16"/>
        <v>5</v>
      </c>
      <c r="L57" s="54">
        <f t="shared" si="17"/>
        <v>2</v>
      </c>
      <c r="M57" s="54">
        <f t="shared" si="18"/>
        <v>5</v>
      </c>
      <c r="N57" s="54">
        <f t="shared" si="19"/>
        <v>2</v>
      </c>
      <c r="O57" s="54">
        <f t="shared" si="20"/>
        <v>5</v>
      </c>
      <c r="P57" s="54">
        <f t="shared" si="21"/>
        <v>2</v>
      </c>
      <c r="Q57" s="54">
        <f t="shared" si="22"/>
        <v>5</v>
      </c>
      <c r="R57" s="54">
        <f t="shared" si="23"/>
        <v>2</v>
      </c>
      <c r="S57" s="54">
        <f t="shared" si="24"/>
        <v>5</v>
      </c>
      <c r="T57" s="54">
        <f t="shared" si="25"/>
        <v>2</v>
      </c>
      <c r="U57" s="54">
        <f t="shared" si="26"/>
        <v>5</v>
      </c>
      <c r="V57" s="54">
        <f t="shared" si="27"/>
        <v>2</v>
      </c>
      <c r="W57" s="54">
        <f t="shared" si="28"/>
        <v>5</v>
      </c>
      <c r="X57" s="54">
        <f t="shared" si="29"/>
        <v>2</v>
      </c>
      <c r="Y57" s="54">
        <f t="shared" si="30"/>
        <v>5</v>
      </c>
      <c r="Z57" s="54">
        <f t="shared" si="31"/>
        <v>2</v>
      </c>
      <c r="AA57" s="54">
        <f t="shared" si="32"/>
        <v>5</v>
      </c>
      <c r="AB57" s="54">
        <f t="shared" si="33"/>
        <v>2</v>
      </c>
      <c r="AC57" s="54">
        <f t="shared" si="34"/>
        <v>5</v>
      </c>
      <c r="AD57" s="54">
        <f t="shared" si="35"/>
        <v>2</v>
      </c>
      <c r="AE57" s="54">
        <f t="shared" si="36"/>
        <v>5</v>
      </c>
      <c r="AF57" s="54">
        <f t="shared" si="37"/>
        <v>2</v>
      </c>
      <c r="AG57" s="54">
        <f t="shared" si="38"/>
        <v>5</v>
      </c>
      <c r="AH57" s="54">
        <f t="shared" si="39"/>
        <v>2</v>
      </c>
      <c r="AI57" s="54">
        <f t="shared" si="40"/>
        <v>5</v>
      </c>
      <c r="AJ57" s="54">
        <f t="shared" si="41"/>
        <v>2</v>
      </c>
      <c r="AK57" s="54">
        <f t="shared" si="42"/>
        <v>5</v>
      </c>
      <c r="AL57" s="54">
        <f t="shared" si="43"/>
        <v>2</v>
      </c>
      <c r="AM57" s="54">
        <f t="shared" si="44"/>
        <v>5</v>
      </c>
      <c r="AN57" s="54">
        <f t="shared" si="45"/>
        <v>2</v>
      </c>
      <c r="AO57" s="54">
        <f t="shared" si="46"/>
        <v>5</v>
      </c>
      <c r="AP57" s="54">
        <f t="shared" si="47"/>
        <v>2</v>
      </c>
      <c r="AQ57" s="54">
        <f t="shared" si="48"/>
        <v>5</v>
      </c>
      <c r="AR57" s="54">
        <f t="shared" si="49"/>
        <v>2</v>
      </c>
      <c r="AS57" s="54">
        <f t="shared" si="50"/>
        <v>5</v>
      </c>
      <c r="AT57" s="54">
        <f t="shared" si="51"/>
        <v>2</v>
      </c>
      <c r="AU57" s="54">
        <f t="shared" si="52"/>
        <v>5</v>
      </c>
      <c r="AV57" s="54">
        <f t="shared" si="53"/>
        <v>2</v>
      </c>
      <c r="AW57" s="54">
        <f t="shared" si="54"/>
        <v>5</v>
      </c>
      <c r="AX57" s="54">
        <f t="shared" si="55"/>
        <v>2</v>
      </c>
      <c r="AY57" s="54">
        <f t="shared" si="56"/>
        <v>5</v>
      </c>
      <c r="AZ57" s="54">
        <f t="shared" si="57"/>
        <v>2</v>
      </c>
      <c r="BA57" s="54">
        <f t="shared" si="58"/>
        <v>5</v>
      </c>
      <c r="BB57" s="54">
        <f t="shared" si="59"/>
        <v>2</v>
      </c>
      <c r="BC57" s="54">
        <f t="shared" si="60"/>
        <v>5</v>
      </c>
      <c r="BD57" s="54">
        <f t="shared" si="61"/>
        <v>2</v>
      </c>
      <c r="BE57" s="54">
        <f t="shared" si="62"/>
        <v>5</v>
      </c>
      <c r="BF57" s="54">
        <f t="shared" si="63"/>
        <v>2</v>
      </c>
      <c r="BG57" s="54">
        <f t="shared" si="64"/>
        <v>5</v>
      </c>
      <c r="BH57" s="54">
        <f t="shared" si="65"/>
        <v>2</v>
      </c>
      <c r="BI57" s="54">
        <f t="shared" si="66"/>
        <v>5</v>
      </c>
      <c r="BJ57" s="54">
        <f t="shared" si="67"/>
        <v>2</v>
      </c>
      <c r="BK57" s="54">
        <f t="shared" si="68"/>
        <v>5</v>
      </c>
      <c r="BL57" s="54">
        <f t="shared" si="69"/>
        <v>2</v>
      </c>
      <c r="BM57" s="54">
        <f t="shared" si="70"/>
        <v>5</v>
      </c>
      <c r="BN57" s="54">
        <f t="shared" si="71"/>
        <v>2</v>
      </c>
      <c r="BO57" s="54">
        <f t="shared" si="72"/>
        <v>5</v>
      </c>
      <c r="BP57" s="54">
        <f t="shared" si="73"/>
        <v>2</v>
      </c>
      <c r="BQ57" s="54">
        <f t="shared" si="74"/>
        <v>5</v>
      </c>
      <c r="BR57" s="54">
        <f t="shared" si="75"/>
        <v>2</v>
      </c>
      <c r="BS57" s="54">
        <f t="shared" si="76"/>
        <v>5</v>
      </c>
      <c r="BT57" s="54">
        <f t="shared" si="77"/>
        <v>2</v>
      </c>
      <c r="BU57" s="54">
        <f t="shared" si="78"/>
        <v>5</v>
      </c>
      <c r="BV57" s="54">
        <f t="shared" si="79"/>
        <v>2</v>
      </c>
      <c r="BW57" s="54">
        <f t="shared" si="80"/>
        <v>5</v>
      </c>
      <c r="BX57" s="54">
        <f t="shared" si="81"/>
        <v>2</v>
      </c>
      <c r="BY57" s="54">
        <f t="shared" si="82"/>
        <v>5</v>
      </c>
      <c r="BZ57" s="54">
        <f t="shared" si="83"/>
        <v>2</v>
      </c>
      <c r="CA57" s="54">
        <f t="shared" si="84"/>
        <v>5</v>
      </c>
      <c r="CB57" s="54">
        <f t="shared" si="85"/>
        <v>2</v>
      </c>
      <c r="CC57" s="54">
        <f t="shared" si="86"/>
        <v>5</v>
      </c>
      <c r="CD57" s="54">
        <f t="shared" si="87"/>
        <v>2</v>
      </c>
      <c r="CE57" s="54">
        <f t="shared" si="88"/>
        <v>5</v>
      </c>
      <c r="CF57" s="54">
        <f t="shared" si="89"/>
        <v>2</v>
      </c>
      <c r="CG57" s="54">
        <f t="shared" si="90"/>
        <v>5</v>
      </c>
      <c r="CH57" s="54">
        <f t="shared" si="91"/>
        <v>2</v>
      </c>
      <c r="CI57" s="54">
        <f t="shared" si="92"/>
        <v>5</v>
      </c>
      <c r="CJ57" s="54">
        <f t="shared" si="93"/>
        <v>2</v>
      </c>
      <c r="CK57" s="54">
        <f t="shared" si="94"/>
        <v>5</v>
      </c>
      <c r="CL57" s="54">
        <f t="shared" si="95"/>
        <v>2</v>
      </c>
      <c r="CM57" s="54">
        <f t="shared" si="96"/>
        <v>5</v>
      </c>
      <c r="CN57" s="54">
        <f t="shared" si="97"/>
        <v>2</v>
      </c>
      <c r="CO57" s="54">
        <f t="shared" si="98"/>
        <v>5</v>
      </c>
      <c r="CP57" s="54">
        <f t="shared" si="99"/>
        <v>2</v>
      </c>
      <c r="CQ57" s="54">
        <f t="shared" si="100"/>
        <v>5</v>
      </c>
      <c r="CR57" s="54">
        <f t="shared" si="101"/>
        <v>2</v>
      </c>
      <c r="CS57" s="54">
        <f t="shared" si="102"/>
        <v>5</v>
      </c>
      <c r="CT57" s="54">
        <f t="shared" si="103"/>
        <v>2</v>
      </c>
      <c r="CU57" s="54">
        <f t="shared" si="104"/>
        <v>5</v>
      </c>
      <c r="CV57" s="54">
        <f t="shared" si="105"/>
        <v>2</v>
      </c>
      <c r="CW57" s="54">
        <f t="shared" si="106"/>
        <v>5</v>
      </c>
      <c r="CX57" s="54">
        <f t="shared" si="107"/>
        <v>2</v>
      </c>
      <c r="CY57" s="54">
        <f t="shared" si="108"/>
        <v>5</v>
      </c>
      <c r="CZ57" s="54">
        <f t="shared" si="109"/>
        <v>2</v>
      </c>
      <c r="DA57" s="54">
        <f t="shared" si="110"/>
        <v>5</v>
      </c>
      <c r="DB57" s="54">
        <f t="shared" si="111"/>
        <v>2</v>
      </c>
      <c r="DC57" s="54">
        <f t="shared" si="112"/>
        <v>5</v>
      </c>
      <c r="DD57" s="54">
        <f t="shared" si="113"/>
        <v>2</v>
      </c>
      <c r="DE57" s="54">
        <f t="shared" si="114"/>
        <v>5</v>
      </c>
      <c r="DF57" s="54">
        <f t="shared" si="115"/>
        <v>2</v>
      </c>
      <c r="DG57" s="54">
        <f t="shared" si="116"/>
        <v>5</v>
      </c>
      <c r="DH57" s="54">
        <f t="shared" si="117"/>
        <v>2</v>
      </c>
      <c r="DI57" s="54">
        <f t="shared" si="118"/>
        <v>5</v>
      </c>
      <c r="DJ57" s="54">
        <f t="shared" si="119"/>
        <v>2</v>
      </c>
      <c r="DK57" s="54">
        <f t="shared" si="120"/>
        <v>5</v>
      </c>
      <c r="DL57" s="54">
        <f t="shared" si="121"/>
        <v>2</v>
      </c>
      <c r="DM57" s="54">
        <f t="shared" si="122"/>
        <v>5</v>
      </c>
      <c r="DN57" s="54">
        <f t="shared" si="123"/>
        <v>2</v>
      </c>
      <c r="DO57" s="54">
        <f t="shared" si="124"/>
        <v>5</v>
      </c>
      <c r="DP57" s="54">
        <f t="shared" si="125"/>
        <v>2</v>
      </c>
      <c r="DQ57" s="54">
        <f t="shared" si="126"/>
        <v>5</v>
      </c>
      <c r="DR57" s="54">
        <f t="shared" si="127"/>
        <v>2</v>
      </c>
      <c r="DS57" s="54">
        <f t="shared" si="128"/>
        <v>5</v>
      </c>
      <c r="DT57" s="54">
        <f t="shared" si="129"/>
        <v>2</v>
      </c>
      <c r="DU57" s="54">
        <f t="shared" si="130"/>
        <v>5</v>
      </c>
      <c r="DV57" s="54">
        <f t="shared" si="131"/>
        <v>2</v>
      </c>
      <c r="DW57" s="54">
        <f t="shared" si="132"/>
        <v>5</v>
      </c>
      <c r="DX57" s="54">
        <f t="shared" si="133"/>
        <v>2</v>
      </c>
      <c r="DY57" s="54">
        <f t="shared" si="134"/>
        <v>5</v>
      </c>
      <c r="DZ57" s="54">
        <f t="shared" si="135"/>
        <v>2</v>
      </c>
      <c r="EA57" s="54">
        <f t="shared" si="134"/>
        <v>5</v>
      </c>
      <c r="EB57" s="54">
        <f t="shared" si="135"/>
        <v>2</v>
      </c>
      <c r="EC57" s="54">
        <f t="shared" si="135"/>
        <v>5</v>
      </c>
      <c r="ED57" s="54">
        <f t="shared" si="173"/>
        <v>2</v>
      </c>
      <c r="EE57" s="54">
        <f t="shared" si="174"/>
        <v>5</v>
      </c>
      <c r="EF57" s="54">
        <f t="shared" si="175"/>
        <v>2</v>
      </c>
      <c r="EG57" s="54">
        <f t="shared" ref="EG57:EN57" si="195">EG56</f>
        <v>5</v>
      </c>
      <c r="EH57" s="54">
        <f t="shared" si="195"/>
        <v>2</v>
      </c>
      <c r="EI57" s="54">
        <f t="shared" si="195"/>
        <v>5</v>
      </c>
      <c r="EJ57" s="54">
        <f t="shared" si="195"/>
        <v>2</v>
      </c>
      <c r="EK57" s="54">
        <f t="shared" si="195"/>
        <v>5</v>
      </c>
      <c r="EL57" s="54">
        <f t="shared" si="195"/>
        <v>2</v>
      </c>
      <c r="EM57" s="54">
        <f t="shared" si="195"/>
        <v>5</v>
      </c>
      <c r="EN57" s="54">
        <f t="shared" si="195"/>
        <v>2</v>
      </c>
      <c r="EO57" s="54">
        <f t="shared" si="171"/>
        <v>2</v>
      </c>
      <c r="EP57" s="54">
        <f t="shared" si="172"/>
        <v>2</v>
      </c>
    </row>
    <row r="58" spans="1:146" x14ac:dyDescent="0.2">
      <c r="B58" t="s">
        <v>230</v>
      </c>
      <c r="C58" s="54">
        <f t="shared" si="9"/>
        <v>45474</v>
      </c>
      <c r="D58" s="54">
        <f t="shared" si="1"/>
        <v>1</v>
      </c>
      <c r="E58" s="54">
        <f t="shared" si="10"/>
        <v>4</v>
      </c>
      <c r="F58" s="54">
        <f t="shared" si="11"/>
        <v>2</v>
      </c>
      <c r="G58" s="54">
        <f t="shared" si="12"/>
        <v>5</v>
      </c>
      <c r="H58" s="54">
        <f t="shared" si="13"/>
        <v>2</v>
      </c>
      <c r="I58" s="54">
        <f t="shared" si="14"/>
        <v>5</v>
      </c>
      <c r="J58" s="54">
        <f t="shared" si="15"/>
        <v>2</v>
      </c>
      <c r="K58" s="54">
        <f t="shared" si="16"/>
        <v>5</v>
      </c>
      <c r="L58" s="54">
        <f t="shared" si="17"/>
        <v>2</v>
      </c>
      <c r="M58" s="54">
        <f t="shared" si="18"/>
        <v>5</v>
      </c>
      <c r="N58" s="54">
        <f t="shared" si="19"/>
        <v>2</v>
      </c>
      <c r="O58" s="54">
        <f t="shared" si="20"/>
        <v>5</v>
      </c>
      <c r="P58" s="54">
        <f t="shared" si="21"/>
        <v>2</v>
      </c>
      <c r="Q58" s="54">
        <f t="shared" si="22"/>
        <v>5</v>
      </c>
      <c r="R58" s="54">
        <f t="shared" si="23"/>
        <v>2</v>
      </c>
      <c r="S58" s="54">
        <f t="shared" si="24"/>
        <v>5</v>
      </c>
      <c r="T58" s="54">
        <f t="shared" si="25"/>
        <v>2</v>
      </c>
      <c r="U58" s="54">
        <f t="shared" si="26"/>
        <v>5</v>
      </c>
      <c r="V58" s="54">
        <f t="shared" si="27"/>
        <v>2</v>
      </c>
      <c r="W58" s="54">
        <f t="shared" si="28"/>
        <v>5</v>
      </c>
      <c r="X58" s="54">
        <f t="shared" si="29"/>
        <v>2</v>
      </c>
      <c r="Y58" s="54">
        <f t="shared" si="30"/>
        <v>5</v>
      </c>
      <c r="Z58" s="54">
        <f t="shared" si="31"/>
        <v>2</v>
      </c>
      <c r="AA58" s="54">
        <f t="shared" si="32"/>
        <v>5</v>
      </c>
      <c r="AB58" s="54">
        <f t="shared" si="33"/>
        <v>2</v>
      </c>
      <c r="AC58" s="54">
        <f t="shared" si="34"/>
        <v>5</v>
      </c>
      <c r="AD58" s="54">
        <f t="shared" si="35"/>
        <v>2</v>
      </c>
      <c r="AE58" s="54">
        <f t="shared" si="36"/>
        <v>5</v>
      </c>
      <c r="AF58" s="54">
        <f t="shared" si="37"/>
        <v>2</v>
      </c>
      <c r="AG58" s="54">
        <f t="shared" si="38"/>
        <v>5</v>
      </c>
      <c r="AH58" s="54">
        <f t="shared" si="39"/>
        <v>2</v>
      </c>
      <c r="AI58" s="54">
        <f t="shared" si="40"/>
        <v>5</v>
      </c>
      <c r="AJ58" s="54">
        <f t="shared" si="41"/>
        <v>2</v>
      </c>
      <c r="AK58" s="54">
        <f t="shared" si="42"/>
        <v>5</v>
      </c>
      <c r="AL58" s="54">
        <f t="shared" si="43"/>
        <v>2</v>
      </c>
      <c r="AM58" s="54">
        <f t="shared" si="44"/>
        <v>5</v>
      </c>
      <c r="AN58" s="54">
        <f t="shared" si="45"/>
        <v>2</v>
      </c>
      <c r="AO58" s="54">
        <f t="shared" si="46"/>
        <v>5</v>
      </c>
      <c r="AP58" s="54">
        <f t="shared" si="47"/>
        <v>2</v>
      </c>
      <c r="AQ58" s="54">
        <f t="shared" si="48"/>
        <v>5</v>
      </c>
      <c r="AR58" s="54">
        <f t="shared" si="49"/>
        <v>2</v>
      </c>
      <c r="AS58" s="54">
        <f t="shared" si="50"/>
        <v>5</v>
      </c>
      <c r="AT58" s="54">
        <f t="shared" si="51"/>
        <v>2</v>
      </c>
      <c r="AU58" s="54">
        <f t="shared" si="52"/>
        <v>5</v>
      </c>
      <c r="AV58" s="54">
        <f t="shared" si="53"/>
        <v>2</v>
      </c>
      <c r="AW58" s="54">
        <f t="shared" si="54"/>
        <v>5</v>
      </c>
      <c r="AX58" s="54">
        <f t="shared" si="55"/>
        <v>2</v>
      </c>
      <c r="AY58" s="54">
        <f t="shared" si="56"/>
        <v>5</v>
      </c>
      <c r="AZ58" s="54">
        <f t="shared" si="57"/>
        <v>2</v>
      </c>
      <c r="BA58" s="54">
        <f t="shared" si="58"/>
        <v>5</v>
      </c>
      <c r="BB58" s="54">
        <f t="shared" si="59"/>
        <v>2</v>
      </c>
      <c r="BC58" s="54">
        <f t="shared" si="60"/>
        <v>5</v>
      </c>
      <c r="BD58" s="54">
        <f t="shared" si="61"/>
        <v>2</v>
      </c>
      <c r="BE58" s="54">
        <f t="shared" si="62"/>
        <v>5</v>
      </c>
      <c r="BF58" s="54">
        <f t="shared" si="63"/>
        <v>2</v>
      </c>
      <c r="BG58" s="54">
        <f t="shared" si="64"/>
        <v>5</v>
      </c>
      <c r="BH58" s="54">
        <f t="shared" si="65"/>
        <v>2</v>
      </c>
      <c r="BI58" s="54">
        <f t="shared" si="66"/>
        <v>5</v>
      </c>
      <c r="BJ58" s="54">
        <f t="shared" si="67"/>
        <v>2</v>
      </c>
      <c r="BK58" s="54">
        <f t="shared" si="68"/>
        <v>5</v>
      </c>
      <c r="BL58" s="54">
        <f t="shared" si="69"/>
        <v>2</v>
      </c>
      <c r="BM58" s="54">
        <f t="shared" si="70"/>
        <v>5</v>
      </c>
      <c r="BN58" s="54">
        <f t="shared" si="71"/>
        <v>2</v>
      </c>
      <c r="BO58" s="54">
        <f t="shared" si="72"/>
        <v>5</v>
      </c>
      <c r="BP58" s="54">
        <f t="shared" si="73"/>
        <v>2</v>
      </c>
      <c r="BQ58" s="54">
        <f t="shared" si="74"/>
        <v>5</v>
      </c>
      <c r="BR58" s="54">
        <f t="shared" si="75"/>
        <v>2</v>
      </c>
      <c r="BS58" s="54">
        <f t="shared" si="76"/>
        <v>5</v>
      </c>
      <c r="BT58" s="54">
        <f t="shared" si="77"/>
        <v>2</v>
      </c>
      <c r="BU58" s="54">
        <f t="shared" si="78"/>
        <v>5</v>
      </c>
      <c r="BV58" s="54">
        <f t="shared" si="79"/>
        <v>2</v>
      </c>
      <c r="BW58" s="54">
        <f t="shared" si="80"/>
        <v>5</v>
      </c>
      <c r="BX58" s="54">
        <f t="shared" si="81"/>
        <v>2</v>
      </c>
      <c r="BY58" s="54">
        <f t="shared" si="82"/>
        <v>5</v>
      </c>
      <c r="BZ58" s="54">
        <f t="shared" si="83"/>
        <v>2</v>
      </c>
      <c r="CA58" s="54">
        <f t="shared" si="84"/>
        <v>5</v>
      </c>
      <c r="CB58" s="54">
        <f t="shared" si="85"/>
        <v>2</v>
      </c>
      <c r="CC58" s="54">
        <f t="shared" si="86"/>
        <v>5</v>
      </c>
      <c r="CD58" s="54">
        <f t="shared" si="87"/>
        <v>2</v>
      </c>
      <c r="CE58" s="54">
        <f t="shared" si="88"/>
        <v>5</v>
      </c>
      <c r="CF58" s="54">
        <f t="shared" si="89"/>
        <v>2</v>
      </c>
      <c r="CG58" s="54">
        <f t="shared" si="90"/>
        <v>5</v>
      </c>
      <c r="CH58" s="54">
        <f t="shared" si="91"/>
        <v>2</v>
      </c>
      <c r="CI58" s="54">
        <f t="shared" si="92"/>
        <v>5</v>
      </c>
      <c r="CJ58" s="54">
        <f t="shared" si="93"/>
        <v>2</v>
      </c>
      <c r="CK58" s="54">
        <f t="shared" si="94"/>
        <v>5</v>
      </c>
      <c r="CL58" s="54">
        <f t="shared" si="95"/>
        <v>2</v>
      </c>
      <c r="CM58" s="54">
        <f t="shared" si="96"/>
        <v>5</v>
      </c>
      <c r="CN58" s="54">
        <f t="shared" si="97"/>
        <v>2</v>
      </c>
      <c r="CO58" s="54">
        <f t="shared" si="98"/>
        <v>5</v>
      </c>
      <c r="CP58" s="54">
        <f t="shared" si="99"/>
        <v>2</v>
      </c>
      <c r="CQ58" s="54">
        <f t="shared" si="100"/>
        <v>5</v>
      </c>
      <c r="CR58" s="54">
        <f t="shared" si="101"/>
        <v>2</v>
      </c>
      <c r="CS58" s="54">
        <f t="shared" si="102"/>
        <v>5</v>
      </c>
      <c r="CT58" s="54">
        <f t="shared" si="103"/>
        <v>2</v>
      </c>
      <c r="CU58" s="54">
        <f t="shared" si="104"/>
        <v>5</v>
      </c>
      <c r="CV58" s="54">
        <f t="shared" si="105"/>
        <v>2</v>
      </c>
      <c r="CW58" s="54">
        <f t="shared" si="106"/>
        <v>5</v>
      </c>
      <c r="CX58" s="54">
        <f t="shared" si="107"/>
        <v>2</v>
      </c>
      <c r="CY58" s="54">
        <f t="shared" si="108"/>
        <v>5</v>
      </c>
      <c r="CZ58" s="54">
        <f t="shared" si="109"/>
        <v>2</v>
      </c>
      <c r="DA58" s="54">
        <f t="shared" si="110"/>
        <v>5</v>
      </c>
      <c r="DB58" s="54">
        <f t="shared" si="111"/>
        <v>2</v>
      </c>
      <c r="DC58" s="54">
        <f t="shared" si="112"/>
        <v>5</v>
      </c>
      <c r="DD58" s="54">
        <f t="shared" si="113"/>
        <v>2</v>
      </c>
      <c r="DE58" s="54">
        <f t="shared" si="114"/>
        <v>5</v>
      </c>
      <c r="DF58" s="54">
        <f t="shared" si="115"/>
        <v>2</v>
      </c>
      <c r="DG58" s="54">
        <f t="shared" si="116"/>
        <v>5</v>
      </c>
      <c r="DH58" s="54">
        <f t="shared" si="117"/>
        <v>2</v>
      </c>
      <c r="DI58" s="54">
        <f t="shared" si="118"/>
        <v>5</v>
      </c>
      <c r="DJ58" s="54">
        <f t="shared" si="119"/>
        <v>2</v>
      </c>
      <c r="DK58" s="54">
        <f t="shared" si="120"/>
        <v>5</v>
      </c>
      <c r="DL58" s="54">
        <f t="shared" si="121"/>
        <v>2</v>
      </c>
      <c r="DM58" s="54">
        <f t="shared" si="122"/>
        <v>5</v>
      </c>
      <c r="DN58" s="54">
        <f t="shared" si="123"/>
        <v>2</v>
      </c>
      <c r="DO58" s="54">
        <f t="shared" si="124"/>
        <v>5</v>
      </c>
      <c r="DP58" s="54">
        <f t="shared" si="125"/>
        <v>2</v>
      </c>
      <c r="DQ58" s="54">
        <f t="shared" si="126"/>
        <v>5</v>
      </c>
      <c r="DR58" s="54">
        <f t="shared" si="127"/>
        <v>2</v>
      </c>
      <c r="DS58" s="54">
        <f t="shared" si="128"/>
        <v>5</v>
      </c>
      <c r="DT58" s="54">
        <f t="shared" si="129"/>
        <v>2</v>
      </c>
      <c r="DU58" s="54">
        <f t="shared" si="130"/>
        <v>5</v>
      </c>
      <c r="DV58" s="54">
        <f t="shared" si="131"/>
        <v>2</v>
      </c>
      <c r="DW58" s="54">
        <f t="shared" si="132"/>
        <v>5</v>
      </c>
      <c r="DX58" s="54">
        <f t="shared" si="133"/>
        <v>2</v>
      </c>
      <c r="DY58" s="54">
        <f t="shared" si="134"/>
        <v>5</v>
      </c>
      <c r="DZ58" s="54">
        <f t="shared" si="135"/>
        <v>2</v>
      </c>
      <c r="EA58" s="54">
        <f t="shared" si="134"/>
        <v>5</v>
      </c>
      <c r="EB58" s="54">
        <f t="shared" si="135"/>
        <v>2</v>
      </c>
      <c r="EC58" s="54">
        <f t="shared" si="135"/>
        <v>5</v>
      </c>
      <c r="ED58" s="54">
        <f t="shared" si="173"/>
        <v>2</v>
      </c>
      <c r="EE58" s="54">
        <f t="shared" si="174"/>
        <v>5</v>
      </c>
      <c r="EF58" s="54">
        <f t="shared" si="175"/>
        <v>2</v>
      </c>
      <c r="EG58" s="54">
        <f t="shared" ref="EG58:EN58" si="196">EG57</f>
        <v>5</v>
      </c>
      <c r="EH58" s="54">
        <f t="shared" si="196"/>
        <v>2</v>
      </c>
      <c r="EI58" s="54">
        <f t="shared" si="196"/>
        <v>5</v>
      </c>
      <c r="EJ58" s="54">
        <f t="shared" si="196"/>
        <v>2</v>
      </c>
      <c r="EK58" s="54">
        <f t="shared" si="196"/>
        <v>5</v>
      </c>
      <c r="EL58" s="54">
        <f t="shared" si="196"/>
        <v>2</v>
      </c>
      <c r="EM58" s="54">
        <f t="shared" si="196"/>
        <v>5</v>
      </c>
      <c r="EN58" s="54">
        <f t="shared" si="196"/>
        <v>2</v>
      </c>
      <c r="EO58" s="54">
        <f t="shared" si="171"/>
        <v>2</v>
      </c>
      <c r="EP58" s="54">
        <f t="shared" si="172"/>
        <v>2</v>
      </c>
    </row>
    <row r="59" spans="1:146" x14ac:dyDescent="0.2">
      <c r="A59" s="54"/>
      <c r="B59" t="s">
        <v>230</v>
      </c>
      <c r="C59" s="54">
        <f t="shared" si="9"/>
        <v>45474</v>
      </c>
      <c r="D59" s="54">
        <f t="shared" si="1"/>
        <v>1</v>
      </c>
      <c r="E59" s="54">
        <f t="shared" si="10"/>
        <v>4</v>
      </c>
      <c r="F59" s="54">
        <f t="shared" si="11"/>
        <v>2</v>
      </c>
      <c r="G59" s="54">
        <f t="shared" si="12"/>
        <v>5</v>
      </c>
      <c r="H59" s="54">
        <f t="shared" si="13"/>
        <v>2</v>
      </c>
      <c r="I59" s="54">
        <f t="shared" si="14"/>
        <v>5</v>
      </c>
      <c r="J59" s="54">
        <f t="shared" si="15"/>
        <v>2</v>
      </c>
      <c r="K59" s="54">
        <f t="shared" si="16"/>
        <v>5</v>
      </c>
      <c r="L59" s="54">
        <f t="shared" si="17"/>
        <v>2</v>
      </c>
      <c r="M59" s="54">
        <f t="shared" si="18"/>
        <v>5</v>
      </c>
      <c r="N59" s="54">
        <f t="shared" si="19"/>
        <v>2</v>
      </c>
      <c r="O59" s="54">
        <f t="shared" si="20"/>
        <v>5</v>
      </c>
      <c r="P59" s="54">
        <f t="shared" si="21"/>
        <v>2</v>
      </c>
      <c r="Q59" s="54">
        <f t="shared" si="22"/>
        <v>5</v>
      </c>
      <c r="R59" s="54">
        <f t="shared" si="23"/>
        <v>2</v>
      </c>
      <c r="S59" s="54">
        <f t="shared" si="24"/>
        <v>5</v>
      </c>
      <c r="T59" s="54">
        <f t="shared" si="25"/>
        <v>2</v>
      </c>
      <c r="U59" s="54">
        <f t="shared" si="26"/>
        <v>5</v>
      </c>
      <c r="V59" s="54">
        <f t="shared" si="27"/>
        <v>2</v>
      </c>
      <c r="W59" s="54">
        <f t="shared" si="28"/>
        <v>5</v>
      </c>
      <c r="X59" s="54">
        <f t="shared" si="29"/>
        <v>2</v>
      </c>
      <c r="Y59" s="54">
        <f t="shared" si="30"/>
        <v>5</v>
      </c>
      <c r="Z59" s="54">
        <f t="shared" si="31"/>
        <v>2</v>
      </c>
      <c r="AA59" s="54">
        <f t="shared" si="32"/>
        <v>5</v>
      </c>
      <c r="AB59" s="54">
        <f t="shared" si="33"/>
        <v>2</v>
      </c>
      <c r="AC59" s="54">
        <f t="shared" si="34"/>
        <v>5</v>
      </c>
      <c r="AD59" s="54">
        <f t="shared" si="35"/>
        <v>2</v>
      </c>
      <c r="AE59" s="54">
        <f t="shared" si="36"/>
        <v>5</v>
      </c>
      <c r="AF59" s="54">
        <f t="shared" si="37"/>
        <v>2</v>
      </c>
      <c r="AG59" s="54">
        <f t="shared" si="38"/>
        <v>5</v>
      </c>
      <c r="AH59" s="54">
        <f t="shared" si="39"/>
        <v>2</v>
      </c>
      <c r="AI59" s="54">
        <f t="shared" si="40"/>
        <v>5</v>
      </c>
      <c r="AJ59" s="54">
        <f t="shared" si="41"/>
        <v>2</v>
      </c>
      <c r="AK59" s="54">
        <f t="shared" si="42"/>
        <v>5</v>
      </c>
      <c r="AL59" s="54">
        <f t="shared" si="43"/>
        <v>2</v>
      </c>
      <c r="AM59" s="54">
        <f t="shared" si="44"/>
        <v>5</v>
      </c>
      <c r="AN59" s="54">
        <f t="shared" si="45"/>
        <v>2</v>
      </c>
      <c r="AO59" s="54">
        <f t="shared" si="46"/>
        <v>5</v>
      </c>
      <c r="AP59" s="54">
        <f t="shared" si="47"/>
        <v>2</v>
      </c>
      <c r="AQ59" s="54">
        <f t="shared" si="48"/>
        <v>5</v>
      </c>
      <c r="AR59" s="54">
        <f t="shared" si="49"/>
        <v>2</v>
      </c>
      <c r="AS59" s="54">
        <f t="shared" si="50"/>
        <v>5</v>
      </c>
      <c r="AT59" s="54">
        <f t="shared" si="51"/>
        <v>2</v>
      </c>
      <c r="AU59" s="54">
        <f t="shared" si="52"/>
        <v>5</v>
      </c>
      <c r="AV59" s="54">
        <f t="shared" si="53"/>
        <v>2</v>
      </c>
      <c r="AW59" s="54">
        <f t="shared" si="54"/>
        <v>5</v>
      </c>
      <c r="AX59" s="54">
        <f t="shared" si="55"/>
        <v>2</v>
      </c>
      <c r="AY59" s="54">
        <f t="shared" si="56"/>
        <v>5</v>
      </c>
      <c r="AZ59" s="54">
        <f t="shared" si="57"/>
        <v>2</v>
      </c>
      <c r="BA59" s="54">
        <f t="shared" si="58"/>
        <v>5</v>
      </c>
      <c r="BB59" s="54">
        <f t="shared" si="59"/>
        <v>2</v>
      </c>
      <c r="BC59" s="54">
        <f t="shared" si="60"/>
        <v>5</v>
      </c>
      <c r="BD59" s="54">
        <f t="shared" si="61"/>
        <v>2</v>
      </c>
      <c r="BE59" s="54">
        <f t="shared" si="62"/>
        <v>5</v>
      </c>
      <c r="BF59" s="54">
        <f t="shared" si="63"/>
        <v>2</v>
      </c>
      <c r="BG59" s="54">
        <f t="shared" si="64"/>
        <v>5</v>
      </c>
      <c r="BH59" s="54">
        <f t="shared" si="65"/>
        <v>2</v>
      </c>
      <c r="BI59" s="54">
        <f t="shared" si="66"/>
        <v>5</v>
      </c>
      <c r="BJ59" s="54">
        <f t="shared" si="67"/>
        <v>2</v>
      </c>
      <c r="BK59" s="54">
        <f t="shared" si="68"/>
        <v>5</v>
      </c>
      <c r="BL59" s="54">
        <f t="shared" si="69"/>
        <v>2</v>
      </c>
      <c r="BM59" s="54">
        <f t="shared" si="70"/>
        <v>5</v>
      </c>
      <c r="BN59" s="54">
        <f t="shared" si="71"/>
        <v>2</v>
      </c>
      <c r="BO59" s="54">
        <f t="shared" si="72"/>
        <v>5</v>
      </c>
      <c r="BP59" s="54">
        <f t="shared" si="73"/>
        <v>2</v>
      </c>
      <c r="BQ59" s="54">
        <f t="shared" si="74"/>
        <v>5</v>
      </c>
      <c r="BR59" s="54">
        <f t="shared" si="75"/>
        <v>2</v>
      </c>
      <c r="BS59" s="54">
        <f t="shared" si="76"/>
        <v>5</v>
      </c>
      <c r="BT59" s="54">
        <f t="shared" si="77"/>
        <v>2</v>
      </c>
      <c r="BU59" s="54">
        <f t="shared" si="78"/>
        <v>5</v>
      </c>
      <c r="BV59" s="54">
        <f t="shared" si="79"/>
        <v>2</v>
      </c>
      <c r="BW59" s="54">
        <f t="shared" si="80"/>
        <v>5</v>
      </c>
      <c r="BX59" s="54">
        <f t="shared" si="81"/>
        <v>2</v>
      </c>
      <c r="BY59" s="54">
        <f t="shared" si="82"/>
        <v>5</v>
      </c>
      <c r="BZ59" s="54">
        <f t="shared" si="83"/>
        <v>2</v>
      </c>
      <c r="CA59" s="54">
        <f t="shared" si="84"/>
        <v>5</v>
      </c>
      <c r="CB59" s="54">
        <f t="shared" si="85"/>
        <v>2</v>
      </c>
      <c r="CC59" s="54">
        <f t="shared" si="86"/>
        <v>5</v>
      </c>
      <c r="CD59" s="54">
        <f t="shared" si="87"/>
        <v>2</v>
      </c>
      <c r="CE59" s="54">
        <f t="shared" si="88"/>
        <v>5</v>
      </c>
      <c r="CF59" s="54">
        <f t="shared" si="89"/>
        <v>2</v>
      </c>
      <c r="CG59" s="54">
        <f t="shared" si="90"/>
        <v>5</v>
      </c>
      <c r="CH59" s="54">
        <f t="shared" si="91"/>
        <v>2</v>
      </c>
      <c r="CI59" s="54">
        <f t="shared" si="92"/>
        <v>5</v>
      </c>
      <c r="CJ59" s="54">
        <f t="shared" si="93"/>
        <v>2</v>
      </c>
      <c r="CK59" s="54">
        <f t="shared" si="94"/>
        <v>5</v>
      </c>
      <c r="CL59" s="54">
        <f t="shared" si="95"/>
        <v>2</v>
      </c>
      <c r="CM59" s="54">
        <f t="shared" si="96"/>
        <v>5</v>
      </c>
      <c r="CN59" s="54">
        <f t="shared" si="97"/>
        <v>2</v>
      </c>
      <c r="CO59" s="54">
        <f t="shared" si="98"/>
        <v>5</v>
      </c>
      <c r="CP59" s="54">
        <f t="shared" si="99"/>
        <v>2</v>
      </c>
      <c r="CQ59" s="54">
        <f t="shared" si="100"/>
        <v>5</v>
      </c>
      <c r="CR59" s="54">
        <f t="shared" si="101"/>
        <v>2</v>
      </c>
      <c r="CS59" s="54">
        <f t="shared" si="102"/>
        <v>5</v>
      </c>
      <c r="CT59" s="54">
        <f t="shared" si="103"/>
        <v>2</v>
      </c>
      <c r="CU59" s="54">
        <f t="shared" si="104"/>
        <v>5</v>
      </c>
      <c r="CV59" s="54">
        <f t="shared" si="105"/>
        <v>2</v>
      </c>
      <c r="CW59" s="54">
        <f t="shared" si="106"/>
        <v>5</v>
      </c>
      <c r="CX59" s="54">
        <f t="shared" si="107"/>
        <v>2</v>
      </c>
      <c r="CY59" s="54">
        <f t="shared" si="108"/>
        <v>5</v>
      </c>
      <c r="CZ59" s="54">
        <f t="shared" si="109"/>
        <v>2</v>
      </c>
      <c r="DA59" s="54">
        <f t="shared" si="110"/>
        <v>5</v>
      </c>
      <c r="DB59" s="54">
        <f t="shared" si="111"/>
        <v>2</v>
      </c>
      <c r="DC59" s="54">
        <f t="shared" si="112"/>
        <v>5</v>
      </c>
      <c r="DD59" s="54">
        <f t="shared" si="113"/>
        <v>2</v>
      </c>
      <c r="DE59" s="54">
        <f t="shared" si="114"/>
        <v>5</v>
      </c>
      <c r="DF59" s="54">
        <f t="shared" si="115"/>
        <v>2</v>
      </c>
      <c r="DG59" s="54">
        <f t="shared" si="116"/>
        <v>5</v>
      </c>
      <c r="DH59" s="54">
        <f t="shared" si="117"/>
        <v>2</v>
      </c>
      <c r="DI59" s="54">
        <f t="shared" si="118"/>
        <v>5</v>
      </c>
      <c r="DJ59" s="54">
        <f t="shared" si="119"/>
        <v>2</v>
      </c>
      <c r="DK59" s="54">
        <f t="shared" si="120"/>
        <v>5</v>
      </c>
      <c r="DL59" s="54">
        <f t="shared" si="121"/>
        <v>2</v>
      </c>
      <c r="DM59" s="54">
        <f t="shared" si="122"/>
        <v>5</v>
      </c>
      <c r="DN59" s="54">
        <f t="shared" si="123"/>
        <v>2</v>
      </c>
      <c r="DO59" s="54">
        <f t="shared" si="124"/>
        <v>5</v>
      </c>
      <c r="DP59" s="54">
        <f t="shared" si="125"/>
        <v>2</v>
      </c>
      <c r="DQ59" s="54">
        <f t="shared" si="126"/>
        <v>5</v>
      </c>
      <c r="DR59" s="54">
        <f t="shared" si="127"/>
        <v>2</v>
      </c>
      <c r="DS59" s="54">
        <f t="shared" si="128"/>
        <v>5</v>
      </c>
      <c r="DT59" s="54">
        <f t="shared" si="129"/>
        <v>2</v>
      </c>
      <c r="DU59" s="54">
        <f t="shared" si="130"/>
        <v>5</v>
      </c>
      <c r="DV59" s="54">
        <f t="shared" si="131"/>
        <v>2</v>
      </c>
      <c r="DW59" s="54">
        <f t="shared" si="132"/>
        <v>5</v>
      </c>
      <c r="DX59" s="54">
        <f t="shared" si="133"/>
        <v>2</v>
      </c>
      <c r="DY59" s="54">
        <f t="shared" si="134"/>
        <v>5</v>
      </c>
      <c r="DZ59" s="54">
        <f t="shared" si="135"/>
        <v>2</v>
      </c>
      <c r="EA59" s="54">
        <f t="shared" si="134"/>
        <v>5</v>
      </c>
      <c r="EB59" s="54">
        <f t="shared" si="135"/>
        <v>2</v>
      </c>
      <c r="EC59" s="54">
        <f t="shared" si="135"/>
        <v>5</v>
      </c>
      <c r="ED59" s="54">
        <f t="shared" si="173"/>
        <v>2</v>
      </c>
      <c r="EE59" s="54">
        <f t="shared" si="174"/>
        <v>5</v>
      </c>
      <c r="EF59" s="54">
        <f t="shared" si="175"/>
        <v>2</v>
      </c>
      <c r="EG59" s="54">
        <f t="shared" ref="EG59:EN59" si="197">EG58</f>
        <v>5</v>
      </c>
      <c r="EH59" s="54">
        <f t="shared" si="197"/>
        <v>2</v>
      </c>
      <c r="EI59" s="54">
        <f t="shared" si="197"/>
        <v>5</v>
      </c>
      <c r="EJ59" s="54">
        <f t="shared" si="197"/>
        <v>2</v>
      </c>
      <c r="EK59" s="54">
        <f t="shared" si="197"/>
        <v>5</v>
      </c>
      <c r="EL59" s="54">
        <f t="shared" si="197"/>
        <v>2</v>
      </c>
      <c r="EM59" s="54">
        <f t="shared" si="197"/>
        <v>5</v>
      </c>
      <c r="EN59" s="54">
        <f t="shared" si="197"/>
        <v>2</v>
      </c>
      <c r="EO59" s="54">
        <f t="shared" si="171"/>
        <v>2</v>
      </c>
      <c r="EP59" s="54">
        <f t="shared" si="172"/>
        <v>2</v>
      </c>
    </row>
    <row r="60" spans="1:146" x14ac:dyDescent="0.2">
      <c r="B60" t="s">
        <v>230</v>
      </c>
      <c r="C60" s="54">
        <f t="shared" si="9"/>
        <v>45474</v>
      </c>
      <c r="D60" s="54">
        <f t="shared" si="1"/>
        <v>1</v>
      </c>
      <c r="E60" s="54">
        <f t="shared" si="10"/>
        <v>4</v>
      </c>
      <c r="F60" s="54">
        <f t="shared" si="11"/>
        <v>2</v>
      </c>
      <c r="G60" s="54">
        <f t="shared" si="12"/>
        <v>5</v>
      </c>
      <c r="H60" s="54">
        <f t="shared" si="13"/>
        <v>2</v>
      </c>
      <c r="I60" s="54">
        <f t="shared" si="14"/>
        <v>5</v>
      </c>
      <c r="J60" s="54">
        <f t="shared" si="15"/>
        <v>2</v>
      </c>
      <c r="K60" s="54">
        <f t="shared" si="16"/>
        <v>5</v>
      </c>
      <c r="L60" s="54">
        <f t="shared" si="17"/>
        <v>2</v>
      </c>
      <c r="M60" s="54">
        <f t="shared" si="18"/>
        <v>5</v>
      </c>
      <c r="N60" s="54">
        <f t="shared" si="19"/>
        <v>2</v>
      </c>
      <c r="O60" s="54">
        <f t="shared" si="20"/>
        <v>5</v>
      </c>
      <c r="P60" s="54">
        <f t="shared" si="21"/>
        <v>2</v>
      </c>
      <c r="Q60" s="54">
        <f t="shared" si="22"/>
        <v>5</v>
      </c>
      <c r="R60" s="54">
        <f t="shared" si="23"/>
        <v>2</v>
      </c>
      <c r="S60" s="54">
        <f t="shared" si="24"/>
        <v>5</v>
      </c>
      <c r="T60" s="54">
        <f t="shared" si="25"/>
        <v>2</v>
      </c>
      <c r="U60" s="54">
        <f t="shared" si="26"/>
        <v>5</v>
      </c>
      <c r="V60" s="54">
        <f t="shared" si="27"/>
        <v>2</v>
      </c>
      <c r="W60" s="54">
        <f t="shared" si="28"/>
        <v>5</v>
      </c>
      <c r="X60" s="54">
        <f t="shared" si="29"/>
        <v>2</v>
      </c>
      <c r="Y60" s="54">
        <f t="shared" si="30"/>
        <v>5</v>
      </c>
      <c r="Z60" s="54">
        <f t="shared" si="31"/>
        <v>2</v>
      </c>
      <c r="AA60" s="54">
        <f t="shared" si="32"/>
        <v>5</v>
      </c>
      <c r="AB60" s="54">
        <f t="shared" si="33"/>
        <v>2</v>
      </c>
      <c r="AC60" s="54">
        <f t="shared" si="34"/>
        <v>5</v>
      </c>
      <c r="AD60" s="54">
        <f t="shared" si="35"/>
        <v>2</v>
      </c>
      <c r="AE60" s="54">
        <f t="shared" si="36"/>
        <v>5</v>
      </c>
      <c r="AF60" s="54">
        <f t="shared" si="37"/>
        <v>2</v>
      </c>
      <c r="AG60" s="54">
        <f t="shared" si="38"/>
        <v>5</v>
      </c>
      <c r="AH60" s="54">
        <f t="shared" si="39"/>
        <v>2</v>
      </c>
      <c r="AI60" s="54">
        <f t="shared" si="40"/>
        <v>5</v>
      </c>
      <c r="AJ60" s="54">
        <f t="shared" si="41"/>
        <v>2</v>
      </c>
      <c r="AK60" s="54">
        <f t="shared" si="42"/>
        <v>5</v>
      </c>
      <c r="AL60" s="54">
        <f t="shared" si="43"/>
        <v>2</v>
      </c>
      <c r="AM60" s="54">
        <f t="shared" si="44"/>
        <v>5</v>
      </c>
      <c r="AN60" s="54">
        <f t="shared" si="45"/>
        <v>2</v>
      </c>
      <c r="AO60" s="54">
        <f t="shared" si="46"/>
        <v>5</v>
      </c>
      <c r="AP60" s="54">
        <f t="shared" si="47"/>
        <v>2</v>
      </c>
      <c r="AQ60" s="54">
        <f t="shared" si="48"/>
        <v>5</v>
      </c>
      <c r="AR60" s="54">
        <f t="shared" si="49"/>
        <v>2</v>
      </c>
      <c r="AS60" s="54">
        <f t="shared" si="50"/>
        <v>5</v>
      </c>
      <c r="AT60" s="54">
        <f t="shared" si="51"/>
        <v>2</v>
      </c>
      <c r="AU60" s="54">
        <f t="shared" si="52"/>
        <v>5</v>
      </c>
      <c r="AV60" s="54">
        <f t="shared" si="53"/>
        <v>2</v>
      </c>
      <c r="AW60" s="54">
        <f t="shared" si="54"/>
        <v>5</v>
      </c>
      <c r="AX60" s="54">
        <f t="shared" si="55"/>
        <v>2</v>
      </c>
      <c r="AY60" s="54">
        <f t="shared" si="56"/>
        <v>5</v>
      </c>
      <c r="AZ60" s="54">
        <f t="shared" si="57"/>
        <v>2</v>
      </c>
      <c r="BA60" s="54">
        <f t="shared" si="58"/>
        <v>5</v>
      </c>
      <c r="BB60" s="54">
        <f t="shared" si="59"/>
        <v>2</v>
      </c>
      <c r="BC60" s="54">
        <f t="shared" si="60"/>
        <v>5</v>
      </c>
      <c r="BD60" s="54">
        <f t="shared" si="61"/>
        <v>2</v>
      </c>
      <c r="BE60" s="54">
        <f t="shared" si="62"/>
        <v>5</v>
      </c>
      <c r="BF60" s="54">
        <f t="shared" si="63"/>
        <v>2</v>
      </c>
      <c r="BG60" s="54">
        <f t="shared" si="64"/>
        <v>5</v>
      </c>
      <c r="BH60" s="54">
        <f t="shared" si="65"/>
        <v>2</v>
      </c>
      <c r="BI60" s="54">
        <f t="shared" si="66"/>
        <v>5</v>
      </c>
      <c r="BJ60" s="54">
        <f t="shared" si="67"/>
        <v>2</v>
      </c>
      <c r="BK60" s="54">
        <f t="shared" si="68"/>
        <v>5</v>
      </c>
      <c r="BL60" s="54">
        <f t="shared" si="69"/>
        <v>2</v>
      </c>
      <c r="BM60" s="54">
        <f t="shared" si="70"/>
        <v>5</v>
      </c>
      <c r="BN60" s="54">
        <f t="shared" si="71"/>
        <v>2</v>
      </c>
      <c r="BO60" s="54">
        <f t="shared" si="72"/>
        <v>5</v>
      </c>
      <c r="BP60" s="54">
        <f t="shared" si="73"/>
        <v>2</v>
      </c>
      <c r="BQ60" s="54">
        <f t="shared" si="74"/>
        <v>5</v>
      </c>
      <c r="BR60" s="54">
        <f t="shared" si="75"/>
        <v>2</v>
      </c>
      <c r="BS60" s="54">
        <f t="shared" si="76"/>
        <v>5</v>
      </c>
      <c r="BT60" s="54">
        <f t="shared" si="77"/>
        <v>2</v>
      </c>
      <c r="BU60" s="54">
        <f t="shared" si="78"/>
        <v>5</v>
      </c>
      <c r="BV60" s="54">
        <f t="shared" si="79"/>
        <v>2</v>
      </c>
      <c r="BW60" s="54">
        <f t="shared" si="80"/>
        <v>5</v>
      </c>
      <c r="BX60" s="54">
        <f t="shared" si="81"/>
        <v>2</v>
      </c>
      <c r="BY60" s="54">
        <f t="shared" si="82"/>
        <v>5</v>
      </c>
      <c r="BZ60" s="54">
        <f t="shared" si="83"/>
        <v>2</v>
      </c>
      <c r="CA60" s="54">
        <f t="shared" si="84"/>
        <v>5</v>
      </c>
      <c r="CB60" s="54">
        <f t="shared" si="85"/>
        <v>2</v>
      </c>
      <c r="CC60" s="54">
        <f t="shared" si="86"/>
        <v>5</v>
      </c>
      <c r="CD60" s="54">
        <f t="shared" si="87"/>
        <v>2</v>
      </c>
      <c r="CE60" s="54">
        <f t="shared" si="88"/>
        <v>5</v>
      </c>
      <c r="CF60" s="54">
        <f t="shared" si="89"/>
        <v>2</v>
      </c>
      <c r="CG60" s="54">
        <f t="shared" si="90"/>
        <v>5</v>
      </c>
      <c r="CH60" s="54">
        <f t="shared" si="91"/>
        <v>2</v>
      </c>
      <c r="CI60" s="54">
        <f t="shared" si="92"/>
        <v>5</v>
      </c>
      <c r="CJ60" s="54">
        <f t="shared" si="93"/>
        <v>2</v>
      </c>
      <c r="CK60" s="54">
        <f t="shared" si="94"/>
        <v>5</v>
      </c>
      <c r="CL60" s="54">
        <f t="shared" si="95"/>
        <v>2</v>
      </c>
      <c r="CM60" s="54">
        <f t="shared" si="96"/>
        <v>5</v>
      </c>
      <c r="CN60" s="54">
        <f t="shared" si="97"/>
        <v>2</v>
      </c>
      <c r="CO60" s="54">
        <f t="shared" si="98"/>
        <v>5</v>
      </c>
      <c r="CP60" s="54">
        <f t="shared" si="99"/>
        <v>2</v>
      </c>
      <c r="CQ60" s="54">
        <f t="shared" si="100"/>
        <v>5</v>
      </c>
      <c r="CR60" s="54">
        <f t="shared" si="101"/>
        <v>2</v>
      </c>
      <c r="CS60" s="54">
        <f t="shared" si="102"/>
        <v>5</v>
      </c>
      <c r="CT60" s="54">
        <f t="shared" si="103"/>
        <v>2</v>
      </c>
      <c r="CU60" s="54">
        <f t="shared" si="104"/>
        <v>5</v>
      </c>
      <c r="CV60" s="54">
        <f t="shared" si="105"/>
        <v>2</v>
      </c>
      <c r="CW60" s="54">
        <f t="shared" si="106"/>
        <v>5</v>
      </c>
      <c r="CX60" s="54">
        <f t="shared" si="107"/>
        <v>2</v>
      </c>
      <c r="CY60" s="54">
        <f t="shared" si="108"/>
        <v>5</v>
      </c>
      <c r="CZ60" s="54">
        <f t="shared" si="109"/>
        <v>2</v>
      </c>
      <c r="DA60" s="54">
        <f t="shared" si="110"/>
        <v>5</v>
      </c>
      <c r="DB60" s="54">
        <f t="shared" si="111"/>
        <v>2</v>
      </c>
      <c r="DC60" s="54">
        <f t="shared" si="112"/>
        <v>5</v>
      </c>
      <c r="DD60" s="54">
        <f t="shared" si="113"/>
        <v>2</v>
      </c>
      <c r="DE60" s="54">
        <f t="shared" si="114"/>
        <v>5</v>
      </c>
      <c r="DF60" s="54">
        <f t="shared" si="115"/>
        <v>2</v>
      </c>
      <c r="DG60" s="54">
        <f t="shared" si="116"/>
        <v>5</v>
      </c>
      <c r="DH60" s="54">
        <f t="shared" si="117"/>
        <v>2</v>
      </c>
      <c r="DI60" s="54">
        <f t="shared" si="118"/>
        <v>5</v>
      </c>
      <c r="DJ60" s="54">
        <f t="shared" si="119"/>
        <v>2</v>
      </c>
      <c r="DK60" s="54">
        <f t="shared" si="120"/>
        <v>5</v>
      </c>
      <c r="DL60" s="54">
        <f t="shared" si="121"/>
        <v>2</v>
      </c>
      <c r="DM60" s="54">
        <f t="shared" si="122"/>
        <v>5</v>
      </c>
      <c r="DN60" s="54">
        <f t="shared" si="123"/>
        <v>2</v>
      </c>
      <c r="DO60" s="54">
        <f t="shared" si="124"/>
        <v>5</v>
      </c>
      <c r="DP60" s="54">
        <f t="shared" si="125"/>
        <v>2</v>
      </c>
      <c r="DQ60" s="54">
        <f t="shared" si="126"/>
        <v>5</v>
      </c>
      <c r="DR60" s="54">
        <f t="shared" si="127"/>
        <v>2</v>
      </c>
      <c r="DS60" s="54">
        <f t="shared" si="128"/>
        <v>5</v>
      </c>
      <c r="DT60" s="54">
        <f t="shared" si="129"/>
        <v>2</v>
      </c>
      <c r="DU60" s="54">
        <f t="shared" si="130"/>
        <v>5</v>
      </c>
      <c r="DV60" s="54">
        <f t="shared" si="131"/>
        <v>2</v>
      </c>
      <c r="DW60" s="54">
        <f t="shared" si="132"/>
        <v>5</v>
      </c>
      <c r="DX60" s="54">
        <f t="shared" si="133"/>
        <v>2</v>
      </c>
      <c r="DY60" s="54">
        <f t="shared" si="134"/>
        <v>5</v>
      </c>
      <c r="DZ60" s="54">
        <f t="shared" si="135"/>
        <v>2</v>
      </c>
      <c r="EA60" s="54">
        <f t="shared" si="134"/>
        <v>5</v>
      </c>
      <c r="EB60" s="54">
        <f t="shared" si="135"/>
        <v>2</v>
      </c>
      <c r="EC60" s="54">
        <f t="shared" si="135"/>
        <v>5</v>
      </c>
      <c r="ED60" s="54">
        <f t="shared" si="173"/>
        <v>2</v>
      </c>
      <c r="EE60" s="54">
        <f t="shared" si="174"/>
        <v>5</v>
      </c>
      <c r="EF60" s="54">
        <f t="shared" si="175"/>
        <v>2</v>
      </c>
      <c r="EG60" s="54">
        <f t="shared" ref="EG60:EN60" si="198">EG59</f>
        <v>5</v>
      </c>
      <c r="EH60" s="54">
        <f t="shared" si="198"/>
        <v>2</v>
      </c>
      <c r="EI60" s="54">
        <f t="shared" si="198"/>
        <v>5</v>
      </c>
      <c r="EJ60" s="54">
        <f t="shared" si="198"/>
        <v>2</v>
      </c>
      <c r="EK60" s="54">
        <f t="shared" si="198"/>
        <v>5</v>
      </c>
      <c r="EL60" s="54">
        <f t="shared" si="198"/>
        <v>2</v>
      </c>
      <c r="EM60" s="54">
        <f t="shared" si="198"/>
        <v>5</v>
      </c>
      <c r="EN60" s="54">
        <f t="shared" si="198"/>
        <v>2</v>
      </c>
      <c r="EO60" s="54">
        <f t="shared" si="171"/>
        <v>2</v>
      </c>
      <c r="EP60" s="54">
        <f t="shared" si="172"/>
        <v>2</v>
      </c>
    </row>
    <row r="61" spans="1:146" x14ac:dyDescent="0.2">
      <c r="B61" t="s">
        <v>230</v>
      </c>
      <c r="C61" s="54">
        <f t="shared" si="9"/>
        <v>45474</v>
      </c>
      <c r="D61" s="54">
        <f t="shared" si="1"/>
        <v>1</v>
      </c>
      <c r="E61" s="54">
        <f t="shared" si="10"/>
        <v>4</v>
      </c>
      <c r="F61" s="54">
        <f t="shared" si="11"/>
        <v>2</v>
      </c>
      <c r="G61" s="54">
        <f t="shared" si="12"/>
        <v>5</v>
      </c>
      <c r="H61" s="54">
        <f t="shared" si="13"/>
        <v>2</v>
      </c>
      <c r="I61" s="54">
        <f t="shared" si="14"/>
        <v>5</v>
      </c>
      <c r="J61" s="54">
        <f t="shared" si="15"/>
        <v>2</v>
      </c>
      <c r="K61" s="54">
        <f t="shared" si="16"/>
        <v>5</v>
      </c>
      <c r="L61" s="54">
        <f t="shared" si="17"/>
        <v>2</v>
      </c>
      <c r="M61" s="54">
        <f t="shared" si="18"/>
        <v>5</v>
      </c>
      <c r="N61" s="54">
        <f t="shared" si="19"/>
        <v>2</v>
      </c>
      <c r="O61" s="54">
        <f t="shared" si="20"/>
        <v>5</v>
      </c>
      <c r="P61" s="54">
        <f t="shared" si="21"/>
        <v>2</v>
      </c>
      <c r="Q61" s="54">
        <f t="shared" si="22"/>
        <v>5</v>
      </c>
      <c r="R61" s="54">
        <f t="shared" si="23"/>
        <v>2</v>
      </c>
      <c r="S61" s="54">
        <f t="shared" si="24"/>
        <v>5</v>
      </c>
      <c r="T61" s="54">
        <f t="shared" si="25"/>
        <v>2</v>
      </c>
      <c r="U61" s="54">
        <f t="shared" si="26"/>
        <v>5</v>
      </c>
      <c r="V61" s="54">
        <f t="shared" si="27"/>
        <v>2</v>
      </c>
      <c r="W61" s="54">
        <f t="shared" si="28"/>
        <v>5</v>
      </c>
      <c r="X61" s="54">
        <f t="shared" si="29"/>
        <v>2</v>
      </c>
      <c r="Y61" s="54">
        <f t="shared" si="30"/>
        <v>5</v>
      </c>
      <c r="Z61" s="54">
        <f t="shared" si="31"/>
        <v>2</v>
      </c>
      <c r="AA61" s="54">
        <f t="shared" si="32"/>
        <v>5</v>
      </c>
      <c r="AB61" s="54">
        <f t="shared" si="33"/>
        <v>2</v>
      </c>
      <c r="AC61" s="54">
        <f t="shared" si="34"/>
        <v>5</v>
      </c>
      <c r="AD61" s="54">
        <f t="shared" si="35"/>
        <v>2</v>
      </c>
      <c r="AE61" s="54">
        <f t="shared" si="36"/>
        <v>5</v>
      </c>
      <c r="AF61" s="54">
        <f t="shared" si="37"/>
        <v>2</v>
      </c>
      <c r="AG61" s="54">
        <f t="shared" si="38"/>
        <v>5</v>
      </c>
      <c r="AH61" s="54">
        <f t="shared" si="39"/>
        <v>2</v>
      </c>
      <c r="AI61" s="54">
        <f t="shared" si="40"/>
        <v>5</v>
      </c>
      <c r="AJ61" s="54">
        <f t="shared" si="41"/>
        <v>2</v>
      </c>
      <c r="AK61" s="54">
        <f t="shared" si="42"/>
        <v>5</v>
      </c>
      <c r="AL61" s="54">
        <f t="shared" si="43"/>
        <v>2</v>
      </c>
      <c r="AM61" s="54">
        <f t="shared" si="44"/>
        <v>5</v>
      </c>
      <c r="AN61" s="54">
        <f t="shared" si="45"/>
        <v>2</v>
      </c>
      <c r="AO61" s="54">
        <f t="shared" si="46"/>
        <v>5</v>
      </c>
      <c r="AP61" s="54">
        <f t="shared" si="47"/>
        <v>2</v>
      </c>
      <c r="AQ61" s="54">
        <f t="shared" si="48"/>
        <v>5</v>
      </c>
      <c r="AR61" s="54">
        <f t="shared" si="49"/>
        <v>2</v>
      </c>
      <c r="AS61" s="54">
        <f t="shared" si="50"/>
        <v>5</v>
      </c>
      <c r="AT61" s="54">
        <f t="shared" si="51"/>
        <v>2</v>
      </c>
      <c r="AU61" s="54">
        <f t="shared" si="52"/>
        <v>5</v>
      </c>
      <c r="AV61" s="54">
        <f t="shared" si="53"/>
        <v>2</v>
      </c>
      <c r="AW61" s="54">
        <f t="shared" si="54"/>
        <v>5</v>
      </c>
      <c r="AX61" s="54">
        <f t="shared" si="55"/>
        <v>2</v>
      </c>
      <c r="AY61" s="54">
        <f t="shared" si="56"/>
        <v>5</v>
      </c>
      <c r="AZ61" s="54">
        <f t="shared" si="57"/>
        <v>2</v>
      </c>
      <c r="BA61" s="54">
        <f t="shared" si="58"/>
        <v>5</v>
      </c>
      <c r="BB61" s="54">
        <f t="shared" si="59"/>
        <v>2</v>
      </c>
      <c r="BC61" s="54">
        <f t="shared" si="60"/>
        <v>5</v>
      </c>
      <c r="BD61" s="54">
        <f t="shared" si="61"/>
        <v>2</v>
      </c>
      <c r="BE61" s="54">
        <f t="shared" si="62"/>
        <v>5</v>
      </c>
      <c r="BF61" s="54">
        <f t="shared" si="63"/>
        <v>2</v>
      </c>
      <c r="BG61" s="54">
        <f t="shared" si="64"/>
        <v>5</v>
      </c>
      <c r="BH61" s="54">
        <f t="shared" si="65"/>
        <v>2</v>
      </c>
      <c r="BI61" s="54">
        <f t="shared" si="66"/>
        <v>5</v>
      </c>
      <c r="BJ61" s="54">
        <f t="shared" si="67"/>
        <v>2</v>
      </c>
      <c r="BK61" s="54">
        <f t="shared" si="68"/>
        <v>5</v>
      </c>
      <c r="BL61" s="54">
        <f t="shared" si="69"/>
        <v>2</v>
      </c>
      <c r="BM61" s="54">
        <f t="shared" si="70"/>
        <v>5</v>
      </c>
      <c r="BN61" s="54">
        <f t="shared" si="71"/>
        <v>2</v>
      </c>
      <c r="BO61" s="54">
        <f t="shared" si="72"/>
        <v>5</v>
      </c>
      <c r="BP61" s="54">
        <f t="shared" si="73"/>
        <v>2</v>
      </c>
      <c r="BQ61" s="54">
        <f t="shared" si="74"/>
        <v>5</v>
      </c>
      <c r="BR61" s="54">
        <f t="shared" si="75"/>
        <v>2</v>
      </c>
      <c r="BS61" s="54">
        <f t="shared" si="76"/>
        <v>5</v>
      </c>
      <c r="BT61" s="54">
        <f t="shared" si="77"/>
        <v>2</v>
      </c>
      <c r="BU61" s="54">
        <f t="shared" si="78"/>
        <v>5</v>
      </c>
      <c r="BV61" s="54">
        <f t="shared" si="79"/>
        <v>2</v>
      </c>
      <c r="BW61" s="54">
        <f t="shared" si="80"/>
        <v>5</v>
      </c>
      <c r="BX61" s="54">
        <f t="shared" si="81"/>
        <v>2</v>
      </c>
      <c r="BY61" s="54">
        <f t="shared" si="82"/>
        <v>5</v>
      </c>
      <c r="BZ61" s="54">
        <f t="shared" si="83"/>
        <v>2</v>
      </c>
      <c r="CA61" s="54">
        <f t="shared" si="84"/>
        <v>5</v>
      </c>
      <c r="CB61" s="54">
        <f t="shared" si="85"/>
        <v>2</v>
      </c>
      <c r="CC61" s="54">
        <f t="shared" si="86"/>
        <v>5</v>
      </c>
      <c r="CD61" s="54">
        <f t="shared" si="87"/>
        <v>2</v>
      </c>
      <c r="CE61" s="54">
        <f t="shared" si="88"/>
        <v>5</v>
      </c>
      <c r="CF61" s="54">
        <f t="shared" si="89"/>
        <v>2</v>
      </c>
      <c r="CG61" s="54">
        <f t="shared" si="90"/>
        <v>5</v>
      </c>
      <c r="CH61" s="54">
        <f t="shared" si="91"/>
        <v>2</v>
      </c>
      <c r="CI61" s="54">
        <f t="shared" si="92"/>
        <v>5</v>
      </c>
      <c r="CJ61" s="54">
        <f t="shared" si="93"/>
        <v>2</v>
      </c>
      <c r="CK61" s="54">
        <f t="shared" si="94"/>
        <v>5</v>
      </c>
      <c r="CL61" s="54">
        <f t="shared" si="95"/>
        <v>2</v>
      </c>
      <c r="CM61" s="54">
        <f t="shared" si="96"/>
        <v>5</v>
      </c>
      <c r="CN61" s="54">
        <f t="shared" si="97"/>
        <v>2</v>
      </c>
      <c r="CO61" s="54">
        <f t="shared" si="98"/>
        <v>5</v>
      </c>
      <c r="CP61" s="54">
        <f t="shared" si="99"/>
        <v>2</v>
      </c>
      <c r="CQ61" s="54">
        <f t="shared" si="100"/>
        <v>5</v>
      </c>
      <c r="CR61" s="54">
        <f t="shared" si="101"/>
        <v>2</v>
      </c>
      <c r="CS61" s="54">
        <f t="shared" si="102"/>
        <v>5</v>
      </c>
      <c r="CT61" s="54">
        <f t="shared" si="103"/>
        <v>2</v>
      </c>
      <c r="CU61" s="54">
        <f t="shared" si="104"/>
        <v>5</v>
      </c>
      <c r="CV61" s="54">
        <f t="shared" si="105"/>
        <v>2</v>
      </c>
      <c r="CW61" s="54">
        <f t="shared" si="106"/>
        <v>5</v>
      </c>
      <c r="CX61" s="54">
        <f t="shared" si="107"/>
        <v>2</v>
      </c>
      <c r="CY61" s="54">
        <f t="shared" si="108"/>
        <v>5</v>
      </c>
      <c r="CZ61" s="54">
        <f t="shared" si="109"/>
        <v>2</v>
      </c>
      <c r="DA61" s="54">
        <f t="shared" si="110"/>
        <v>5</v>
      </c>
      <c r="DB61" s="54">
        <f t="shared" si="111"/>
        <v>2</v>
      </c>
      <c r="DC61" s="54">
        <f t="shared" si="112"/>
        <v>5</v>
      </c>
      <c r="DD61" s="54">
        <f t="shared" si="113"/>
        <v>2</v>
      </c>
      <c r="DE61" s="54">
        <f t="shared" si="114"/>
        <v>5</v>
      </c>
      <c r="DF61" s="54">
        <f t="shared" si="115"/>
        <v>2</v>
      </c>
      <c r="DG61" s="54">
        <f t="shared" si="116"/>
        <v>5</v>
      </c>
      <c r="DH61" s="54">
        <f t="shared" si="117"/>
        <v>2</v>
      </c>
      <c r="DI61" s="54">
        <f t="shared" si="118"/>
        <v>5</v>
      </c>
      <c r="DJ61" s="54">
        <f t="shared" si="119"/>
        <v>2</v>
      </c>
      <c r="DK61" s="54">
        <f t="shared" si="120"/>
        <v>5</v>
      </c>
      <c r="DL61" s="54">
        <f t="shared" si="121"/>
        <v>2</v>
      </c>
      <c r="DM61" s="54">
        <f t="shared" si="122"/>
        <v>5</v>
      </c>
      <c r="DN61" s="54">
        <f t="shared" si="123"/>
        <v>2</v>
      </c>
      <c r="DO61" s="54">
        <f t="shared" si="124"/>
        <v>5</v>
      </c>
      <c r="DP61" s="54">
        <f t="shared" si="125"/>
        <v>2</v>
      </c>
      <c r="DQ61" s="54">
        <f t="shared" si="126"/>
        <v>5</v>
      </c>
      <c r="DR61" s="54">
        <f t="shared" si="127"/>
        <v>2</v>
      </c>
      <c r="DS61" s="54">
        <f t="shared" si="128"/>
        <v>5</v>
      </c>
      <c r="DT61" s="54">
        <f t="shared" si="129"/>
        <v>2</v>
      </c>
      <c r="DU61" s="54">
        <f t="shared" si="130"/>
        <v>5</v>
      </c>
      <c r="DV61" s="54">
        <f t="shared" si="131"/>
        <v>2</v>
      </c>
      <c r="DW61" s="54">
        <f t="shared" si="132"/>
        <v>5</v>
      </c>
      <c r="DX61" s="54">
        <f t="shared" si="133"/>
        <v>2</v>
      </c>
      <c r="DY61" s="54">
        <f t="shared" si="134"/>
        <v>5</v>
      </c>
      <c r="DZ61" s="54">
        <f t="shared" si="135"/>
        <v>2</v>
      </c>
      <c r="EA61" s="54">
        <f t="shared" si="134"/>
        <v>5</v>
      </c>
      <c r="EB61" s="54">
        <f t="shared" si="135"/>
        <v>2</v>
      </c>
      <c r="EC61" s="54">
        <f t="shared" si="135"/>
        <v>5</v>
      </c>
      <c r="ED61" s="54">
        <f t="shared" si="173"/>
        <v>2</v>
      </c>
      <c r="EE61" s="54">
        <f t="shared" si="174"/>
        <v>5</v>
      </c>
      <c r="EF61" s="54">
        <f t="shared" si="175"/>
        <v>2</v>
      </c>
      <c r="EG61" s="54">
        <f t="shared" ref="EG61:EN61" si="199">EG60</f>
        <v>5</v>
      </c>
      <c r="EH61" s="54">
        <f t="shared" si="199"/>
        <v>2</v>
      </c>
      <c r="EI61" s="54">
        <f t="shared" si="199"/>
        <v>5</v>
      </c>
      <c r="EJ61" s="54">
        <f t="shared" si="199"/>
        <v>2</v>
      </c>
      <c r="EK61" s="54">
        <f t="shared" si="199"/>
        <v>5</v>
      </c>
      <c r="EL61" s="54">
        <f t="shared" si="199"/>
        <v>2</v>
      </c>
      <c r="EM61" s="54">
        <f t="shared" si="199"/>
        <v>5</v>
      </c>
      <c r="EN61" s="54">
        <f t="shared" si="199"/>
        <v>2</v>
      </c>
      <c r="EO61" s="54">
        <f t="shared" si="171"/>
        <v>2</v>
      </c>
      <c r="EP61" s="54">
        <f t="shared" si="172"/>
        <v>2</v>
      </c>
    </row>
    <row r="62" spans="1:146" x14ac:dyDescent="0.2">
      <c r="A62" s="54"/>
      <c r="B62" t="s">
        <v>230</v>
      </c>
      <c r="C62" s="54">
        <f t="shared" si="9"/>
        <v>45474</v>
      </c>
      <c r="D62" s="54">
        <f t="shared" si="1"/>
        <v>1</v>
      </c>
      <c r="E62" s="54">
        <f t="shared" si="10"/>
        <v>4</v>
      </c>
      <c r="F62" s="54">
        <f t="shared" si="11"/>
        <v>2</v>
      </c>
      <c r="G62" s="54">
        <f t="shared" si="12"/>
        <v>5</v>
      </c>
      <c r="H62" s="54">
        <f t="shared" si="13"/>
        <v>2</v>
      </c>
      <c r="I62" s="54">
        <f t="shared" si="14"/>
        <v>5</v>
      </c>
      <c r="J62" s="54">
        <f t="shared" si="15"/>
        <v>2</v>
      </c>
      <c r="K62" s="54">
        <f t="shared" si="16"/>
        <v>5</v>
      </c>
      <c r="L62" s="54">
        <f t="shared" si="17"/>
        <v>2</v>
      </c>
      <c r="M62" s="54">
        <f t="shared" si="18"/>
        <v>5</v>
      </c>
      <c r="N62" s="54">
        <f t="shared" si="19"/>
        <v>2</v>
      </c>
      <c r="O62" s="54">
        <f t="shared" si="20"/>
        <v>5</v>
      </c>
      <c r="P62" s="54">
        <f t="shared" si="21"/>
        <v>2</v>
      </c>
      <c r="Q62" s="54">
        <f t="shared" si="22"/>
        <v>5</v>
      </c>
      <c r="R62" s="54">
        <f t="shared" si="23"/>
        <v>2</v>
      </c>
      <c r="S62" s="54">
        <f t="shared" si="24"/>
        <v>5</v>
      </c>
      <c r="T62" s="54">
        <f t="shared" si="25"/>
        <v>2</v>
      </c>
      <c r="U62" s="54">
        <f t="shared" si="26"/>
        <v>5</v>
      </c>
      <c r="V62" s="54">
        <f t="shared" si="27"/>
        <v>2</v>
      </c>
      <c r="W62" s="54">
        <f t="shared" si="28"/>
        <v>5</v>
      </c>
      <c r="X62" s="54">
        <f t="shared" si="29"/>
        <v>2</v>
      </c>
      <c r="Y62" s="54">
        <f t="shared" si="30"/>
        <v>5</v>
      </c>
      <c r="Z62" s="54">
        <f t="shared" si="31"/>
        <v>2</v>
      </c>
      <c r="AA62" s="54">
        <f t="shared" si="32"/>
        <v>5</v>
      </c>
      <c r="AB62" s="54">
        <f t="shared" si="33"/>
        <v>2</v>
      </c>
      <c r="AC62" s="54">
        <f t="shared" si="34"/>
        <v>5</v>
      </c>
      <c r="AD62" s="54">
        <f t="shared" si="35"/>
        <v>2</v>
      </c>
      <c r="AE62" s="54">
        <f t="shared" si="36"/>
        <v>5</v>
      </c>
      <c r="AF62" s="54">
        <f t="shared" si="37"/>
        <v>2</v>
      </c>
      <c r="AG62" s="54">
        <f t="shared" si="38"/>
        <v>5</v>
      </c>
      <c r="AH62" s="54">
        <f t="shared" si="39"/>
        <v>2</v>
      </c>
      <c r="AI62" s="54">
        <f t="shared" si="40"/>
        <v>5</v>
      </c>
      <c r="AJ62" s="54">
        <f t="shared" si="41"/>
        <v>2</v>
      </c>
      <c r="AK62" s="54">
        <f t="shared" si="42"/>
        <v>5</v>
      </c>
      <c r="AL62" s="54">
        <f t="shared" si="43"/>
        <v>2</v>
      </c>
      <c r="AM62" s="54">
        <f t="shared" si="44"/>
        <v>5</v>
      </c>
      <c r="AN62" s="54">
        <f t="shared" si="45"/>
        <v>2</v>
      </c>
      <c r="AO62" s="54">
        <f t="shared" si="46"/>
        <v>5</v>
      </c>
      <c r="AP62" s="54">
        <f t="shared" si="47"/>
        <v>2</v>
      </c>
      <c r="AQ62" s="54">
        <f t="shared" si="48"/>
        <v>5</v>
      </c>
      <c r="AR62" s="54">
        <f t="shared" si="49"/>
        <v>2</v>
      </c>
      <c r="AS62" s="54">
        <f t="shared" si="50"/>
        <v>5</v>
      </c>
      <c r="AT62" s="54">
        <f t="shared" si="51"/>
        <v>2</v>
      </c>
      <c r="AU62" s="54">
        <f t="shared" si="52"/>
        <v>5</v>
      </c>
      <c r="AV62" s="54">
        <f t="shared" si="53"/>
        <v>2</v>
      </c>
      <c r="AW62" s="54">
        <f t="shared" si="54"/>
        <v>5</v>
      </c>
      <c r="AX62" s="54">
        <f t="shared" si="55"/>
        <v>2</v>
      </c>
      <c r="AY62" s="54">
        <f t="shared" si="56"/>
        <v>5</v>
      </c>
      <c r="AZ62" s="54">
        <f t="shared" si="57"/>
        <v>2</v>
      </c>
      <c r="BA62" s="54">
        <f t="shared" si="58"/>
        <v>5</v>
      </c>
      <c r="BB62" s="54">
        <f t="shared" si="59"/>
        <v>2</v>
      </c>
      <c r="BC62" s="54">
        <f t="shared" si="60"/>
        <v>5</v>
      </c>
      <c r="BD62" s="54">
        <f t="shared" si="61"/>
        <v>2</v>
      </c>
      <c r="BE62" s="54">
        <f t="shared" si="62"/>
        <v>5</v>
      </c>
      <c r="BF62" s="54">
        <f t="shared" si="63"/>
        <v>2</v>
      </c>
      <c r="BG62" s="54">
        <f t="shared" si="64"/>
        <v>5</v>
      </c>
      <c r="BH62" s="54">
        <f t="shared" si="65"/>
        <v>2</v>
      </c>
      <c r="BI62" s="54">
        <f t="shared" si="66"/>
        <v>5</v>
      </c>
      <c r="BJ62" s="54">
        <f t="shared" si="67"/>
        <v>2</v>
      </c>
      <c r="BK62" s="54">
        <f t="shared" si="68"/>
        <v>5</v>
      </c>
      <c r="BL62" s="54">
        <f t="shared" si="69"/>
        <v>2</v>
      </c>
      <c r="BM62" s="54">
        <f t="shared" si="70"/>
        <v>5</v>
      </c>
      <c r="BN62" s="54">
        <f t="shared" si="71"/>
        <v>2</v>
      </c>
      <c r="BO62" s="54">
        <f t="shared" si="72"/>
        <v>5</v>
      </c>
      <c r="BP62" s="54">
        <f t="shared" si="73"/>
        <v>2</v>
      </c>
      <c r="BQ62" s="54">
        <f t="shared" si="74"/>
        <v>5</v>
      </c>
      <c r="BR62" s="54">
        <f t="shared" si="75"/>
        <v>2</v>
      </c>
      <c r="BS62" s="54">
        <f t="shared" si="76"/>
        <v>5</v>
      </c>
      <c r="BT62" s="54">
        <f t="shared" si="77"/>
        <v>2</v>
      </c>
      <c r="BU62" s="54">
        <f t="shared" si="78"/>
        <v>5</v>
      </c>
      <c r="BV62" s="54">
        <f t="shared" si="79"/>
        <v>2</v>
      </c>
      <c r="BW62" s="54">
        <f t="shared" si="80"/>
        <v>5</v>
      </c>
      <c r="BX62" s="54">
        <f t="shared" si="81"/>
        <v>2</v>
      </c>
      <c r="BY62" s="54">
        <f t="shared" si="82"/>
        <v>5</v>
      </c>
      <c r="BZ62" s="54">
        <f t="shared" si="83"/>
        <v>2</v>
      </c>
      <c r="CA62" s="54">
        <f t="shared" si="84"/>
        <v>5</v>
      </c>
      <c r="CB62" s="54">
        <f t="shared" si="85"/>
        <v>2</v>
      </c>
      <c r="CC62" s="54">
        <f t="shared" si="86"/>
        <v>5</v>
      </c>
      <c r="CD62" s="54">
        <f t="shared" si="87"/>
        <v>2</v>
      </c>
      <c r="CE62" s="54">
        <f t="shared" si="88"/>
        <v>5</v>
      </c>
      <c r="CF62" s="54">
        <f t="shared" si="89"/>
        <v>2</v>
      </c>
      <c r="CG62" s="54">
        <f t="shared" si="90"/>
        <v>5</v>
      </c>
      <c r="CH62" s="54">
        <f t="shared" si="91"/>
        <v>2</v>
      </c>
      <c r="CI62" s="54">
        <f t="shared" si="92"/>
        <v>5</v>
      </c>
      <c r="CJ62" s="54">
        <f t="shared" si="93"/>
        <v>2</v>
      </c>
      <c r="CK62" s="54">
        <f t="shared" si="94"/>
        <v>5</v>
      </c>
      <c r="CL62" s="54">
        <f t="shared" si="95"/>
        <v>2</v>
      </c>
      <c r="CM62" s="54">
        <f t="shared" si="96"/>
        <v>5</v>
      </c>
      <c r="CN62" s="54">
        <f t="shared" si="97"/>
        <v>2</v>
      </c>
      <c r="CO62" s="54">
        <f t="shared" si="98"/>
        <v>5</v>
      </c>
      <c r="CP62" s="54">
        <f t="shared" si="99"/>
        <v>2</v>
      </c>
      <c r="CQ62" s="54">
        <f t="shared" si="100"/>
        <v>5</v>
      </c>
      <c r="CR62" s="54">
        <f t="shared" si="101"/>
        <v>2</v>
      </c>
      <c r="CS62" s="54">
        <f t="shared" si="102"/>
        <v>5</v>
      </c>
      <c r="CT62" s="54">
        <f t="shared" si="103"/>
        <v>2</v>
      </c>
      <c r="CU62" s="54">
        <f t="shared" si="104"/>
        <v>5</v>
      </c>
      <c r="CV62" s="54">
        <f t="shared" si="105"/>
        <v>2</v>
      </c>
      <c r="CW62" s="54">
        <f t="shared" si="106"/>
        <v>5</v>
      </c>
      <c r="CX62" s="54">
        <f t="shared" si="107"/>
        <v>2</v>
      </c>
      <c r="CY62" s="54">
        <f t="shared" si="108"/>
        <v>5</v>
      </c>
      <c r="CZ62" s="54">
        <f t="shared" si="109"/>
        <v>2</v>
      </c>
      <c r="DA62" s="54">
        <f t="shared" si="110"/>
        <v>5</v>
      </c>
      <c r="DB62" s="54">
        <f t="shared" si="111"/>
        <v>2</v>
      </c>
      <c r="DC62" s="54">
        <f t="shared" si="112"/>
        <v>5</v>
      </c>
      <c r="DD62" s="54">
        <f t="shared" si="113"/>
        <v>2</v>
      </c>
      <c r="DE62" s="54">
        <f t="shared" si="114"/>
        <v>5</v>
      </c>
      <c r="DF62" s="54">
        <f t="shared" si="115"/>
        <v>2</v>
      </c>
      <c r="DG62" s="54">
        <f t="shared" si="116"/>
        <v>5</v>
      </c>
      <c r="DH62" s="54">
        <f t="shared" si="117"/>
        <v>2</v>
      </c>
      <c r="DI62" s="54">
        <f t="shared" si="118"/>
        <v>5</v>
      </c>
      <c r="DJ62" s="54">
        <f t="shared" si="119"/>
        <v>2</v>
      </c>
      <c r="DK62" s="54">
        <f t="shared" si="120"/>
        <v>5</v>
      </c>
      <c r="DL62" s="54">
        <f t="shared" si="121"/>
        <v>2</v>
      </c>
      <c r="DM62" s="54">
        <f t="shared" si="122"/>
        <v>5</v>
      </c>
      <c r="DN62" s="54">
        <f t="shared" si="123"/>
        <v>2</v>
      </c>
      <c r="DO62" s="54">
        <f t="shared" si="124"/>
        <v>5</v>
      </c>
      <c r="DP62" s="54">
        <f t="shared" si="125"/>
        <v>2</v>
      </c>
      <c r="DQ62" s="54">
        <f t="shared" si="126"/>
        <v>5</v>
      </c>
      <c r="DR62" s="54">
        <f t="shared" si="127"/>
        <v>2</v>
      </c>
      <c r="DS62" s="54">
        <f t="shared" si="128"/>
        <v>5</v>
      </c>
      <c r="DT62" s="54">
        <f t="shared" si="129"/>
        <v>2</v>
      </c>
      <c r="DU62" s="54">
        <f t="shared" si="130"/>
        <v>5</v>
      </c>
      <c r="DV62" s="54">
        <f t="shared" si="131"/>
        <v>2</v>
      </c>
      <c r="DW62" s="54">
        <f t="shared" si="132"/>
        <v>5</v>
      </c>
      <c r="DX62" s="54">
        <f t="shared" si="133"/>
        <v>2</v>
      </c>
      <c r="DY62" s="54">
        <f t="shared" si="134"/>
        <v>5</v>
      </c>
      <c r="DZ62" s="54">
        <f t="shared" si="135"/>
        <v>2</v>
      </c>
      <c r="EA62" s="54">
        <f t="shared" si="134"/>
        <v>5</v>
      </c>
      <c r="EB62" s="54">
        <f t="shared" si="135"/>
        <v>2</v>
      </c>
      <c r="EC62" s="54">
        <f t="shared" si="135"/>
        <v>5</v>
      </c>
      <c r="ED62" s="54">
        <f t="shared" si="173"/>
        <v>2</v>
      </c>
      <c r="EE62" s="54">
        <f t="shared" si="174"/>
        <v>5</v>
      </c>
      <c r="EF62" s="54">
        <f t="shared" si="175"/>
        <v>2</v>
      </c>
      <c r="EG62" s="54">
        <f t="shared" ref="EG62:EN62" si="200">EG61</f>
        <v>5</v>
      </c>
      <c r="EH62" s="54">
        <f t="shared" si="200"/>
        <v>2</v>
      </c>
      <c r="EI62" s="54">
        <f t="shared" si="200"/>
        <v>5</v>
      </c>
      <c r="EJ62" s="54">
        <f t="shared" si="200"/>
        <v>2</v>
      </c>
      <c r="EK62" s="54">
        <f t="shared" si="200"/>
        <v>5</v>
      </c>
      <c r="EL62" s="54">
        <f t="shared" si="200"/>
        <v>2</v>
      </c>
      <c r="EM62" s="54">
        <f t="shared" si="200"/>
        <v>5</v>
      </c>
      <c r="EN62" s="54">
        <f t="shared" si="200"/>
        <v>2</v>
      </c>
      <c r="EO62" s="54">
        <f t="shared" si="171"/>
        <v>2</v>
      </c>
      <c r="EP62" s="54">
        <f t="shared" si="172"/>
        <v>2</v>
      </c>
    </row>
    <row r="63" spans="1:146" x14ac:dyDescent="0.2">
      <c r="B63" t="s">
        <v>230</v>
      </c>
      <c r="C63" s="54">
        <f t="shared" si="9"/>
        <v>45474</v>
      </c>
      <c r="D63" s="54">
        <f t="shared" si="1"/>
        <v>1</v>
      </c>
      <c r="E63" s="54">
        <f t="shared" si="10"/>
        <v>4</v>
      </c>
      <c r="F63" s="54">
        <f t="shared" si="11"/>
        <v>2</v>
      </c>
      <c r="G63" s="54">
        <f t="shared" si="12"/>
        <v>5</v>
      </c>
      <c r="H63" s="54">
        <f t="shared" si="13"/>
        <v>2</v>
      </c>
      <c r="I63" s="54">
        <f t="shared" si="14"/>
        <v>5</v>
      </c>
      <c r="J63" s="54">
        <f t="shared" si="15"/>
        <v>2</v>
      </c>
      <c r="K63" s="54">
        <f t="shared" si="16"/>
        <v>5</v>
      </c>
      <c r="L63" s="54">
        <f t="shared" si="17"/>
        <v>2</v>
      </c>
      <c r="M63" s="54">
        <f t="shared" si="18"/>
        <v>5</v>
      </c>
      <c r="N63" s="54">
        <f t="shared" si="19"/>
        <v>2</v>
      </c>
      <c r="O63" s="54">
        <f t="shared" si="20"/>
        <v>5</v>
      </c>
      <c r="P63" s="54">
        <f t="shared" si="21"/>
        <v>2</v>
      </c>
      <c r="Q63" s="54">
        <f t="shared" si="22"/>
        <v>5</v>
      </c>
      <c r="R63" s="54">
        <f t="shared" si="23"/>
        <v>2</v>
      </c>
      <c r="S63" s="54">
        <f t="shared" si="24"/>
        <v>5</v>
      </c>
      <c r="T63" s="54">
        <f t="shared" si="25"/>
        <v>2</v>
      </c>
      <c r="U63" s="54">
        <f t="shared" si="26"/>
        <v>5</v>
      </c>
      <c r="V63" s="54">
        <f t="shared" si="27"/>
        <v>2</v>
      </c>
      <c r="W63" s="54">
        <f t="shared" si="28"/>
        <v>5</v>
      </c>
      <c r="X63" s="54">
        <f t="shared" si="29"/>
        <v>2</v>
      </c>
      <c r="Y63" s="54">
        <f t="shared" si="30"/>
        <v>5</v>
      </c>
      <c r="Z63" s="54">
        <f t="shared" si="31"/>
        <v>2</v>
      </c>
      <c r="AA63" s="54">
        <f t="shared" si="32"/>
        <v>5</v>
      </c>
      <c r="AB63" s="54">
        <f t="shared" si="33"/>
        <v>2</v>
      </c>
      <c r="AC63" s="54">
        <f t="shared" si="34"/>
        <v>5</v>
      </c>
      <c r="AD63" s="54">
        <f t="shared" si="35"/>
        <v>2</v>
      </c>
      <c r="AE63" s="54">
        <f t="shared" si="36"/>
        <v>5</v>
      </c>
      <c r="AF63" s="54">
        <f t="shared" si="37"/>
        <v>2</v>
      </c>
      <c r="AG63" s="54">
        <f t="shared" si="38"/>
        <v>5</v>
      </c>
      <c r="AH63" s="54">
        <f t="shared" si="39"/>
        <v>2</v>
      </c>
      <c r="AI63" s="54">
        <f t="shared" si="40"/>
        <v>5</v>
      </c>
      <c r="AJ63" s="54">
        <f t="shared" si="41"/>
        <v>2</v>
      </c>
      <c r="AK63" s="54">
        <f t="shared" si="42"/>
        <v>5</v>
      </c>
      <c r="AL63" s="54">
        <f t="shared" si="43"/>
        <v>2</v>
      </c>
      <c r="AM63" s="54">
        <f t="shared" si="44"/>
        <v>5</v>
      </c>
      <c r="AN63" s="54">
        <f t="shared" si="45"/>
        <v>2</v>
      </c>
      <c r="AO63" s="54">
        <f t="shared" si="46"/>
        <v>5</v>
      </c>
      <c r="AP63" s="54">
        <f t="shared" si="47"/>
        <v>2</v>
      </c>
      <c r="AQ63" s="54">
        <f t="shared" si="48"/>
        <v>5</v>
      </c>
      <c r="AR63" s="54">
        <f t="shared" si="49"/>
        <v>2</v>
      </c>
      <c r="AS63" s="54">
        <f t="shared" si="50"/>
        <v>5</v>
      </c>
      <c r="AT63" s="54">
        <f t="shared" si="51"/>
        <v>2</v>
      </c>
      <c r="AU63" s="54">
        <f t="shared" si="52"/>
        <v>5</v>
      </c>
      <c r="AV63" s="54">
        <f t="shared" si="53"/>
        <v>2</v>
      </c>
      <c r="AW63" s="54">
        <f t="shared" si="54"/>
        <v>5</v>
      </c>
      <c r="AX63" s="54">
        <f t="shared" si="55"/>
        <v>2</v>
      </c>
      <c r="AY63" s="54">
        <f t="shared" si="56"/>
        <v>5</v>
      </c>
      <c r="AZ63" s="54">
        <f t="shared" si="57"/>
        <v>2</v>
      </c>
      <c r="BA63" s="54">
        <f t="shared" si="58"/>
        <v>5</v>
      </c>
      <c r="BB63" s="54">
        <f t="shared" si="59"/>
        <v>2</v>
      </c>
      <c r="BC63" s="54">
        <f t="shared" si="60"/>
        <v>5</v>
      </c>
      <c r="BD63" s="54">
        <f t="shared" si="61"/>
        <v>2</v>
      </c>
      <c r="BE63" s="54">
        <f t="shared" si="62"/>
        <v>5</v>
      </c>
      <c r="BF63" s="54">
        <f t="shared" si="63"/>
        <v>2</v>
      </c>
      <c r="BG63" s="54">
        <f t="shared" si="64"/>
        <v>5</v>
      </c>
      <c r="BH63" s="54">
        <f t="shared" si="65"/>
        <v>2</v>
      </c>
      <c r="BI63" s="54">
        <f t="shared" si="66"/>
        <v>5</v>
      </c>
      <c r="BJ63" s="54">
        <f t="shared" si="67"/>
        <v>2</v>
      </c>
      <c r="BK63" s="54">
        <f t="shared" si="68"/>
        <v>5</v>
      </c>
      <c r="BL63" s="54">
        <f t="shared" si="69"/>
        <v>2</v>
      </c>
      <c r="BM63" s="54">
        <f t="shared" si="70"/>
        <v>5</v>
      </c>
      <c r="BN63" s="54">
        <f t="shared" si="71"/>
        <v>2</v>
      </c>
      <c r="BO63" s="54">
        <f t="shared" si="72"/>
        <v>5</v>
      </c>
      <c r="BP63" s="54">
        <f t="shared" si="73"/>
        <v>2</v>
      </c>
      <c r="BQ63" s="54">
        <f t="shared" si="74"/>
        <v>5</v>
      </c>
      <c r="BR63" s="54">
        <f t="shared" si="75"/>
        <v>2</v>
      </c>
      <c r="BS63" s="54">
        <f t="shared" si="76"/>
        <v>5</v>
      </c>
      <c r="BT63" s="54">
        <f t="shared" si="77"/>
        <v>2</v>
      </c>
      <c r="BU63" s="54">
        <f t="shared" si="78"/>
        <v>5</v>
      </c>
      <c r="BV63" s="54">
        <f t="shared" si="79"/>
        <v>2</v>
      </c>
      <c r="BW63" s="54">
        <f t="shared" si="80"/>
        <v>5</v>
      </c>
      <c r="BX63" s="54">
        <f t="shared" si="81"/>
        <v>2</v>
      </c>
      <c r="BY63" s="54">
        <f t="shared" si="82"/>
        <v>5</v>
      </c>
      <c r="BZ63" s="54">
        <f t="shared" si="83"/>
        <v>2</v>
      </c>
      <c r="CA63" s="54">
        <f t="shared" si="84"/>
        <v>5</v>
      </c>
      <c r="CB63" s="54">
        <f t="shared" si="85"/>
        <v>2</v>
      </c>
      <c r="CC63" s="54">
        <f t="shared" si="86"/>
        <v>5</v>
      </c>
      <c r="CD63" s="54">
        <f t="shared" si="87"/>
        <v>2</v>
      </c>
      <c r="CE63" s="54">
        <f t="shared" si="88"/>
        <v>5</v>
      </c>
      <c r="CF63" s="54">
        <f t="shared" si="89"/>
        <v>2</v>
      </c>
      <c r="CG63" s="54">
        <f t="shared" si="90"/>
        <v>5</v>
      </c>
      <c r="CH63" s="54">
        <f t="shared" si="91"/>
        <v>2</v>
      </c>
      <c r="CI63" s="54">
        <f t="shared" si="92"/>
        <v>5</v>
      </c>
      <c r="CJ63" s="54">
        <f t="shared" si="93"/>
        <v>2</v>
      </c>
      <c r="CK63" s="54">
        <f t="shared" si="94"/>
        <v>5</v>
      </c>
      <c r="CL63" s="54">
        <f t="shared" si="95"/>
        <v>2</v>
      </c>
      <c r="CM63" s="54">
        <f t="shared" si="96"/>
        <v>5</v>
      </c>
      <c r="CN63" s="54">
        <f t="shared" si="97"/>
        <v>2</v>
      </c>
      <c r="CO63" s="54">
        <f t="shared" si="98"/>
        <v>5</v>
      </c>
      <c r="CP63" s="54">
        <f t="shared" si="99"/>
        <v>2</v>
      </c>
      <c r="CQ63" s="54">
        <f t="shared" si="100"/>
        <v>5</v>
      </c>
      <c r="CR63" s="54">
        <f t="shared" si="101"/>
        <v>2</v>
      </c>
      <c r="CS63" s="54">
        <f t="shared" si="102"/>
        <v>5</v>
      </c>
      <c r="CT63" s="54">
        <f t="shared" si="103"/>
        <v>2</v>
      </c>
      <c r="CU63" s="54">
        <f t="shared" si="104"/>
        <v>5</v>
      </c>
      <c r="CV63" s="54">
        <f t="shared" si="105"/>
        <v>2</v>
      </c>
      <c r="CW63" s="54">
        <f t="shared" si="106"/>
        <v>5</v>
      </c>
      <c r="CX63" s="54">
        <f t="shared" si="107"/>
        <v>2</v>
      </c>
      <c r="CY63" s="54">
        <f t="shared" si="108"/>
        <v>5</v>
      </c>
      <c r="CZ63" s="54">
        <f t="shared" si="109"/>
        <v>2</v>
      </c>
      <c r="DA63" s="54">
        <f t="shared" si="110"/>
        <v>5</v>
      </c>
      <c r="DB63" s="54">
        <f t="shared" si="111"/>
        <v>2</v>
      </c>
      <c r="DC63" s="54">
        <f t="shared" si="112"/>
        <v>5</v>
      </c>
      <c r="DD63" s="54">
        <f t="shared" si="113"/>
        <v>2</v>
      </c>
      <c r="DE63" s="54">
        <f t="shared" si="114"/>
        <v>5</v>
      </c>
      <c r="DF63" s="54">
        <f t="shared" si="115"/>
        <v>2</v>
      </c>
      <c r="DG63" s="54">
        <f t="shared" si="116"/>
        <v>5</v>
      </c>
      <c r="DH63" s="54">
        <f t="shared" si="117"/>
        <v>2</v>
      </c>
      <c r="DI63" s="54">
        <f t="shared" si="118"/>
        <v>5</v>
      </c>
      <c r="DJ63" s="54">
        <f t="shared" si="119"/>
        <v>2</v>
      </c>
      <c r="DK63" s="54">
        <f t="shared" si="120"/>
        <v>5</v>
      </c>
      <c r="DL63" s="54">
        <f t="shared" si="121"/>
        <v>2</v>
      </c>
      <c r="DM63" s="54">
        <f t="shared" si="122"/>
        <v>5</v>
      </c>
      <c r="DN63" s="54">
        <f t="shared" si="123"/>
        <v>2</v>
      </c>
      <c r="DO63" s="54">
        <f t="shared" si="124"/>
        <v>5</v>
      </c>
      <c r="DP63" s="54">
        <f t="shared" si="125"/>
        <v>2</v>
      </c>
      <c r="DQ63" s="54">
        <f t="shared" si="126"/>
        <v>5</v>
      </c>
      <c r="DR63" s="54">
        <f t="shared" si="127"/>
        <v>2</v>
      </c>
      <c r="DS63" s="54">
        <f t="shared" si="128"/>
        <v>5</v>
      </c>
      <c r="DT63" s="54">
        <f t="shared" si="129"/>
        <v>2</v>
      </c>
      <c r="DU63" s="54">
        <f t="shared" si="130"/>
        <v>5</v>
      </c>
      <c r="DV63" s="54">
        <f t="shared" si="131"/>
        <v>2</v>
      </c>
      <c r="DW63" s="54">
        <f t="shared" si="132"/>
        <v>5</v>
      </c>
      <c r="DX63" s="54">
        <f t="shared" si="133"/>
        <v>2</v>
      </c>
      <c r="DY63" s="54">
        <f t="shared" si="134"/>
        <v>5</v>
      </c>
      <c r="DZ63" s="54">
        <f t="shared" si="135"/>
        <v>2</v>
      </c>
      <c r="EA63" s="54">
        <f t="shared" si="134"/>
        <v>5</v>
      </c>
      <c r="EB63" s="54">
        <f t="shared" si="135"/>
        <v>2</v>
      </c>
      <c r="EC63" s="54">
        <f t="shared" si="135"/>
        <v>5</v>
      </c>
      <c r="ED63" s="54">
        <f t="shared" si="173"/>
        <v>2</v>
      </c>
      <c r="EE63" s="54">
        <f t="shared" si="174"/>
        <v>5</v>
      </c>
      <c r="EF63" s="54">
        <f t="shared" si="175"/>
        <v>2</v>
      </c>
      <c r="EG63" s="54">
        <f t="shared" ref="EG63:EN63" si="201">EG62</f>
        <v>5</v>
      </c>
      <c r="EH63" s="54">
        <f t="shared" si="201"/>
        <v>2</v>
      </c>
      <c r="EI63" s="54">
        <f t="shared" si="201"/>
        <v>5</v>
      </c>
      <c r="EJ63" s="54">
        <f t="shared" si="201"/>
        <v>2</v>
      </c>
      <c r="EK63" s="54">
        <f t="shared" si="201"/>
        <v>5</v>
      </c>
      <c r="EL63" s="54">
        <f t="shared" si="201"/>
        <v>2</v>
      </c>
      <c r="EM63" s="54">
        <f t="shared" si="201"/>
        <v>5</v>
      </c>
      <c r="EN63" s="54">
        <f t="shared" si="201"/>
        <v>2</v>
      </c>
      <c r="EO63" s="54">
        <f t="shared" si="171"/>
        <v>2</v>
      </c>
      <c r="EP63" s="54">
        <f t="shared" si="172"/>
        <v>2</v>
      </c>
    </row>
    <row r="64" spans="1:146" x14ac:dyDescent="0.2">
      <c r="B64" t="s">
        <v>230</v>
      </c>
      <c r="C64" s="54">
        <f t="shared" si="9"/>
        <v>45474</v>
      </c>
      <c r="D64" s="54">
        <f t="shared" si="1"/>
        <v>1</v>
      </c>
      <c r="E64" s="54">
        <f t="shared" si="10"/>
        <v>4</v>
      </c>
      <c r="F64" s="54">
        <f t="shared" si="11"/>
        <v>2</v>
      </c>
      <c r="G64" s="54">
        <f t="shared" si="12"/>
        <v>5</v>
      </c>
      <c r="H64" s="54">
        <f t="shared" si="13"/>
        <v>2</v>
      </c>
      <c r="I64" s="54">
        <f t="shared" si="14"/>
        <v>5</v>
      </c>
      <c r="J64" s="54">
        <f t="shared" si="15"/>
        <v>2</v>
      </c>
      <c r="K64" s="54">
        <f t="shared" si="16"/>
        <v>5</v>
      </c>
      <c r="L64" s="54">
        <f t="shared" si="17"/>
        <v>2</v>
      </c>
      <c r="M64" s="54">
        <f t="shared" si="18"/>
        <v>5</v>
      </c>
      <c r="N64" s="54">
        <f t="shared" si="19"/>
        <v>2</v>
      </c>
      <c r="O64" s="54">
        <f t="shared" si="20"/>
        <v>5</v>
      </c>
      <c r="P64" s="54">
        <f t="shared" si="21"/>
        <v>2</v>
      </c>
      <c r="Q64" s="54">
        <f t="shared" si="22"/>
        <v>5</v>
      </c>
      <c r="R64" s="54">
        <f t="shared" si="23"/>
        <v>2</v>
      </c>
      <c r="S64" s="54">
        <f t="shared" si="24"/>
        <v>5</v>
      </c>
      <c r="T64" s="54">
        <f t="shared" si="25"/>
        <v>2</v>
      </c>
      <c r="U64" s="54">
        <f t="shared" si="26"/>
        <v>5</v>
      </c>
      <c r="V64" s="54">
        <f t="shared" si="27"/>
        <v>2</v>
      </c>
      <c r="W64" s="54">
        <f t="shared" si="28"/>
        <v>5</v>
      </c>
      <c r="X64" s="54">
        <f t="shared" si="29"/>
        <v>2</v>
      </c>
      <c r="Y64" s="54">
        <f t="shared" si="30"/>
        <v>5</v>
      </c>
      <c r="Z64" s="54">
        <f t="shared" si="31"/>
        <v>2</v>
      </c>
      <c r="AA64" s="54">
        <f t="shared" si="32"/>
        <v>5</v>
      </c>
      <c r="AB64" s="54">
        <f t="shared" si="33"/>
        <v>2</v>
      </c>
      <c r="AC64" s="54">
        <f t="shared" si="34"/>
        <v>5</v>
      </c>
      <c r="AD64" s="54">
        <f t="shared" si="35"/>
        <v>2</v>
      </c>
      <c r="AE64" s="54">
        <f t="shared" si="36"/>
        <v>5</v>
      </c>
      <c r="AF64" s="54">
        <f t="shared" si="37"/>
        <v>2</v>
      </c>
      <c r="AG64" s="54">
        <f t="shared" si="38"/>
        <v>5</v>
      </c>
      <c r="AH64" s="54">
        <f t="shared" si="39"/>
        <v>2</v>
      </c>
      <c r="AI64" s="54">
        <f t="shared" si="40"/>
        <v>5</v>
      </c>
      <c r="AJ64" s="54">
        <f t="shared" si="41"/>
        <v>2</v>
      </c>
      <c r="AK64" s="54">
        <f t="shared" si="42"/>
        <v>5</v>
      </c>
      <c r="AL64" s="54">
        <f t="shared" si="43"/>
        <v>2</v>
      </c>
      <c r="AM64" s="54">
        <f t="shared" si="44"/>
        <v>5</v>
      </c>
      <c r="AN64" s="54">
        <f t="shared" si="45"/>
        <v>2</v>
      </c>
      <c r="AO64" s="54">
        <f t="shared" si="46"/>
        <v>5</v>
      </c>
      <c r="AP64" s="54">
        <f t="shared" si="47"/>
        <v>2</v>
      </c>
      <c r="AQ64" s="54">
        <f t="shared" si="48"/>
        <v>5</v>
      </c>
      <c r="AR64" s="54">
        <f t="shared" si="49"/>
        <v>2</v>
      </c>
      <c r="AS64" s="54">
        <f t="shared" si="50"/>
        <v>5</v>
      </c>
      <c r="AT64" s="54">
        <f t="shared" si="51"/>
        <v>2</v>
      </c>
      <c r="AU64" s="54">
        <f t="shared" si="52"/>
        <v>5</v>
      </c>
      <c r="AV64" s="54">
        <f t="shared" si="53"/>
        <v>2</v>
      </c>
      <c r="AW64" s="54">
        <f t="shared" si="54"/>
        <v>5</v>
      </c>
      <c r="AX64" s="54">
        <f t="shared" si="55"/>
        <v>2</v>
      </c>
      <c r="AY64" s="54">
        <f t="shared" si="56"/>
        <v>5</v>
      </c>
      <c r="AZ64" s="54">
        <f t="shared" si="57"/>
        <v>2</v>
      </c>
      <c r="BA64" s="54">
        <f t="shared" si="58"/>
        <v>5</v>
      </c>
      <c r="BB64" s="54">
        <f t="shared" si="59"/>
        <v>2</v>
      </c>
      <c r="BC64" s="54">
        <f t="shared" si="60"/>
        <v>5</v>
      </c>
      <c r="BD64" s="54">
        <f t="shared" si="61"/>
        <v>2</v>
      </c>
      <c r="BE64" s="54">
        <f t="shared" si="62"/>
        <v>5</v>
      </c>
      <c r="BF64" s="54">
        <f t="shared" si="63"/>
        <v>2</v>
      </c>
      <c r="BG64" s="54">
        <f t="shared" si="64"/>
        <v>5</v>
      </c>
      <c r="BH64" s="54">
        <f t="shared" si="65"/>
        <v>2</v>
      </c>
      <c r="BI64" s="54">
        <f t="shared" si="66"/>
        <v>5</v>
      </c>
      <c r="BJ64" s="54">
        <f t="shared" si="67"/>
        <v>2</v>
      </c>
      <c r="BK64" s="54">
        <f t="shared" si="68"/>
        <v>5</v>
      </c>
      <c r="BL64" s="54">
        <f t="shared" si="69"/>
        <v>2</v>
      </c>
      <c r="BM64" s="54">
        <f t="shared" si="70"/>
        <v>5</v>
      </c>
      <c r="BN64" s="54">
        <f t="shared" si="71"/>
        <v>2</v>
      </c>
      <c r="BO64" s="54">
        <f t="shared" si="72"/>
        <v>5</v>
      </c>
      <c r="BP64" s="54">
        <f t="shared" si="73"/>
        <v>2</v>
      </c>
      <c r="BQ64" s="54">
        <f t="shared" si="74"/>
        <v>5</v>
      </c>
      <c r="BR64" s="54">
        <f t="shared" si="75"/>
        <v>2</v>
      </c>
      <c r="BS64" s="54">
        <f t="shared" si="76"/>
        <v>5</v>
      </c>
      <c r="BT64" s="54">
        <f t="shared" si="77"/>
        <v>2</v>
      </c>
      <c r="BU64" s="54">
        <f t="shared" si="78"/>
        <v>5</v>
      </c>
      <c r="BV64" s="54">
        <f t="shared" si="79"/>
        <v>2</v>
      </c>
      <c r="BW64" s="54">
        <f t="shared" si="80"/>
        <v>5</v>
      </c>
      <c r="BX64" s="54">
        <f t="shared" si="81"/>
        <v>2</v>
      </c>
      <c r="BY64" s="54">
        <f t="shared" si="82"/>
        <v>5</v>
      </c>
      <c r="BZ64" s="54">
        <f t="shared" si="83"/>
        <v>2</v>
      </c>
      <c r="CA64" s="54">
        <f t="shared" si="84"/>
        <v>5</v>
      </c>
      <c r="CB64" s="54">
        <f t="shared" si="85"/>
        <v>2</v>
      </c>
      <c r="CC64" s="54">
        <f t="shared" si="86"/>
        <v>5</v>
      </c>
      <c r="CD64" s="54">
        <f t="shared" si="87"/>
        <v>2</v>
      </c>
      <c r="CE64" s="54">
        <f t="shared" si="88"/>
        <v>5</v>
      </c>
      <c r="CF64" s="54">
        <f t="shared" si="89"/>
        <v>2</v>
      </c>
      <c r="CG64" s="54">
        <f t="shared" si="90"/>
        <v>5</v>
      </c>
      <c r="CH64" s="54">
        <f t="shared" si="91"/>
        <v>2</v>
      </c>
      <c r="CI64" s="54">
        <f t="shared" si="92"/>
        <v>5</v>
      </c>
      <c r="CJ64" s="54">
        <f t="shared" si="93"/>
        <v>2</v>
      </c>
      <c r="CK64" s="54">
        <f t="shared" si="94"/>
        <v>5</v>
      </c>
      <c r="CL64" s="54">
        <f t="shared" si="95"/>
        <v>2</v>
      </c>
      <c r="CM64" s="54">
        <f t="shared" si="96"/>
        <v>5</v>
      </c>
      <c r="CN64" s="54">
        <f t="shared" si="97"/>
        <v>2</v>
      </c>
      <c r="CO64" s="54">
        <f t="shared" si="98"/>
        <v>5</v>
      </c>
      <c r="CP64" s="54">
        <f t="shared" si="99"/>
        <v>2</v>
      </c>
      <c r="CQ64" s="54">
        <f t="shared" si="100"/>
        <v>5</v>
      </c>
      <c r="CR64" s="54">
        <f t="shared" si="101"/>
        <v>2</v>
      </c>
      <c r="CS64" s="54">
        <f t="shared" si="102"/>
        <v>5</v>
      </c>
      <c r="CT64" s="54">
        <f t="shared" si="103"/>
        <v>2</v>
      </c>
      <c r="CU64" s="54">
        <f t="shared" si="104"/>
        <v>5</v>
      </c>
      <c r="CV64" s="54">
        <f t="shared" si="105"/>
        <v>2</v>
      </c>
      <c r="CW64" s="54">
        <f t="shared" si="106"/>
        <v>5</v>
      </c>
      <c r="CX64" s="54">
        <f t="shared" si="107"/>
        <v>2</v>
      </c>
      <c r="CY64" s="54">
        <f t="shared" si="108"/>
        <v>5</v>
      </c>
      <c r="CZ64" s="54">
        <f t="shared" si="109"/>
        <v>2</v>
      </c>
      <c r="DA64" s="54">
        <f t="shared" si="110"/>
        <v>5</v>
      </c>
      <c r="DB64" s="54">
        <f t="shared" si="111"/>
        <v>2</v>
      </c>
      <c r="DC64" s="54">
        <f t="shared" si="112"/>
        <v>5</v>
      </c>
      <c r="DD64" s="54">
        <f t="shared" si="113"/>
        <v>2</v>
      </c>
      <c r="DE64" s="54">
        <f t="shared" si="114"/>
        <v>5</v>
      </c>
      <c r="DF64" s="54">
        <f t="shared" si="115"/>
        <v>2</v>
      </c>
      <c r="DG64" s="54">
        <f t="shared" si="116"/>
        <v>5</v>
      </c>
      <c r="DH64" s="54">
        <f t="shared" si="117"/>
        <v>2</v>
      </c>
      <c r="DI64" s="54">
        <f t="shared" si="118"/>
        <v>5</v>
      </c>
      <c r="DJ64" s="54">
        <f t="shared" si="119"/>
        <v>2</v>
      </c>
      <c r="DK64" s="54">
        <f t="shared" si="120"/>
        <v>5</v>
      </c>
      <c r="DL64" s="54">
        <f t="shared" si="121"/>
        <v>2</v>
      </c>
      <c r="DM64" s="54">
        <f t="shared" si="122"/>
        <v>5</v>
      </c>
      <c r="DN64" s="54">
        <f t="shared" si="123"/>
        <v>2</v>
      </c>
      <c r="DO64" s="54">
        <f t="shared" si="124"/>
        <v>5</v>
      </c>
      <c r="DP64" s="54">
        <f t="shared" si="125"/>
        <v>2</v>
      </c>
      <c r="DQ64" s="54">
        <f t="shared" si="126"/>
        <v>5</v>
      </c>
      <c r="DR64" s="54">
        <f t="shared" si="127"/>
        <v>2</v>
      </c>
      <c r="DS64" s="54">
        <f t="shared" si="128"/>
        <v>5</v>
      </c>
      <c r="DT64" s="54">
        <f t="shared" si="129"/>
        <v>2</v>
      </c>
      <c r="DU64" s="54">
        <f t="shared" si="130"/>
        <v>5</v>
      </c>
      <c r="DV64" s="54">
        <f t="shared" si="131"/>
        <v>2</v>
      </c>
      <c r="DW64" s="54">
        <f t="shared" si="132"/>
        <v>5</v>
      </c>
      <c r="DX64" s="54">
        <f t="shared" si="133"/>
        <v>2</v>
      </c>
      <c r="DY64" s="54">
        <f t="shared" si="134"/>
        <v>5</v>
      </c>
      <c r="DZ64" s="54">
        <f t="shared" si="135"/>
        <v>2</v>
      </c>
      <c r="EA64" s="54">
        <f t="shared" si="134"/>
        <v>5</v>
      </c>
      <c r="EB64" s="54">
        <f t="shared" si="135"/>
        <v>2</v>
      </c>
      <c r="EC64" s="54">
        <f t="shared" si="135"/>
        <v>5</v>
      </c>
      <c r="ED64" s="54">
        <f t="shared" si="173"/>
        <v>2</v>
      </c>
      <c r="EE64" s="54">
        <f t="shared" si="174"/>
        <v>5</v>
      </c>
      <c r="EF64" s="54">
        <f t="shared" si="175"/>
        <v>2</v>
      </c>
      <c r="EG64" s="54">
        <f t="shared" ref="EG64:EN64" si="202">EG63</f>
        <v>5</v>
      </c>
      <c r="EH64" s="54">
        <f t="shared" si="202"/>
        <v>2</v>
      </c>
      <c r="EI64" s="54">
        <f t="shared" si="202"/>
        <v>5</v>
      </c>
      <c r="EJ64" s="54">
        <f t="shared" si="202"/>
        <v>2</v>
      </c>
      <c r="EK64" s="54">
        <f t="shared" si="202"/>
        <v>5</v>
      </c>
      <c r="EL64" s="54">
        <f t="shared" si="202"/>
        <v>2</v>
      </c>
      <c r="EM64" s="54">
        <f t="shared" si="202"/>
        <v>5</v>
      </c>
      <c r="EN64" s="54">
        <f t="shared" si="202"/>
        <v>2</v>
      </c>
      <c r="EO64" s="54">
        <f t="shared" si="171"/>
        <v>2</v>
      </c>
      <c r="EP64" s="54">
        <f t="shared" si="172"/>
        <v>2</v>
      </c>
    </row>
    <row r="65" spans="1:146" x14ac:dyDescent="0.2">
      <c r="A65" s="54"/>
      <c r="B65" t="s">
        <v>230</v>
      </c>
      <c r="C65" s="54">
        <f t="shared" si="9"/>
        <v>45474</v>
      </c>
      <c r="D65" s="54">
        <f t="shared" si="1"/>
        <v>1</v>
      </c>
      <c r="E65" s="54">
        <f t="shared" si="10"/>
        <v>4</v>
      </c>
      <c r="F65" s="54">
        <f t="shared" si="11"/>
        <v>2</v>
      </c>
      <c r="G65" s="54">
        <f t="shared" si="12"/>
        <v>5</v>
      </c>
      <c r="H65" s="54">
        <f t="shared" si="13"/>
        <v>2</v>
      </c>
      <c r="I65" s="54">
        <f t="shared" si="14"/>
        <v>5</v>
      </c>
      <c r="J65" s="54">
        <f t="shared" si="15"/>
        <v>2</v>
      </c>
      <c r="K65" s="54">
        <f t="shared" si="16"/>
        <v>5</v>
      </c>
      <c r="L65" s="54">
        <f t="shared" si="17"/>
        <v>2</v>
      </c>
      <c r="M65" s="54">
        <f t="shared" si="18"/>
        <v>5</v>
      </c>
      <c r="N65" s="54">
        <f t="shared" si="19"/>
        <v>2</v>
      </c>
      <c r="O65" s="54">
        <f t="shared" si="20"/>
        <v>5</v>
      </c>
      <c r="P65" s="54">
        <f t="shared" si="21"/>
        <v>2</v>
      </c>
      <c r="Q65" s="54">
        <f t="shared" si="22"/>
        <v>5</v>
      </c>
      <c r="R65" s="54">
        <f t="shared" si="23"/>
        <v>2</v>
      </c>
      <c r="S65" s="54">
        <f t="shared" si="24"/>
        <v>5</v>
      </c>
      <c r="T65" s="54">
        <f t="shared" si="25"/>
        <v>2</v>
      </c>
      <c r="U65" s="54">
        <f t="shared" si="26"/>
        <v>5</v>
      </c>
      <c r="V65" s="54">
        <f t="shared" si="27"/>
        <v>2</v>
      </c>
      <c r="W65" s="54">
        <f t="shared" si="28"/>
        <v>5</v>
      </c>
      <c r="X65" s="54">
        <f t="shared" si="29"/>
        <v>2</v>
      </c>
      <c r="Y65" s="54">
        <f t="shared" si="30"/>
        <v>5</v>
      </c>
      <c r="Z65" s="54">
        <f t="shared" si="31"/>
        <v>2</v>
      </c>
      <c r="AA65" s="54">
        <f t="shared" si="32"/>
        <v>5</v>
      </c>
      <c r="AB65" s="54">
        <f t="shared" si="33"/>
        <v>2</v>
      </c>
      <c r="AC65" s="54">
        <f t="shared" si="34"/>
        <v>5</v>
      </c>
      <c r="AD65" s="54">
        <f t="shared" si="35"/>
        <v>2</v>
      </c>
      <c r="AE65" s="54">
        <f t="shared" si="36"/>
        <v>5</v>
      </c>
      <c r="AF65" s="54">
        <f t="shared" si="37"/>
        <v>2</v>
      </c>
      <c r="AG65" s="54">
        <f t="shared" si="38"/>
        <v>5</v>
      </c>
      <c r="AH65" s="54">
        <f t="shared" si="39"/>
        <v>2</v>
      </c>
      <c r="AI65" s="54">
        <f t="shared" si="40"/>
        <v>5</v>
      </c>
      <c r="AJ65" s="54">
        <f t="shared" si="41"/>
        <v>2</v>
      </c>
      <c r="AK65" s="54">
        <f t="shared" si="42"/>
        <v>5</v>
      </c>
      <c r="AL65" s="54">
        <f t="shared" si="43"/>
        <v>2</v>
      </c>
      <c r="AM65" s="54">
        <f t="shared" si="44"/>
        <v>5</v>
      </c>
      <c r="AN65" s="54">
        <f t="shared" si="45"/>
        <v>2</v>
      </c>
      <c r="AO65" s="54">
        <f t="shared" si="46"/>
        <v>5</v>
      </c>
      <c r="AP65" s="54">
        <f t="shared" si="47"/>
        <v>2</v>
      </c>
      <c r="AQ65" s="54">
        <f t="shared" si="48"/>
        <v>5</v>
      </c>
      <c r="AR65" s="54">
        <f t="shared" si="49"/>
        <v>2</v>
      </c>
      <c r="AS65" s="54">
        <f t="shared" si="50"/>
        <v>5</v>
      </c>
      <c r="AT65" s="54">
        <f t="shared" si="51"/>
        <v>2</v>
      </c>
      <c r="AU65" s="54">
        <f t="shared" si="52"/>
        <v>5</v>
      </c>
      <c r="AV65" s="54">
        <f t="shared" si="53"/>
        <v>2</v>
      </c>
      <c r="AW65" s="54">
        <f t="shared" si="54"/>
        <v>5</v>
      </c>
      <c r="AX65" s="54">
        <f t="shared" si="55"/>
        <v>2</v>
      </c>
      <c r="AY65" s="54">
        <f t="shared" si="56"/>
        <v>5</v>
      </c>
      <c r="AZ65" s="54">
        <f t="shared" si="57"/>
        <v>2</v>
      </c>
      <c r="BA65" s="54">
        <f t="shared" si="58"/>
        <v>5</v>
      </c>
      <c r="BB65" s="54">
        <f t="shared" si="59"/>
        <v>2</v>
      </c>
      <c r="BC65" s="54">
        <f t="shared" si="60"/>
        <v>5</v>
      </c>
      <c r="BD65" s="54">
        <f t="shared" si="61"/>
        <v>2</v>
      </c>
      <c r="BE65" s="54">
        <f t="shared" si="62"/>
        <v>5</v>
      </c>
      <c r="BF65" s="54">
        <f t="shared" si="63"/>
        <v>2</v>
      </c>
      <c r="BG65" s="54">
        <f t="shared" si="64"/>
        <v>5</v>
      </c>
      <c r="BH65" s="54">
        <f t="shared" si="65"/>
        <v>2</v>
      </c>
      <c r="BI65" s="54">
        <f t="shared" si="66"/>
        <v>5</v>
      </c>
      <c r="BJ65" s="54">
        <f t="shared" si="67"/>
        <v>2</v>
      </c>
      <c r="BK65" s="54">
        <f t="shared" si="68"/>
        <v>5</v>
      </c>
      <c r="BL65" s="54">
        <f t="shared" si="69"/>
        <v>2</v>
      </c>
      <c r="BM65" s="54">
        <f t="shared" si="70"/>
        <v>5</v>
      </c>
      <c r="BN65" s="54">
        <f t="shared" si="71"/>
        <v>2</v>
      </c>
      <c r="BO65" s="54">
        <f t="shared" si="72"/>
        <v>5</v>
      </c>
      <c r="BP65" s="54">
        <f t="shared" si="73"/>
        <v>2</v>
      </c>
      <c r="BQ65" s="54">
        <f t="shared" si="74"/>
        <v>5</v>
      </c>
      <c r="BR65" s="54">
        <f t="shared" si="75"/>
        <v>2</v>
      </c>
      <c r="BS65" s="54">
        <f t="shared" si="76"/>
        <v>5</v>
      </c>
      <c r="BT65" s="54">
        <f t="shared" si="77"/>
        <v>2</v>
      </c>
      <c r="BU65" s="54">
        <f t="shared" si="78"/>
        <v>5</v>
      </c>
      <c r="BV65" s="54">
        <f t="shared" si="79"/>
        <v>2</v>
      </c>
      <c r="BW65" s="54">
        <f t="shared" si="80"/>
        <v>5</v>
      </c>
      <c r="BX65" s="54">
        <f t="shared" si="81"/>
        <v>2</v>
      </c>
      <c r="BY65" s="54">
        <f t="shared" si="82"/>
        <v>5</v>
      </c>
      <c r="BZ65" s="54">
        <f t="shared" si="83"/>
        <v>2</v>
      </c>
      <c r="CA65" s="54">
        <f t="shared" si="84"/>
        <v>5</v>
      </c>
      <c r="CB65" s="54">
        <f t="shared" si="85"/>
        <v>2</v>
      </c>
      <c r="CC65" s="54">
        <f t="shared" si="86"/>
        <v>5</v>
      </c>
      <c r="CD65" s="54">
        <f t="shared" si="87"/>
        <v>2</v>
      </c>
      <c r="CE65" s="54">
        <f t="shared" si="88"/>
        <v>5</v>
      </c>
      <c r="CF65" s="54">
        <f t="shared" si="89"/>
        <v>2</v>
      </c>
      <c r="CG65" s="54">
        <f t="shared" si="90"/>
        <v>5</v>
      </c>
      <c r="CH65" s="54">
        <f t="shared" si="91"/>
        <v>2</v>
      </c>
      <c r="CI65" s="54">
        <f t="shared" si="92"/>
        <v>5</v>
      </c>
      <c r="CJ65" s="54">
        <f t="shared" si="93"/>
        <v>2</v>
      </c>
      <c r="CK65" s="54">
        <f t="shared" si="94"/>
        <v>5</v>
      </c>
      <c r="CL65" s="54">
        <f t="shared" si="95"/>
        <v>2</v>
      </c>
      <c r="CM65" s="54">
        <f t="shared" si="96"/>
        <v>5</v>
      </c>
      <c r="CN65" s="54">
        <f t="shared" si="97"/>
        <v>2</v>
      </c>
      <c r="CO65" s="54">
        <f t="shared" si="98"/>
        <v>5</v>
      </c>
      <c r="CP65" s="54">
        <f t="shared" si="99"/>
        <v>2</v>
      </c>
      <c r="CQ65" s="54">
        <f t="shared" si="100"/>
        <v>5</v>
      </c>
      <c r="CR65" s="54">
        <f t="shared" si="101"/>
        <v>2</v>
      </c>
      <c r="CS65" s="54">
        <f t="shared" si="102"/>
        <v>5</v>
      </c>
      <c r="CT65" s="54">
        <f t="shared" si="103"/>
        <v>2</v>
      </c>
      <c r="CU65" s="54">
        <f t="shared" si="104"/>
        <v>5</v>
      </c>
      <c r="CV65" s="54">
        <f t="shared" si="105"/>
        <v>2</v>
      </c>
      <c r="CW65" s="54">
        <f t="shared" si="106"/>
        <v>5</v>
      </c>
      <c r="CX65" s="54">
        <f t="shared" si="107"/>
        <v>2</v>
      </c>
      <c r="CY65" s="54">
        <f t="shared" si="108"/>
        <v>5</v>
      </c>
      <c r="CZ65" s="54">
        <f t="shared" si="109"/>
        <v>2</v>
      </c>
      <c r="DA65" s="54">
        <f t="shared" si="110"/>
        <v>5</v>
      </c>
      <c r="DB65" s="54">
        <f t="shared" si="111"/>
        <v>2</v>
      </c>
      <c r="DC65" s="54">
        <f t="shared" si="112"/>
        <v>5</v>
      </c>
      <c r="DD65" s="54">
        <f t="shared" si="113"/>
        <v>2</v>
      </c>
      <c r="DE65" s="54">
        <f t="shared" si="114"/>
        <v>5</v>
      </c>
      <c r="DF65" s="54">
        <f t="shared" si="115"/>
        <v>2</v>
      </c>
      <c r="DG65" s="54">
        <f t="shared" si="116"/>
        <v>5</v>
      </c>
      <c r="DH65" s="54">
        <f t="shared" si="117"/>
        <v>2</v>
      </c>
      <c r="DI65" s="54">
        <f t="shared" si="118"/>
        <v>5</v>
      </c>
      <c r="DJ65" s="54">
        <f t="shared" si="119"/>
        <v>2</v>
      </c>
      <c r="DK65" s="54">
        <f t="shared" si="120"/>
        <v>5</v>
      </c>
      <c r="DL65" s="54">
        <f t="shared" si="121"/>
        <v>2</v>
      </c>
      <c r="DM65" s="54">
        <f t="shared" si="122"/>
        <v>5</v>
      </c>
      <c r="DN65" s="54">
        <f t="shared" si="123"/>
        <v>2</v>
      </c>
      <c r="DO65" s="54">
        <f t="shared" si="124"/>
        <v>5</v>
      </c>
      <c r="DP65" s="54">
        <f t="shared" si="125"/>
        <v>2</v>
      </c>
      <c r="DQ65" s="54">
        <f t="shared" si="126"/>
        <v>5</v>
      </c>
      <c r="DR65" s="54">
        <f t="shared" si="127"/>
        <v>2</v>
      </c>
      <c r="DS65" s="54">
        <f t="shared" si="128"/>
        <v>5</v>
      </c>
      <c r="DT65" s="54">
        <f t="shared" si="129"/>
        <v>2</v>
      </c>
      <c r="DU65" s="54">
        <f t="shared" si="130"/>
        <v>5</v>
      </c>
      <c r="DV65" s="54">
        <f t="shared" si="131"/>
        <v>2</v>
      </c>
      <c r="DW65" s="54">
        <f t="shared" si="132"/>
        <v>5</v>
      </c>
      <c r="DX65" s="54">
        <f t="shared" si="133"/>
        <v>2</v>
      </c>
      <c r="DY65" s="54">
        <f t="shared" si="134"/>
        <v>5</v>
      </c>
      <c r="DZ65" s="54">
        <f t="shared" si="135"/>
        <v>2</v>
      </c>
      <c r="EA65" s="54">
        <f t="shared" si="134"/>
        <v>5</v>
      </c>
      <c r="EB65" s="54">
        <f t="shared" si="135"/>
        <v>2</v>
      </c>
      <c r="EC65" s="54">
        <f t="shared" si="135"/>
        <v>5</v>
      </c>
      <c r="ED65" s="54">
        <f t="shared" si="173"/>
        <v>2</v>
      </c>
      <c r="EE65" s="54">
        <f t="shared" si="174"/>
        <v>5</v>
      </c>
      <c r="EF65" s="54">
        <f t="shared" si="175"/>
        <v>2</v>
      </c>
      <c r="EG65" s="54">
        <f t="shared" ref="EG65:EN65" si="203">EG64</f>
        <v>5</v>
      </c>
      <c r="EH65" s="54">
        <f t="shared" si="203"/>
        <v>2</v>
      </c>
      <c r="EI65" s="54">
        <f t="shared" si="203"/>
        <v>5</v>
      </c>
      <c r="EJ65" s="54">
        <f t="shared" si="203"/>
        <v>2</v>
      </c>
      <c r="EK65" s="54">
        <f t="shared" si="203"/>
        <v>5</v>
      </c>
      <c r="EL65" s="54">
        <f t="shared" si="203"/>
        <v>2</v>
      </c>
      <c r="EM65" s="54">
        <f t="shared" si="203"/>
        <v>5</v>
      </c>
      <c r="EN65" s="54">
        <f t="shared" si="203"/>
        <v>2</v>
      </c>
      <c r="EO65" s="54">
        <f t="shared" si="171"/>
        <v>2</v>
      </c>
      <c r="EP65" s="54">
        <f t="shared" si="172"/>
        <v>2</v>
      </c>
    </row>
    <row r="66" spans="1:146" x14ac:dyDescent="0.2">
      <c r="B66" t="s">
        <v>230</v>
      </c>
      <c r="C66" s="54">
        <f t="shared" si="9"/>
        <v>45474</v>
      </c>
      <c r="D66" s="54">
        <f t="shared" si="1"/>
        <v>1</v>
      </c>
      <c r="E66" s="54">
        <f t="shared" si="10"/>
        <v>4</v>
      </c>
      <c r="F66" s="54">
        <f t="shared" si="11"/>
        <v>2</v>
      </c>
      <c r="G66" s="54">
        <f t="shared" si="12"/>
        <v>5</v>
      </c>
      <c r="H66" s="54">
        <f t="shared" si="13"/>
        <v>2</v>
      </c>
      <c r="I66" s="54">
        <f t="shared" si="14"/>
        <v>5</v>
      </c>
      <c r="J66" s="54">
        <f t="shared" si="15"/>
        <v>2</v>
      </c>
      <c r="K66" s="54">
        <f t="shared" si="16"/>
        <v>5</v>
      </c>
      <c r="L66" s="54">
        <f t="shared" si="17"/>
        <v>2</v>
      </c>
      <c r="M66" s="54">
        <f t="shared" si="18"/>
        <v>5</v>
      </c>
      <c r="N66" s="54">
        <f t="shared" si="19"/>
        <v>2</v>
      </c>
      <c r="O66" s="54">
        <f t="shared" si="20"/>
        <v>5</v>
      </c>
      <c r="P66" s="54">
        <f t="shared" si="21"/>
        <v>2</v>
      </c>
      <c r="Q66" s="54">
        <f t="shared" si="22"/>
        <v>5</v>
      </c>
      <c r="R66" s="54">
        <f t="shared" si="23"/>
        <v>2</v>
      </c>
      <c r="S66" s="54">
        <f t="shared" si="24"/>
        <v>5</v>
      </c>
      <c r="T66" s="54">
        <f t="shared" si="25"/>
        <v>2</v>
      </c>
      <c r="U66" s="54">
        <f t="shared" si="26"/>
        <v>5</v>
      </c>
      <c r="V66" s="54">
        <f t="shared" si="27"/>
        <v>2</v>
      </c>
      <c r="W66" s="54">
        <f t="shared" si="28"/>
        <v>5</v>
      </c>
      <c r="X66" s="54">
        <f t="shared" si="29"/>
        <v>2</v>
      </c>
      <c r="Y66" s="54">
        <f t="shared" si="30"/>
        <v>5</v>
      </c>
      <c r="Z66" s="54">
        <f t="shared" si="31"/>
        <v>2</v>
      </c>
      <c r="AA66" s="54">
        <f t="shared" si="32"/>
        <v>5</v>
      </c>
      <c r="AB66" s="54">
        <f t="shared" si="33"/>
        <v>2</v>
      </c>
      <c r="AC66" s="54">
        <f t="shared" si="34"/>
        <v>5</v>
      </c>
      <c r="AD66" s="54">
        <f t="shared" si="35"/>
        <v>2</v>
      </c>
      <c r="AE66" s="54">
        <f t="shared" si="36"/>
        <v>5</v>
      </c>
      <c r="AF66" s="54">
        <f t="shared" si="37"/>
        <v>2</v>
      </c>
      <c r="AG66" s="54">
        <f t="shared" si="38"/>
        <v>5</v>
      </c>
      <c r="AH66" s="54">
        <f t="shared" si="39"/>
        <v>2</v>
      </c>
      <c r="AI66" s="54">
        <f t="shared" si="40"/>
        <v>5</v>
      </c>
      <c r="AJ66" s="54">
        <f t="shared" si="41"/>
        <v>2</v>
      </c>
      <c r="AK66" s="54">
        <f t="shared" si="42"/>
        <v>5</v>
      </c>
      <c r="AL66" s="54">
        <f t="shared" si="43"/>
        <v>2</v>
      </c>
      <c r="AM66" s="54">
        <f t="shared" si="44"/>
        <v>5</v>
      </c>
      <c r="AN66" s="54">
        <f t="shared" si="45"/>
        <v>2</v>
      </c>
      <c r="AO66" s="54">
        <f t="shared" si="46"/>
        <v>5</v>
      </c>
      <c r="AP66" s="54">
        <f t="shared" si="47"/>
        <v>2</v>
      </c>
      <c r="AQ66" s="54">
        <f t="shared" si="48"/>
        <v>5</v>
      </c>
      <c r="AR66" s="54">
        <f t="shared" si="49"/>
        <v>2</v>
      </c>
      <c r="AS66" s="54">
        <f t="shared" si="50"/>
        <v>5</v>
      </c>
      <c r="AT66" s="54">
        <f t="shared" si="51"/>
        <v>2</v>
      </c>
      <c r="AU66" s="54">
        <f t="shared" si="52"/>
        <v>5</v>
      </c>
      <c r="AV66" s="54">
        <f t="shared" si="53"/>
        <v>2</v>
      </c>
      <c r="AW66" s="54">
        <f t="shared" si="54"/>
        <v>5</v>
      </c>
      <c r="AX66" s="54">
        <f t="shared" si="55"/>
        <v>2</v>
      </c>
      <c r="AY66" s="54">
        <f t="shared" si="56"/>
        <v>5</v>
      </c>
      <c r="AZ66" s="54">
        <f t="shared" si="57"/>
        <v>2</v>
      </c>
      <c r="BA66" s="54">
        <f t="shared" si="58"/>
        <v>5</v>
      </c>
      <c r="BB66" s="54">
        <f t="shared" si="59"/>
        <v>2</v>
      </c>
      <c r="BC66" s="54">
        <f t="shared" si="60"/>
        <v>5</v>
      </c>
      <c r="BD66" s="54">
        <f t="shared" si="61"/>
        <v>2</v>
      </c>
      <c r="BE66" s="54">
        <f t="shared" si="62"/>
        <v>5</v>
      </c>
      <c r="BF66" s="54">
        <f t="shared" si="63"/>
        <v>2</v>
      </c>
      <c r="BG66" s="54">
        <f t="shared" si="64"/>
        <v>5</v>
      </c>
      <c r="BH66" s="54">
        <f t="shared" si="65"/>
        <v>2</v>
      </c>
      <c r="BI66" s="54">
        <f t="shared" si="66"/>
        <v>5</v>
      </c>
      <c r="BJ66" s="54">
        <f t="shared" si="67"/>
        <v>2</v>
      </c>
      <c r="BK66" s="54">
        <f t="shared" si="68"/>
        <v>5</v>
      </c>
      <c r="BL66" s="54">
        <f t="shared" si="69"/>
        <v>2</v>
      </c>
      <c r="BM66" s="54">
        <f t="shared" si="70"/>
        <v>5</v>
      </c>
      <c r="BN66" s="54">
        <f t="shared" si="71"/>
        <v>2</v>
      </c>
      <c r="BO66" s="54">
        <f t="shared" si="72"/>
        <v>5</v>
      </c>
      <c r="BP66" s="54">
        <f t="shared" si="73"/>
        <v>2</v>
      </c>
      <c r="BQ66" s="54">
        <f t="shared" si="74"/>
        <v>5</v>
      </c>
      <c r="BR66" s="54">
        <f t="shared" si="75"/>
        <v>2</v>
      </c>
      <c r="BS66" s="54">
        <f t="shared" si="76"/>
        <v>5</v>
      </c>
      <c r="BT66" s="54">
        <f t="shared" si="77"/>
        <v>2</v>
      </c>
      <c r="BU66" s="54">
        <f t="shared" si="78"/>
        <v>5</v>
      </c>
      <c r="BV66" s="54">
        <f t="shared" si="79"/>
        <v>2</v>
      </c>
      <c r="BW66" s="54">
        <f t="shared" si="80"/>
        <v>5</v>
      </c>
      <c r="BX66" s="54">
        <f t="shared" si="81"/>
        <v>2</v>
      </c>
      <c r="BY66" s="54">
        <f t="shared" si="82"/>
        <v>5</v>
      </c>
      <c r="BZ66" s="54">
        <f t="shared" si="83"/>
        <v>2</v>
      </c>
      <c r="CA66" s="54">
        <f t="shared" si="84"/>
        <v>5</v>
      </c>
      <c r="CB66" s="54">
        <f t="shared" si="85"/>
        <v>2</v>
      </c>
      <c r="CC66" s="54">
        <f t="shared" si="86"/>
        <v>5</v>
      </c>
      <c r="CD66" s="54">
        <f t="shared" si="87"/>
        <v>2</v>
      </c>
      <c r="CE66" s="54">
        <f t="shared" si="88"/>
        <v>5</v>
      </c>
      <c r="CF66" s="54">
        <f t="shared" si="89"/>
        <v>2</v>
      </c>
      <c r="CG66" s="54">
        <f t="shared" si="90"/>
        <v>5</v>
      </c>
      <c r="CH66" s="54">
        <f t="shared" si="91"/>
        <v>2</v>
      </c>
      <c r="CI66" s="54">
        <f t="shared" si="92"/>
        <v>5</v>
      </c>
      <c r="CJ66" s="54">
        <f t="shared" si="93"/>
        <v>2</v>
      </c>
      <c r="CK66" s="54">
        <f t="shared" si="94"/>
        <v>5</v>
      </c>
      <c r="CL66" s="54">
        <f t="shared" si="95"/>
        <v>2</v>
      </c>
      <c r="CM66" s="54">
        <f t="shared" si="96"/>
        <v>5</v>
      </c>
      <c r="CN66" s="54">
        <f t="shared" si="97"/>
        <v>2</v>
      </c>
      <c r="CO66" s="54">
        <f t="shared" si="98"/>
        <v>5</v>
      </c>
      <c r="CP66" s="54">
        <f t="shared" si="99"/>
        <v>2</v>
      </c>
      <c r="CQ66" s="54">
        <f t="shared" si="100"/>
        <v>5</v>
      </c>
      <c r="CR66" s="54">
        <f t="shared" si="101"/>
        <v>2</v>
      </c>
      <c r="CS66" s="54">
        <f t="shared" si="102"/>
        <v>5</v>
      </c>
      <c r="CT66" s="54">
        <f t="shared" si="103"/>
        <v>2</v>
      </c>
      <c r="CU66" s="54">
        <f t="shared" si="104"/>
        <v>5</v>
      </c>
      <c r="CV66" s="54">
        <f t="shared" si="105"/>
        <v>2</v>
      </c>
      <c r="CW66" s="54">
        <f t="shared" si="106"/>
        <v>5</v>
      </c>
      <c r="CX66" s="54">
        <f t="shared" si="107"/>
        <v>2</v>
      </c>
      <c r="CY66" s="54">
        <f t="shared" si="108"/>
        <v>5</v>
      </c>
      <c r="CZ66" s="54">
        <f t="shared" si="109"/>
        <v>2</v>
      </c>
      <c r="DA66" s="54">
        <f t="shared" si="110"/>
        <v>5</v>
      </c>
      <c r="DB66" s="54">
        <f t="shared" si="111"/>
        <v>2</v>
      </c>
      <c r="DC66" s="54">
        <f t="shared" si="112"/>
        <v>5</v>
      </c>
      <c r="DD66" s="54">
        <f t="shared" si="113"/>
        <v>2</v>
      </c>
      <c r="DE66" s="54">
        <f t="shared" si="114"/>
        <v>5</v>
      </c>
      <c r="DF66" s="54">
        <f t="shared" si="115"/>
        <v>2</v>
      </c>
      <c r="DG66" s="54">
        <f t="shared" si="116"/>
        <v>5</v>
      </c>
      <c r="DH66" s="54">
        <f t="shared" si="117"/>
        <v>2</v>
      </c>
      <c r="DI66" s="54">
        <f t="shared" si="118"/>
        <v>5</v>
      </c>
      <c r="DJ66" s="54">
        <f t="shared" si="119"/>
        <v>2</v>
      </c>
      <c r="DK66" s="54">
        <f t="shared" si="120"/>
        <v>5</v>
      </c>
      <c r="DL66" s="54">
        <f t="shared" si="121"/>
        <v>2</v>
      </c>
      <c r="DM66" s="54">
        <f t="shared" si="122"/>
        <v>5</v>
      </c>
      <c r="DN66" s="54">
        <f t="shared" si="123"/>
        <v>2</v>
      </c>
      <c r="DO66" s="54">
        <f t="shared" si="124"/>
        <v>5</v>
      </c>
      <c r="DP66" s="54">
        <f t="shared" si="125"/>
        <v>2</v>
      </c>
      <c r="DQ66" s="54">
        <f t="shared" si="126"/>
        <v>5</v>
      </c>
      <c r="DR66" s="54">
        <f t="shared" si="127"/>
        <v>2</v>
      </c>
      <c r="DS66" s="54">
        <f t="shared" si="128"/>
        <v>5</v>
      </c>
      <c r="DT66" s="54">
        <f t="shared" si="129"/>
        <v>2</v>
      </c>
      <c r="DU66" s="54">
        <f t="shared" si="130"/>
        <v>5</v>
      </c>
      <c r="DV66" s="54">
        <f t="shared" si="131"/>
        <v>2</v>
      </c>
      <c r="DW66" s="54">
        <f t="shared" si="132"/>
        <v>5</v>
      </c>
      <c r="DX66" s="54">
        <f t="shared" si="133"/>
        <v>2</v>
      </c>
      <c r="DY66" s="54">
        <f t="shared" si="134"/>
        <v>5</v>
      </c>
      <c r="DZ66" s="54">
        <f t="shared" si="135"/>
        <v>2</v>
      </c>
      <c r="EA66" s="54">
        <f t="shared" si="134"/>
        <v>5</v>
      </c>
      <c r="EB66" s="54">
        <f t="shared" si="135"/>
        <v>2</v>
      </c>
      <c r="EC66" s="54">
        <f t="shared" si="135"/>
        <v>5</v>
      </c>
      <c r="ED66" s="54">
        <f t="shared" si="173"/>
        <v>2</v>
      </c>
      <c r="EE66" s="54">
        <f t="shared" si="174"/>
        <v>5</v>
      </c>
      <c r="EF66" s="54">
        <f t="shared" si="175"/>
        <v>2</v>
      </c>
      <c r="EG66" s="54">
        <f t="shared" ref="EG66:EN66" si="204">EG65</f>
        <v>5</v>
      </c>
      <c r="EH66" s="54">
        <f t="shared" si="204"/>
        <v>2</v>
      </c>
      <c r="EI66" s="54">
        <f t="shared" si="204"/>
        <v>5</v>
      </c>
      <c r="EJ66" s="54">
        <f t="shared" si="204"/>
        <v>2</v>
      </c>
      <c r="EK66" s="54">
        <f t="shared" si="204"/>
        <v>5</v>
      </c>
      <c r="EL66" s="54">
        <f t="shared" si="204"/>
        <v>2</v>
      </c>
      <c r="EM66" s="54">
        <f t="shared" si="204"/>
        <v>5</v>
      </c>
      <c r="EN66" s="54">
        <f t="shared" si="204"/>
        <v>2</v>
      </c>
      <c r="EO66" s="54">
        <f t="shared" si="171"/>
        <v>2</v>
      </c>
      <c r="EP66" s="54">
        <f t="shared" si="172"/>
        <v>2</v>
      </c>
    </row>
    <row r="67" spans="1:146" x14ac:dyDescent="0.2">
      <c r="B67" t="s">
        <v>230</v>
      </c>
      <c r="C67" s="54">
        <f t="shared" si="9"/>
        <v>45474</v>
      </c>
      <c r="D67" s="54">
        <f t="shared" si="1"/>
        <v>1</v>
      </c>
      <c r="E67" s="54">
        <f t="shared" si="10"/>
        <v>4</v>
      </c>
      <c r="F67" s="54">
        <f t="shared" si="11"/>
        <v>2</v>
      </c>
      <c r="G67" s="54">
        <f t="shared" si="12"/>
        <v>5</v>
      </c>
      <c r="H67" s="54">
        <f t="shared" si="13"/>
        <v>2</v>
      </c>
      <c r="I67" s="54">
        <f t="shared" si="14"/>
        <v>5</v>
      </c>
      <c r="J67" s="54">
        <f t="shared" si="15"/>
        <v>2</v>
      </c>
      <c r="K67" s="54">
        <f t="shared" si="16"/>
        <v>5</v>
      </c>
      <c r="L67" s="54">
        <f t="shared" si="17"/>
        <v>2</v>
      </c>
      <c r="M67" s="54">
        <f t="shared" si="18"/>
        <v>5</v>
      </c>
      <c r="N67" s="54">
        <f t="shared" si="19"/>
        <v>2</v>
      </c>
      <c r="O67" s="54">
        <f t="shared" si="20"/>
        <v>5</v>
      </c>
      <c r="P67" s="54">
        <f t="shared" si="21"/>
        <v>2</v>
      </c>
      <c r="Q67" s="54">
        <f t="shared" si="22"/>
        <v>5</v>
      </c>
      <c r="R67" s="54">
        <f t="shared" si="23"/>
        <v>2</v>
      </c>
      <c r="S67" s="54">
        <f t="shared" si="24"/>
        <v>5</v>
      </c>
      <c r="T67" s="54">
        <f t="shared" si="25"/>
        <v>2</v>
      </c>
      <c r="U67" s="54">
        <f t="shared" si="26"/>
        <v>5</v>
      </c>
      <c r="V67" s="54">
        <f t="shared" si="27"/>
        <v>2</v>
      </c>
      <c r="W67" s="54">
        <f t="shared" si="28"/>
        <v>5</v>
      </c>
      <c r="X67" s="54">
        <f t="shared" si="29"/>
        <v>2</v>
      </c>
      <c r="Y67" s="54">
        <f t="shared" si="30"/>
        <v>5</v>
      </c>
      <c r="Z67" s="54">
        <f t="shared" si="31"/>
        <v>2</v>
      </c>
      <c r="AA67" s="54">
        <f t="shared" si="32"/>
        <v>5</v>
      </c>
      <c r="AB67" s="54">
        <f t="shared" si="33"/>
        <v>2</v>
      </c>
      <c r="AC67" s="54">
        <f t="shared" si="34"/>
        <v>5</v>
      </c>
      <c r="AD67" s="54">
        <f t="shared" si="35"/>
        <v>2</v>
      </c>
      <c r="AE67" s="54">
        <f t="shared" si="36"/>
        <v>5</v>
      </c>
      <c r="AF67" s="54">
        <f t="shared" si="37"/>
        <v>2</v>
      </c>
      <c r="AG67" s="54">
        <f t="shared" si="38"/>
        <v>5</v>
      </c>
      <c r="AH67" s="54">
        <f t="shared" si="39"/>
        <v>2</v>
      </c>
      <c r="AI67" s="54">
        <f t="shared" si="40"/>
        <v>5</v>
      </c>
      <c r="AJ67" s="54">
        <f t="shared" si="41"/>
        <v>2</v>
      </c>
      <c r="AK67" s="54">
        <f t="shared" si="42"/>
        <v>5</v>
      </c>
      <c r="AL67" s="54">
        <f t="shared" si="43"/>
        <v>2</v>
      </c>
      <c r="AM67" s="54">
        <f t="shared" si="44"/>
        <v>5</v>
      </c>
      <c r="AN67" s="54">
        <f t="shared" si="45"/>
        <v>2</v>
      </c>
      <c r="AO67" s="54">
        <f t="shared" si="46"/>
        <v>5</v>
      </c>
      <c r="AP67" s="54">
        <f t="shared" si="47"/>
        <v>2</v>
      </c>
      <c r="AQ67" s="54">
        <f t="shared" si="48"/>
        <v>5</v>
      </c>
      <c r="AR67" s="54">
        <f t="shared" si="49"/>
        <v>2</v>
      </c>
      <c r="AS67" s="54">
        <f t="shared" si="50"/>
        <v>5</v>
      </c>
      <c r="AT67" s="54">
        <f t="shared" si="51"/>
        <v>2</v>
      </c>
      <c r="AU67" s="54">
        <f t="shared" si="52"/>
        <v>5</v>
      </c>
      <c r="AV67" s="54">
        <f t="shared" si="53"/>
        <v>2</v>
      </c>
      <c r="AW67" s="54">
        <f t="shared" si="54"/>
        <v>5</v>
      </c>
      <c r="AX67" s="54">
        <f t="shared" si="55"/>
        <v>2</v>
      </c>
      <c r="AY67" s="54">
        <f t="shared" si="56"/>
        <v>5</v>
      </c>
      <c r="AZ67" s="54">
        <f t="shared" si="57"/>
        <v>2</v>
      </c>
      <c r="BA67" s="54">
        <f t="shared" si="58"/>
        <v>5</v>
      </c>
      <c r="BB67" s="54">
        <f t="shared" si="59"/>
        <v>2</v>
      </c>
      <c r="BC67" s="54">
        <f t="shared" si="60"/>
        <v>5</v>
      </c>
      <c r="BD67" s="54">
        <f t="shared" si="61"/>
        <v>2</v>
      </c>
      <c r="BE67" s="54">
        <f t="shared" si="62"/>
        <v>5</v>
      </c>
      <c r="BF67" s="54">
        <f t="shared" si="63"/>
        <v>2</v>
      </c>
      <c r="BG67" s="54">
        <f t="shared" si="64"/>
        <v>5</v>
      </c>
      <c r="BH67" s="54">
        <f t="shared" si="65"/>
        <v>2</v>
      </c>
      <c r="BI67" s="54">
        <f t="shared" si="66"/>
        <v>5</v>
      </c>
      <c r="BJ67" s="54">
        <f t="shared" si="67"/>
        <v>2</v>
      </c>
      <c r="BK67" s="54">
        <f t="shared" si="68"/>
        <v>5</v>
      </c>
      <c r="BL67" s="54">
        <f t="shared" si="69"/>
        <v>2</v>
      </c>
      <c r="BM67" s="54">
        <f t="shared" si="70"/>
        <v>5</v>
      </c>
      <c r="BN67" s="54">
        <f t="shared" si="71"/>
        <v>2</v>
      </c>
      <c r="BO67" s="54">
        <f t="shared" si="72"/>
        <v>5</v>
      </c>
      <c r="BP67" s="54">
        <f t="shared" si="73"/>
        <v>2</v>
      </c>
      <c r="BQ67" s="54">
        <f t="shared" si="74"/>
        <v>5</v>
      </c>
      <c r="BR67" s="54">
        <f t="shared" si="75"/>
        <v>2</v>
      </c>
      <c r="BS67" s="54">
        <f t="shared" si="76"/>
        <v>5</v>
      </c>
      <c r="BT67" s="54">
        <f t="shared" si="77"/>
        <v>2</v>
      </c>
      <c r="BU67" s="54">
        <f t="shared" si="78"/>
        <v>5</v>
      </c>
      <c r="BV67" s="54">
        <f t="shared" si="79"/>
        <v>2</v>
      </c>
      <c r="BW67" s="54">
        <f t="shared" si="80"/>
        <v>5</v>
      </c>
      <c r="BX67" s="54">
        <f t="shared" si="81"/>
        <v>2</v>
      </c>
      <c r="BY67" s="54">
        <f t="shared" si="82"/>
        <v>5</v>
      </c>
      <c r="BZ67" s="54">
        <f t="shared" si="83"/>
        <v>2</v>
      </c>
      <c r="CA67" s="54">
        <f t="shared" si="84"/>
        <v>5</v>
      </c>
      <c r="CB67" s="54">
        <f t="shared" si="85"/>
        <v>2</v>
      </c>
      <c r="CC67" s="54">
        <f t="shared" si="86"/>
        <v>5</v>
      </c>
      <c r="CD67" s="54">
        <f t="shared" si="87"/>
        <v>2</v>
      </c>
      <c r="CE67" s="54">
        <f t="shared" si="88"/>
        <v>5</v>
      </c>
      <c r="CF67" s="54">
        <f t="shared" si="89"/>
        <v>2</v>
      </c>
      <c r="CG67" s="54">
        <f t="shared" si="90"/>
        <v>5</v>
      </c>
      <c r="CH67" s="54">
        <f t="shared" si="91"/>
        <v>2</v>
      </c>
      <c r="CI67" s="54">
        <f t="shared" si="92"/>
        <v>5</v>
      </c>
      <c r="CJ67" s="54">
        <f t="shared" si="93"/>
        <v>2</v>
      </c>
      <c r="CK67" s="54">
        <f t="shared" si="94"/>
        <v>5</v>
      </c>
      <c r="CL67" s="54">
        <f t="shared" si="95"/>
        <v>2</v>
      </c>
      <c r="CM67" s="54">
        <f t="shared" si="96"/>
        <v>5</v>
      </c>
      <c r="CN67" s="54">
        <f t="shared" si="97"/>
        <v>2</v>
      </c>
      <c r="CO67" s="54">
        <f t="shared" si="98"/>
        <v>5</v>
      </c>
      <c r="CP67" s="54">
        <f t="shared" si="99"/>
        <v>2</v>
      </c>
      <c r="CQ67" s="54">
        <f t="shared" si="100"/>
        <v>5</v>
      </c>
      <c r="CR67" s="54">
        <f t="shared" si="101"/>
        <v>2</v>
      </c>
      <c r="CS67" s="54">
        <f t="shared" si="102"/>
        <v>5</v>
      </c>
      <c r="CT67" s="54">
        <f t="shared" si="103"/>
        <v>2</v>
      </c>
      <c r="CU67" s="54">
        <f t="shared" si="104"/>
        <v>5</v>
      </c>
      <c r="CV67" s="54">
        <f t="shared" si="105"/>
        <v>2</v>
      </c>
      <c r="CW67" s="54">
        <f t="shared" si="106"/>
        <v>5</v>
      </c>
      <c r="CX67" s="54">
        <f t="shared" si="107"/>
        <v>2</v>
      </c>
      <c r="CY67" s="54">
        <f t="shared" si="108"/>
        <v>5</v>
      </c>
      <c r="CZ67" s="54">
        <f t="shared" si="109"/>
        <v>2</v>
      </c>
      <c r="DA67" s="54">
        <f t="shared" si="110"/>
        <v>5</v>
      </c>
      <c r="DB67" s="54">
        <f t="shared" si="111"/>
        <v>2</v>
      </c>
      <c r="DC67" s="54">
        <f t="shared" si="112"/>
        <v>5</v>
      </c>
      <c r="DD67" s="54">
        <f t="shared" si="113"/>
        <v>2</v>
      </c>
      <c r="DE67" s="54">
        <f t="shared" si="114"/>
        <v>5</v>
      </c>
      <c r="DF67" s="54">
        <f t="shared" si="115"/>
        <v>2</v>
      </c>
      <c r="DG67" s="54">
        <f t="shared" si="116"/>
        <v>5</v>
      </c>
      <c r="DH67" s="54">
        <f t="shared" si="117"/>
        <v>2</v>
      </c>
      <c r="DI67" s="54">
        <f t="shared" si="118"/>
        <v>5</v>
      </c>
      <c r="DJ67" s="54">
        <f t="shared" si="119"/>
        <v>2</v>
      </c>
      <c r="DK67" s="54">
        <f t="shared" si="120"/>
        <v>5</v>
      </c>
      <c r="DL67" s="54">
        <f t="shared" si="121"/>
        <v>2</v>
      </c>
      <c r="DM67" s="54">
        <f t="shared" si="122"/>
        <v>5</v>
      </c>
      <c r="DN67" s="54">
        <f t="shared" si="123"/>
        <v>2</v>
      </c>
      <c r="DO67" s="54">
        <f t="shared" si="124"/>
        <v>5</v>
      </c>
      <c r="DP67" s="54">
        <f t="shared" si="125"/>
        <v>2</v>
      </c>
      <c r="DQ67" s="54">
        <f t="shared" si="126"/>
        <v>5</v>
      </c>
      <c r="DR67" s="54">
        <f t="shared" si="127"/>
        <v>2</v>
      </c>
      <c r="DS67" s="54">
        <f t="shared" si="128"/>
        <v>5</v>
      </c>
      <c r="DT67" s="54">
        <f t="shared" si="129"/>
        <v>2</v>
      </c>
      <c r="DU67" s="54">
        <f t="shared" si="130"/>
        <v>5</v>
      </c>
      <c r="DV67" s="54">
        <f t="shared" si="131"/>
        <v>2</v>
      </c>
      <c r="DW67" s="54">
        <f t="shared" si="132"/>
        <v>5</v>
      </c>
      <c r="DX67" s="54">
        <f t="shared" si="133"/>
        <v>2</v>
      </c>
      <c r="DY67" s="54">
        <f t="shared" si="134"/>
        <v>5</v>
      </c>
      <c r="DZ67" s="54">
        <f t="shared" si="135"/>
        <v>2</v>
      </c>
      <c r="EA67" s="54">
        <f t="shared" si="134"/>
        <v>5</v>
      </c>
      <c r="EB67" s="54">
        <f t="shared" si="135"/>
        <v>2</v>
      </c>
      <c r="EC67" s="54">
        <f t="shared" si="135"/>
        <v>5</v>
      </c>
      <c r="ED67" s="54">
        <f t="shared" si="173"/>
        <v>2</v>
      </c>
      <c r="EE67" s="54">
        <f t="shared" si="174"/>
        <v>5</v>
      </c>
      <c r="EF67" s="54">
        <f t="shared" si="175"/>
        <v>2</v>
      </c>
      <c r="EG67" s="54">
        <f t="shared" ref="EG67:EN67" si="205">EG66</f>
        <v>5</v>
      </c>
      <c r="EH67" s="54">
        <f t="shared" si="205"/>
        <v>2</v>
      </c>
      <c r="EI67" s="54">
        <f t="shared" si="205"/>
        <v>5</v>
      </c>
      <c r="EJ67" s="54">
        <f t="shared" si="205"/>
        <v>2</v>
      </c>
      <c r="EK67" s="54">
        <f t="shared" si="205"/>
        <v>5</v>
      </c>
      <c r="EL67" s="54">
        <f t="shared" si="205"/>
        <v>2</v>
      </c>
      <c r="EM67" s="54">
        <f t="shared" si="205"/>
        <v>5</v>
      </c>
      <c r="EN67" s="54">
        <f t="shared" si="205"/>
        <v>2</v>
      </c>
      <c r="EO67" s="54">
        <f t="shared" si="171"/>
        <v>2</v>
      </c>
      <c r="EP67" s="54">
        <f t="shared" si="172"/>
        <v>2</v>
      </c>
    </row>
    <row r="68" spans="1:146" x14ac:dyDescent="0.2">
      <c r="A68" s="54"/>
      <c r="B68" t="s">
        <v>230</v>
      </c>
      <c r="C68" s="54">
        <f t="shared" si="9"/>
        <v>45474</v>
      </c>
      <c r="D68" s="54">
        <f t="shared" si="1"/>
        <v>1</v>
      </c>
      <c r="E68" s="54">
        <f t="shared" si="10"/>
        <v>4</v>
      </c>
      <c r="F68" s="54">
        <f t="shared" si="11"/>
        <v>2</v>
      </c>
      <c r="G68" s="54">
        <f t="shared" si="12"/>
        <v>5</v>
      </c>
      <c r="H68" s="54">
        <f t="shared" si="13"/>
        <v>2</v>
      </c>
      <c r="I68" s="54">
        <f t="shared" si="14"/>
        <v>5</v>
      </c>
      <c r="J68" s="54">
        <f t="shared" si="15"/>
        <v>2</v>
      </c>
      <c r="K68" s="54">
        <f t="shared" si="16"/>
        <v>5</v>
      </c>
      <c r="L68" s="54">
        <f t="shared" si="17"/>
        <v>2</v>
      </c>
      <c r="M68" s="54">
        <f t="shared" si="18"/>
        <v>5</v>
      </c>
      <c r="N68" s="54">
        <f t="shared" si="19"/>
        <v>2</v>
      </c>
      <c r="O68" s="54">
        <f t="shared" si="20"/>
        <v>5</v>
      </c>
      <c r="P68" s="54">
        <f t="shared" si="21"/>
        <v>2</v>
      </c>
      <c r="Q68" s="54">
        <f t="shared" si="22"/>
        <v>5</v>
      </c>
      <c r="R68" s="54">
        <f t="shared" si="23"/>
        <v>2</v>
      </c>
      <c r="S68" s="54">
        <f t="shared" si="24"/>
        <v>5</v>
      </c>
      <c r="T68" s="54">
        <f t="shared" si="25"/>
        <v>2</v>
      </c>
      <c r="U68" s="54">
        <f t="shared" si="26"/>
        <v>5</v>
      </c>
      <c r="V68" s="54">
        <f t="shared" si="27"/>
        <v>2</v>
      </c>
      <c r="W68" s="54">
        <f t="shared" si="28"/>
        <v>5</v>
      </c>
      <c r="X68" s="54">
        <f t="shared" si="29"/>
        <v>2</v>
      </c>
      <c r="Y68" s="54">
        <f t="shared" si="30"/>
        <v>5</v>
      </c>
      <c r="Z68" s="54">
        <f t="shared" si="31"/>
        <v>2</v>
      </c>
      <c r="AA68" s="54">
        <f t="shared" si="32"/>
        <v>5</v>
      </c>
      <c r="AB68" s="54">
        <f t="shared" si="33"/>
        <v>2</v>
      </c>
      <c r="AC68" s="54">
        <f t="shared" si="34"/>
        <v>5</v>
      </c>
      <c r="AD68" s="54">
        <f t="shared" si="35"/>
        <v>2</v>
      </c>
      <c r="AE68" s="54">
        <f t="shared" si="36"/>
        <v>5</v>
      </c>
      <c r="AF68" s="54">
        <f t="shared" si="37"/>
        <v>2</v>
      </c>
      <c r="AG68" s="54">
        <f t="shared" si="38"/>
        <v>5</v>
      </c>
      <c r="AH68" s="54">
        <f t="shared" si="39"/>
        <v>2</v>
      </c>
      <c r="AI68" s="54">
        <f t="shared" si="40"/>
        <v>5</v>
      </c>
      <c r="AJ68" s="54">
        <f t="shared" si="41"/>
        <v>2</v>
      </c>
      <c r="AK68" s="54">
        <f t="shared" si="42"/>
        <v>5</v>
      </c>
      <c r="AL68" s="54">
        <f t="shared" si="43"/>
        <v>2</v>
      </c>
      <c r="AM68" s="54">
        <f t="shared" si="44"/>
        <v>5</v>
      </c>
      <c r="AN68" s="54">
        <f t="shared" si="45"/>
        <v>2</v>
      </c>
      <c r="AO68" s="54">
        <f t="shared" si="46"/>
        <v>5</v>
      </c>
      <c r="AP68" s="54">
        <f t="shared" si="47"/>
        <v>2</v>
      </c>
      <c r="AQ68" s="54">
        <f t="shared" si="48"/>
        <v>5</v>
      </c>
      <c r="AR68" s="54">
        <f t="shared" si="49"/>
        <v>2</v>
      </c>
      <c r="AS68" s="54">
        <f t="shared" si="50"/>
        <v>5</v>
      </c>
      <c r="AT68" s="54">
        <f t="shared" si="51"/>
        <v>2</v>
      </c>
      <c r="AU68" s="54">
        <f t="shared" si="52"/>
        <v>5</v>
      </c>
      <c r="AV68" s="54">
        <f t="shared" si="53"/>
        <v>2</v>
      </c>
      <c r="AW68" s="54">
        <f t="shared" si="54"/>
        <v>5</v>
      </c>
      <c r="AX68" s="54">
        <f t="shared" si="55"/>
        <v>2</v>
      </c>
      <c r="AY68" s="54">
        <f t="shared" si="56"/>
        <v>5</v>
      </c>
      <c r="AZ68" s="54">
        <f t="shared" si="57"/>
        <v>2</v>
      </c>
      <c r="BA68" s="54">
        <f t="shared" si="58"/>
        <v>5</v>
      </c>
      <c r="BB68" s="54">
        <f t="shared" si="59"/>
        <v>2</v>
      </c>
      <c r="BC68" s="54">
        <f t="shared" si="60"/>
        <v>5</v>
      </c>
      <c r="BD68" s="54">
        <f t="shared" si="61"/>
        <v>2</v>
      </c>
      <c r="BE68" s="54">
        <f t="shared" si="62"/>
        <v>5</v>
      </c>
      <c r="BF68" s="54">
        <f t="shared" si="63"/>
        <v>2</v>
      </c>
      <c r="BG68" s="54">
        <f t="shared" si="64"/>
        <v>5</v>
      </c>
      <c r="BH68" s="54">
        <f t="shared" si="65"/>
        <v>2</v>
      </c>
      <c r="BI68" s="54">
        <f t="shared" si="66"/>
        <v>5</v>
      </c>
      <c r="BJ68" s="54">
        <f t="shared" si="67"/>
        <v>2</v>
      </c>
      <c r="BK68" s="54">
        <f t="shared" si="68"/>
        <v>5</v>
      </c>
      <c r="BL68" s="54">
        <f t="shared" si="69"/>
        <v>2</v>
      </c>
      <c r="BM68" s="54">
        <f t="shared" si="70"/>
        <v>5</v>
      </c>
      <c r="BN68" s="54">
        <f t="shared" si="71"/>
        <v>2</v>
      </c>
      <c r="BO68" s="54">
        <f t="shared" si="72"/>
        <v>5</v>
      </c>
      <c r="BP68" s="54">
        <f t="shared" si="73"/>
        <v>2</v>
      </c>
      <c r="BQ68" s="54">
        <f t="shared" si="74"/>
        <v>5</v>
      </c>
      <c r="BR68" s="54">
        <f t="shared" si="75"/>
        <v>2</v>
      </c>
      <c r="BS68" s="54">
        <f t="shared" si="76"/>
        <v>5</v>
      </c>
      <c r="BT68" s="54">
        <f t="shared" si="77"/>
        <v>2</v>
      </c>
      <c r="BU68" s="54">
        <f t="shared" si="78"/>
        <v>5</v>
      </c>
      <c r="BV68" s="54">
        <f t="shared" si="79"/>
        <v>2</v>
      </c>
      <c r="BW68" s="54">
        <f t="shared" si="80"/>
        <v>5</v>
      </c>
      <c r="BX68" s="54">
        <f t="shared" si="81"/>
        <v>2</v>
      </c>
      <c r="BY68" s="54">
        <f t="shared" si="82"/>
        <v>5</v>
      </c>
      <c r="BZ68" s="54">
        <f t="shared" si="83"/>
        <v>2</v>
      </c>
      <c r="CA68" s="54">
        <f t="shared" si="84"/>
        <v>5</v>
      </c>
      <c r="CB68" s="54">
        <f t="shared" si="85"/>
        <v>2</v>
      </c>
      <c r="CC68" s="54">
        <f t="shared" si="86"/>
        <v>5</v>
      </c>
      <c r="CD68" s="54">
        <f t="shared" si="87"/>
        <v>2</v>
      </c>
      <c r="CE68" s="54">
        <f t="shared" si="88"/>
        <v>5</v>
      </c>
      <c r="CF68" s="54">
        <f t="shared" si="89"/>
        <v>2</v>
      </c>
      <c r="CG68" s="54">
        <f t="shared" si="90"/>
        <v>5</v>
      </c>
      <c r="CH68" s="54">
        <f t="shared" si="91"/>
        <v>2</v>
      </c>
      <c r="CI68" s="54">
        <f t="shared" si="92"/>
        <v>5</v>
      </c>
      <c r="CJ68" s="54">
        <f t="shared" si="93"/>
        <v>2</v>
      </c>
      <c r="CK68" s="54">
        <f t="shared" si="94"/>
        <v>5</v>
      </c>
      <c r="CL68" s="54">
        <f t="shared" si="95"/>
        <v>2</v>
      </c>
      <c r="CM68" s="54">
        <f t="shared" si="96"/>
        <v>5</v>
      </c>
      <c r="CN68" s="54">
        <f t="shared" si="97"/>
        <v>2</v>
      </c>
      <c r="CO68" s="54">
        <f t="shared" si="98"/>
        <v>5</v>
      </c>
      <c r="CP68" s="54">
        <f t="shared" si="99"/>
        <v>2</v>
      </c>
      <c r="CQ68" s="54">
        <f t="shared" si="100"/>
        <v>5</v>
      </c>
      <c r="CR68" s="54">
        <f t="shared" si="101"/>
        <v>2</v>
      </c>
      <c r="CS68" s="54">
        <f t="shared" si="102"/>
        <v>5</v>
      </c>
      <c r="CT68" s="54">
        <f t="shared" si="103"/>
        <v>2</v>
      </c>
      <c r="CU68" s="54">
        <f t="shared" si="104"/>
        <v>5</v>
      </c>
      <c r="CV68" s="54">
        <f t="shared" si="105"/>
        <v>2</v>
      </c>
      <c r="CW68" s="54">
        <f t="shared" si="106"/>
        <v>5</v>
      </c>
      <c r="CX68" s="54">
        <f t="shared" si="107"/>
        <v>2</v>
      </c>
      <c r="CY68" s="54">
        <f t="shared" si="108"/>
        <v>5</v>
      </c>
      <c r="CZ68" s="54">
        <f t="shared" si="109"/>
        <v>2</v>
      </c>
      <c r="DA68" s="54">
        <f t="shared" si="110"/>
        <v>5</v>
      </c>
      <c r="DB68" s="54">
        <f t="shared" si="111"/>
        <v>2</v>
      </c>
      <c r="DC68" s="54">
        <f t="shared" si="112"/>
        <v>5</v>
      </c>
      <c r="DD68" s="54">
        <f t="shared" si="113"/>
        <v>2</v>
      </c>
      <c r="DE68" s="54">
        <f t="shared" si="114"/>
        <v>5</v>
      </c>
      <c r="DF68" s="54">
        <f t="shared" si="115"/>
        <v>2</v>
      </c>
      <c r="DG68" s="54">
        <f t="shared" si="116"/>
        <v>5</v>
      </c>
      <c r="DH68" s="54">
        <f t="shared" si="117"/>
        <v>2</v>
      </c>
      <c r="DI68" s="54">
        <f t="shared" si="118"/>
        <v>5</v>
      </c>
      <c r="DJ68" s="54">
        <f t="shared" si="119"/>
        <v>2</v>
      </c>
      <c r="DK68" s="54">
        <f t="shared" si="120"/>
        <v>5</v>
      </c>
      <c r="DL68" s="54">
        <f t="shared" si="121"/>
        <v>2</v>
      </c>
      <c r="DM68" s="54">
        <f t="shared" si="122"/>
        <v>5</v>
      </c>
      <c r="DN68" s="54">
        <f t="shared" si="123"/>
        <v>2</v>
      </c>
      <c r="DO68" s="54">
        <f t="shared" si="124"/>
        <v>5</v>
      </c>
      <c r="DP68" s="54">
        <f t="shared" si="125"/>
        <v>2</v>
      </c>
      <c r="DQ68" s="54">
        <f t="shared" si="126"/>
        <v>5</v>
      </c>
      <c r="DR68" s="54">
        <f t="shared" si="127"/>
        <v>2</v>
      </c>
      <c r="DS68" s="54">
        <f t="shared" si="128"/>
        <v>5</v>
      </c>
      <c r="DT68" s="54">
        <f t="shared" si="129"/>
        <v>2</v>
      </c>
      <c r="DU68" s="54">
        <f t="shared" si="130"/>
        <v>5</v>
      </c>
      <c r="DV68" s="54">
        <f t="shared" si="131"/>
        <v>2</v>
      </c>
      <c r="DW68" s="54">
        <f t="shared" si="132"/>
        <v>5</v>
      </c>
      <c r="DX68" s="54">
        <f t="shared" si="133"/>
        <v>2</v>
      </c>
      <c r="DY68" s="54">
        <f t="shared" si="134"/>
        <v>5</v>
      </c>
      <c r="DZ68" s="54">
        <f t="shared" si="135"/>
        <v>2</v>
      </c>
      <c r="EA68" s="54">
        <f t="shared" si="134"/>
        <v>5</v>
      </c>
      <c r="EB68" s="54">
        <f t="shared" si="135"/>
        <v>2</v>
      </c>
      <c r="EC68" s="54">
        <f t="shared" si="135"/>
        <v>5</v>
      </c>
      <c r="ED68" s="54">
        <f t="shared" si="173"/>
        <v>2</v>
      </c>
      <c r="EE68" s="54">
        <f t="shared" si="174"/>
        <v>5</v>
      </c>
      <c r="EF68" s="54">
        <f t="shared" si="175"/>
        <v>2</v>
      </c>
      <c r="EG68" s="54">
        <f t="shared" ref="EG68:EN68" si="206">EG67</f>
        <v>5</v>
      </c>
      <c r="EH68" s="54">
        <f t="shared" si="206"/>
        <v>2</v>
      </c>
      <c r="EI68" s="54">
        <f t="shared" si="206"/>
        <v>5</v>
      </c>
      <c r="EJ68" s="54">
        <f t="shared" si="206"/>
        <v>2</v>
      </c>
      <c r="EK68" s="54">
        <f t="shared" si="206"/>
        <v>5</v>
      </c>
      <c r="EL68" s="54">
        <f t="shared" si="206"/>
        <v>2</v>
      </c>
      <c r="EM68" s="54">
        <f t="shared" si="206"/>
        <v>5</v>
      </c>
      <c r="EN68" s="54">
        <f t="shared" si="206"/>
        <v>2</v>
      </c>
      <c r="EO68" s="54">
        <f t="shared" si="171"/>
        <v>2</v>
      </c>
      <c r="EP68" s="54">
        <f t="shared" si="172"/>
        <v>2</v>
      </c>
    </row>
    <row r="69" spans="1:146" x14ac:dyDescent="0.2">
      <c r="B69" t="s">
        <v>230</v>
      </c>
      <c r="C69" s="54">
        <f t="shared" si="9"/>
        <v>45474</v>
      </c>
      <c r="D69" s="54">
        <f t="shared" ref="D69:D84" si="207">$D$2</f>
        <v>1</v>
      </c>
      <c r="E69" s="54">
        <f t="shared" si="10"/>
        <v>4</v>
      </c>
      <c r="F69" s="54">
        <f t="shared" si="11"/>
        <v>2</v>
      </c>
      <c r="G69" s="54">
        <f t="shared" si="12"/>
        <v>5</v>
      </c>
      <c r="H69" s="54">
        <f t="shared" si="13"/>
        <v>2</v>
      </c>
      <c r="I69" s="54">
        <f t="shared" si="14"/>
        <v>5</v>
      </c>
      <c r="J69" s="54">
        <f t="shared" si="15"/>
        <v>2</v>
      </c>
      <c r="K69" s="54">
        <f t="shared" si="16"/>
        <v>5</v>
      </c>
      <c r="L69" s="54">
        <f t="shared" si="17"/>
        <v>2</v>
      </c>
      <c r="M69" s="54">
        <f t="shared" si="18"/>
        <v>5</v>
      </c>
      <c r="N69" s="54">
        <f t="shared" si="19"/>
        <v>2</v>
      </c>
      <c r="O69" s="54">
        <f t="shared" si="20"/>
        <v>5</v>
      </c>
      <c r="P69" s="54">
        <f t="shared" si="21"/>
        <v>2</v>
      </c>
      <c r="Q69" s="54">
        <f t="shared" si="22"/>
        <v>5</v>
      </c>
      <c r="R69" s="54">
        <f t="shared" si="23"/>
        <v>2</v>
      </c>
      <c r="S69" s="54">
        <f t="shared" si="24"/>
        <v>5</v>
      </c>
      <c r="T69" s="54">
        <f t="shared" si="25"/>
        <v>2</v>
      </c>
      <c r="U69" s="54">
        <f t="shared" si="26"/>
        <v>5</v>
      </c>
      <c r="V69" s="54">
        <f t="shared" si="27"/>
        <v>2</v>
      </c>
      <c r="W69" s="54">
        <f t="shared" si="28"/>
        <v>5</v>
      </c>
      <c r="X69" s="54">
        <f t="shared" si="29"/>
        <v>2</v>
      </c>
      <c r="Y69" s="54">
        <f t="shared" si="30"/>
        <v>5</v>
      </c>
      <c r="Z69" s="54">
        <f t="shared" si="31"/>
        <v>2</v>
      </c>
      <c r="AA69" s="54">
        <f t="shared" si="32"/>
        <v>5</v>
      </c>
      <c r="AB69" s="54">
        <f t="shared" si="33"/>
        <v>2</v>
      </c>
      <c r="AC69" s="54">
        <f t="shared" si="34"/>
        <v>5</v>
      </c>
      <c r="AD69" s="54">
        <f t="shared" si="35"/>
        <v>2</v>
      </c>
      <c r="AE69" s="54">
        <f t="shared" si="36"/>
        <v>5</v>
      </c>
      <c r="AF69" s="54">
        <f t="shared" si="37"/>
        <v>2</v>
      </c>
      <c r="AG69" s="54">
        <f t="shared" si="38"/>
        <v>5</v>
      </c>
      <c r="AH69" s="54">
        <f t="shared" si="39"/>
        <v>2</v>
      </c>
      <c r="AI69" s="54">
        <f t="shared" si="40"/>
        <v>5</v>
      </c>
      <c r="AJ69" s="54">
        <f t="shared" si="41"/>
        <v>2</v>
      </c>
      <c r="AK69" s="54">
        <f t="shared" si="42"/>
        <v>5</v>
      </c>
      <c r="AL69" s="54">
        <f t="shared" si="43"/>
        <v>2</v>
      </c>
      <c r="AM69" s="54">
        <f t="shared" si="44"/>
        <v>5</v>
      </c>
      <c r="AN69" s="54">
        <f t="shared" si="45"/>
        <v>2</v>
      </c>
      <c r="AO69" s="54">
        <f t="shared" si="46"/>
        <v>5</v>
      </c>
      <c r="AP69" s="54">
        <f t="shared" si="47"/>
        <v>2</v>
      </c>
      <c r="AQ69" s="54">
        <f t="shared" si="48"/>
        <v>5</v>
      </c>
      <c r="AR69" s="54">
        <f t="shared" si="49"/>
        <v>2</v>
      </c>
      <c r="AS69" s="54">
        <f t="shared" si="50"/>
        <v>5</v>
      </c>
      <c r="AT69" s="54">
        <f t="shared" si="51"/>
        <v>2</v>
      </c>
      <c r="AU69" s="54">
        <f t="shared" si="52"/>
        <v>5</v>
      </c>
      <c r="AV69" s="54">
        <f t="shared" si="53"/>
        <v>2</v>
      </c>
      <c r="AW69" s="54">
        <f t="shared" si="54"/>
        <v>5</v>
      </c>
      <c r="AX69" s="54">
        <f t="shared" si="55"/>
        <v>2</v>
      </c>
      <c r="AY69" s="54">
        <f t="shared" si="56"/>
        <v>5</v>
      </c>
      <c r="AZ69" s="54">
        <f t="shared" si="57"/>
        <v>2</v>
      </c>
      <c r="BA69" s="54">
        <f t="shared" si="58"/>
        <v>5</v>
      </c>
      <c r="BB69" s="54">
        <f t="shared" si="59"/>
        <v>2</v>
      </c>
      <c r="BC69" s="54">
        <f t="shared" si="60"/>
        <v>5</v>
      </c>
      <c r="BD69" s="54">
        <f t="shared" si="61"/>
        <v>2</v>
      </c>
      <c r="BE69" s="54">
        <f t="shared" si="62"/>
        <v>5</v>
      </c>
      <c r="BF69" s="54">
        <f t="shared" si="63"/>
        <v>2</v>
      </c>
      <c r="BG69" s="54">
        <f t="shared" si="64"/>
        <v>5</v>
      </c>
      <c r="BH69" s="54">
        <f t="shared" si="65"/>
        <v>2</v>
      </c>
      <c r="BI69" s="54">
        <f t="shared" si="66"/>
        <v>5</v>
      </c>
      <c r="BJ69" s="54">
        <f t="shared" si="67"/>
        <v>2</v>
      </c>
      <c r="BK69" s="54">
        <f t="shared" si="68"/>
        <v>5</v>
      </c>
      <c r="BL69" s="54">
        <f t="shared" si="69"/>
        <v>2</v>
      </c>
      <c r="BM69" s="54">
        <f t="shared" si="70"/>
        <v>5</v>
      </c>
      <c r="BN69" s="54">
        <f t="shared" si="71"/>
        <v>2</v>
      </c>
      <c r="BO69" s="54">
        <f t="shared" si="72"/>
        <v>5</v>
      </c>
      <c r="BP69" s="54">
        <f t="shared" si="73"/>
        <v>2</v>
      </c>
      <c r="BQ69" s="54">
        <f t="shared" si="74"/>
        <v>5</v>
      </c>
      <c r="BR69" s="54">
        <f t="shared" si="75"/>
        <v>2</v>
      </c>
      <c r="BS69" s="54">
        <f t="shared" si="76"/>
        <v>5</v>
      </c>
      <c r="BT69" s="54">
        <f t="shared" si="77"/>
        <v>2</v>
      </c>
      <c r="BU69" s="54">
        <f t="shared" si="78"/>
        <v>5</v>
      </c>
      <c r="BV69" s="54">
        <f t="shared" si="79"/>
        <v>2</v>
      </c>
      <c r="BW69" s="54">
        <f t="shared" si="80"/>
        <v>5</v>
      </c>
      <c r="BX69" s="54">
        <f t="shared" si="81"/>
        <v>2</v>
      </c>
      <c r="BY69" s="54">
        <f t="shared" si="82"/>
        <v>5</v>
      </c>
      <c r="BZ69" s="54">
        <f t="shared" si="83"/>
        <v>2</v>
      </c>
      <c r="CA69" s="54">
        <f t="shared" si="84"/>
        <v>5</v>
      </c>
      <c r="CB69" s="54">
        <f t="shared" si="85"/>
        <v>2</v>
      </c>
      <c r="CC69" s="54">
        <f t="shared" si="86"/>
        <v>5</v>
      </c>
      <c r="CD69" s="54">
        <f t="shared" si="87"/>
        <v>2</v>
      </c>
      <c r="CE69" s="54">
        <f t="shared" si="88"/>
        <v>5</v>
      </c>
      <c r="CF69" s="54">
        <f t="shared" si="89"/>
        <v>2</v>
      </c>
      <c r="CG69" s="54">
        <f t="shared" si="90"/>
        <v>5</v>
      </c>
      <c r="CH69" s="54">
        <f t="shared" si="91"/>
        <v>2</v>
      </c>
      <c r="CI69" s="54">
        <f t="shared" si="92"/>
        <v>5</v>
      </c>
      <c r="CJ69" s="54">
        <f t="shared" si="93"/>
        <v>2</v>
      </c>
      <c r="CK69" s="54">
        <f t="shared" si="94"/>
        <v>5</v>
      </c>
      <c r="CL69" s="54">
        <f t="shared" si="95"/>
        <v>2</v>
      </c>
      <c r="CM69" s="54">
        <f t="shared" si="96"/>
        <v>5</v>
      </c>
      <c r="CN69" s="54">
        <f t="shared" si="97"/>
        <v>2</v>
      </c>
      <c r="CO69" s="54">
        <f t="shared" si="98"/>
        <v>5</v>
      </c>
      <c r="CP69" s="54">
        <f t="shared" si="99"/>
        <v>2</v>
      </c>
      <c r="CQ69" s="54">
        <f t="shared" si="100"/>
        <v>5</v>
      </c>
      <c r="CR69" s="54">
        <f t="shared" si="101"/>
        <v>2</v>
      </c>
      <c r="CS69" s="54">
        <f t="shared" si="102"/>
        <v>5</v>
      </c>
      <c r="CT69" s="54">
        <f t="shared" si="103"/>
        <v>2</v>
      </c>
      <c r="CU69" s="54">
        <f t="shared" si="104"/>
        <v>5</v>
      </c>
      <c r="CV69" s="54">
        <f t="shared" si="105"/>
        <v>2</v>
      </c>
      <c r="CW69" s="54">
        <f t="shared" si="106"/>
        <v>5</v>
      </c>
      <c r="CX69" s="54">
        <f t="shared" si="107"/>
        <v>2</v>
      </c>
      <c r="CY69" s="54">
        <f t="shared" si="108"/>
        <v>5</v>
      </c>
      <c r="CZ69" s="54">
        <f t="shared" si="109"/>
        <v>2</v>
      </c>
      <c r="DA69" s="54">
        <f t="shared" si="110"/>
        <v>5</v>
      </c>
      <c r="DB69" s="54">
        <f t="shared" si="111"/>
        <v>2</v>
      </c>
      <c r="DC69" s="54">
        <f t="shared" si="112"/>
        <v>5</v>
      </c>
      <c r="DD69" s="54">
        <f t="shared" si="113"/>
        <v>2</v>
      </c>
      <c r="DE69" s="54">
        <f t="shared" si="114"/>
        <v>5</v>
      </c>
      <c r="DF69" s="54">
        <f t="shared" si="115"/>
        <v>2</v>
      </c>
      <c r="DG69" s="54">
        <f t="shared" si="116"/>
        <v>5</v>
      </c>
      <c r="DH69" s="54">
        <f t="shared" si="117"/>
        <v>2</v>
      </c>
      <c r="DI69" s="54">
        <f t="shared" si="118"/>
        <v>5</v>
      </c>
      <c r="DJ69" s="54">
        <f t="shared" si="119"/>
        <v>2</v>
      </c>
      <c r="DK69" s="54">
        <f t="shared" si="120"/>
        <v>5</v>
      </c>
      <c r="DL69" s="54">
        <f t="shared" si="121"/>
        <v>2</v>
      </c>
      <c r="DM69" s="54">
        <f t="shared" si="122"/>
        <v>5</v>
      </c>
      <c r="DN69" s="54">
        <f t="shared" si="123"/>
        <v>2</v>
      </c>
      <c r="DO69" s="54">
        <f t="shared" si="124"/>
        <v>5</v>
      </c>
      <c r="DP69" s="54">
        <f t="shared" si="125"/>
        <v>2</v>
      </c>
      <c r="DQ69" s="54">
        <f t="shared" si="126"/>
        <v>5</v>
      </c>
      <c r="DR69" s="54">
        <f t="shared" si="127"/>
        <v>2</v>
      </c>
      <c r="DS69" s="54">
        <f t="shared" si="128"/>
        <v>5</v>
      </c>
      <c r="DT69" s="54">
        <f t="shared" si="129"/>
        <v>2</v>
      </c>
      <c r="DU69" s="54">
        <f t="shared" si="130"/>
        <v>5</v>
      </c>
      <c r="DV69" s="54">
        <f t="shared" si="131"/>
        <v>2</v>
      </c>
      <c r="DW69" s="54">
        <f t="shared" si="132"/>
        <v>5</v>
      </c>
      <c r="DX69" s="54">
        <f t="shared" si="133"/>
        <v>2</v>
      </c>
      <c r="DY69" s="54">
        <f t="shared" si="134"/>
        <v>5</v>
      </c>
      <c r="DZ69" s="54">
        <f t="shared" si="135"/>
        <v>2</v>
      </c>
      <c r="EA69" s="54">
        <f t="shared" si="134"/>
        <v>5</v>
      </c>
      <c r="EB69" s="54">
        <f t="shared" si="135"/>
        <v>2</v>
      </c>
      <c r="EC69" s="54">
        <f t="shared" si="135"/>
        <v>5</v>
      </c>
      <c r="ED69" s="54">
        <f t="shared" si="173"/>
        <v>2</v>
      </c>
      <c r="EE69" s="54">
        <f t="shared" si="174"/>
        <v>5</v>
      </c>
      <c r="EF69" s="54">
        <f t="shared" si="175"/>
        <v>2</v>
      </c>
      <c r="EG69" s="54">
        <f t="shared" ref="EG69:EN69" si="208">EG68</f>
        <v>5</v>
      </c>
      <c r="EH69" s="54">
        <f t="shared" si="208"/>
        <v>2</v>
      </c>
      <c r="EI69" s="54">
        <f t="shared" si="208"/>
        <v>5</v>
      </c>
      <c r="EJ69" s="54">
        <f t="shared" si="208"/>
        <v>2</v>
      </c>
      <c r="EK69" s="54">
        <f t="shared" si="208"/>
        <v>5</v>
      </c>
      <c r="EL69" s="54">
        <f t="shared" si="208"/>
        <v>2</v>
      </c>
      <c r="EM69" s="54">
        <f t="shared" si="208"/>
        <v>5</v>
      </c>
      <c r="EN69" s="54">
        <f t="shared" si="208"/>
        <v>2</v>
      </c>
      <c r="EO69" s="54">
        <f t="shared" ref="EO69:EO84" si="209">EO68</f>
        <v>2</v>
      </c>
      <c r="EP69" s="54">
        <f t="shared" ref="EP69:EP84" si="210">EP68</f>
        <v>2</v>
      </c>
    </row>
    <row r="70" spans="1:146" x14ac:dyDescent="0.2">
      <c r="B70" t="s">
        <v>230</v>
      </c>
      <c r="C70" s="54">
        <f t="shared" ref="C70:C84" si="211">C69</f>
        <v>45474</v>
      </c>
      <c r="D70" s="54">
        <f t="shared" si="207"/>
        <v>1</v>
      </c>
      <c r="E70" s="54">
        <f t="shared" ref="E70:E84" si="212">E69</f>
        <v>4</v>
      </c>
      <c r="F70" s="54">
        <f t="shared" ref="F70:F84" si="213">F69</f>
        <v>2</v>
      </c>
      <c r="G70" s="54">
        <f t="shared" ref="G70:G84" si="214">G69</f>
        <v>5</v>
      </c>
      <c r="H70" s="54">
        <f t="shared" ref="H70:H84" si="215">H69</f>
        <v>2</v>
      </c>
      <c r="I70" s="54">
        <f t="shared" ref="I70:I84" si="216">I69</f>
        <v>5</v>
      </c>
      <c r="J70" s="54">
        <f t="shared" ref="J70:J84" si="217">J69</f>
        <v>2</v>
      </c>
      <c r="K70" s="54">
        <f t="shared" ref="K70:K84" si="218">K69</f>
        <v>5</v>
      </c>
      <c r="L70" s="54">
        <f t="shared" ref="L70:L84" si="219">L69</f>
        <v>2</v>
      </c>
      <c r="M70" s="54">
        <f t="shared" ref="M70:M84" si="220">M69</f>
        <v>5</v>
      </c>
      <c r="N70" s="54">
        <f t="shared" ref="N70:N84" si="221">N69</f>
        <v>2</v>
      </c>
      <c r="O70" s="54">
        <f t="shared" ref="O70:O84" si="222">O69</f>
        <v>5</v>
      </c>
      <c r="P70" s="54">
        <f t="shared" ref="P70:P84" si="223">P69</f>
        <v>2</v>
      </c>
      <c r="Q70" s="54">
        <f t="shared" ref="Q70:Q84" si="224">Q69</f>
        <v>5</v>
      </c>
      <c r="R70" s="54">
        <f t="shared" ref="R70:R84" si="225">R69</f>
        <v>2</v>
      </c>
      <c r="S70" s="54">
        <f t="shared" ref="S70:S84" si="226">S69</f>
        <v>5</v>
      </c>
      <c r="T70" s="54">
        <f t="shared" ref="T70:T84" si="227">T69</f>
        <v>2</v>
      </c>
      <c r="U70" s="54">
        <f t="shared" ref="U70:U84" si="228">U69</f>
        <v>5</v>
      </c>
      <c r="V70" s="54">
        <f t="shared" ref="V70:V84" si="229">V69</f>
        <v>2</v>
      </c>
      <c r="W70" s="54">
        <f t="shared" ref="W70:W84" si="230">W69</f>
        <v>5</v>
      </c>
      <c r="X70" s="54">
        <f t="shared" ref="X70:X84" si="231">X69</f>
        <v>2</v>
      </c>
      <c r="Y70" s="54">
        <f t="shared" ref="Y70:Y84" si="232">Y69</f>
        <v>5</v>
      </c>
      <c r="Z70" s="54">
        <f t="shared" ref="Z70:Z84" si="233">Z69</f>
        <v>2</v>
      </c>
      <c r="AA70" s="54">
        <f t="shared" ref="AA70:AA84" si="234">AA69</f>
        <v>5</v>
      </c>
      <c r="AB70" s="54">
        <f t="shared" ref="AB70:AB84" si="235">AB69</f>
        <v>2</v>
      </c>
      <c r="AC70" s="54">
        <f t="shared" ref="AC70:AC84" si="236">AC69</f>
        <v>5</v>
      </c>
      <c r="AD70" s="54">
        <f t="shared" ref="AD70:AD84" si="237">AD69</f>
        <v>2</v>
      </c>
      <c r="AE70" s="54">
        <f t="shared" ref="AE70:AE84" si="238">AE69</f>
        <v>5</v>
      </c>
      <c r="AF70" s="54">
        <f t="shared" ref="AF70:AF84" si="239">AF69</f>
        <v>2</v>
      </c>
      <c r="AG70" s="54">
        <f t="shared" ref="AG70:AG84" si="240">AG69</f>
        <v>5</v>
      </c>
      <c r="AH70" s="54">
        <f t="shared" ref="AH70:AH84" si="241">AH69</f>
        <v>2</v>
      </c>
      <c r="AI70" s="54">
        <f t="shared" ref="AI70:AI84" si="242">AI69</f>
        <v>5</v>
      </c>
      <c r="AJ70" s="54">
        <f t="shared" ref="AJ70:AJ84" si="243">AJ69</f>
        <v>2</v>
      </c>
      <c r="AK70" s="54">
        <f t="shared" ref="AK70:AK84" si="244">AK69</f>
        <v>5</v>
      </c>
      <c r="AL70" s="54">
        <f t="shared" ref="AL70:AL84" si="245">AL69</f>
        <v>2</v>
      </c>
      <c r="AM70" s="54">
        <f t="shared" ref="AM70:AM84" si="246">AM69</f>
        <v>5</v>
      </c>
      <c r="AN70" s="54">
        <f t="shared" ref="AN70:AN84" si="247">AN69</f>
        <v>2</v>
      </c>
      <c r="AO70" s="54">
        <f t="shared" ref="AO70:AO84" si="248">AO69</f>
        <v>5</v>
      </c>
      <c r="AP70" s="54">
        <f t="shared" ref="AP70:AP84" si="249">AP69</f>
        <v>2</v>
      </c>
      <c r="AQ70" s="54">
        <f t="shared" ref="AQ70:AQ84" si="250">AQ69</f>
        <v>5</v>
      </c>
      <c r="AR70" s="54">
        <f t="shared" ref="AR70:AR84" si="251">AR69</f>
        <v>2</v>
      </c>
      <c r="AS70" s="54">
        <f t="shared" ref="AS70:AS84" si="252">AS69</f>
        <v>5</v>
      </c>
      <c r="AT70" s="54">
        <f t="shared" ref="AT70:AT84" si="253">AT69</f>
        <v>2</v>
      </c>
      <c r="AU70" s="54">
        <f t="shared" ref="AU70:AU84" si="254">AU69</f>
        <v>5</v>
      </c>
      <c r="AV70" s="54">
        <f t="shared" ref="AV70:AV84" si="255">AV69</f>
        <v>2</v>
      </c>
      <c r="AW70" s="54">
        <f t="shared" ref="AW70:AW84" si="256">AW69</f>
        <v>5</v>
      </c>
      <c r="AX70" s="54">
        <f t="shared" ref="AX70:AX84" si="257">AX69</f>
        <v>2</v>
      </c>
      <c r="AY70" s="54">
        <f t="shared" ref="AY70:AY84" si="258">AY69</f>
        <v>5</v>
      </c>
      <c r="AZ70" s="54">
        <f t="shared" ref="AZ70:AZ84" si="259">AZ69</f>
        <v>2</v>
      </c>
      <c r="BA70" s="54">
        <f t="shared" ref="BA70:BA84" si="260">BA69</f>
        <v>5</v>
      </c>
      <c r="BB70" s="54">
        <f t="shared" ref="BB70:BB84" si="261">BB69</f>
        <v>2</v>
      </c>
      <c r="BC70" s="54">
        <f t="shared" ref="BC70:BC84" si="262">BC69</f>
        <v>5</v>
      </c>
      <c r="BD70" s="54">
        <f t="shared" ref="BD70:BD84" si="263">BD69</f>
        <v>2</v>
      </c>
      <c r="BE70" s="54">
        <f t="shared" ref="BE70:BE84" si="264">BE69</f>
        <v>5</v>
      </c>
      <c r="BF70" s="54">
        <f t="shared" ref="BF70:BF84" si="265">BF69</f>
        <v>2</v>
      </c>
      <c r="BG70" s="54">
        <f t="shared" ref="BG70:BG84" si="266">BG69</f>
        <v>5</v>
      </c>
      <c r="BH70" s="54">
        <f t="shared" ref="BH70:BH84" si="267">BH69</f>
        <v>2</v>
      </c>
      <c r="BI70" s="54">
        <f t="shared" ref="BI70:BI84" si="268">BI69</f>
        <v>5</v>
      </c>
      <c r="BJ70" s="54">
        <f t="shared" ref="BJ70:BJ84" si="269">BJ69</f>
        <v>2</v>
      </c>
      <c r="BK70" s="54">
        <f t="shared" ref="BK70:BK84" si="270">BK69</f>
        <v>5</v>
      </c>
      <c r="BL70" s="54">
        <f t="shared" ref="BL70:BL84" si="271">BL69</f>
        <v>2</v>
      </c>
      <c r="BM70" s="54">
        <f t="shared" ref="BM70:BM84" si="272">BM69</f>
        <v>5</v>
      </c>
      <c r="BN70" s="54">
        <f t="shared" ref="BN70:BN84" si="273">BN69</f>
        <v>2</v>
      </c>
      <c r="BO70" s="54">
        <f t="shared" ref="BO70:BO84" si="274">BO69</f>
        <v>5</v>
      </c>
      <c r="BP70" s="54">
        <f t="shared" ref="BP70:BP84" si="275">BP69</f>
        <v>2</v>
      </c>
      <c r="BQ70" s="54">
        <f t="shared" ref="BQ70:BQ84" si="276">BQ69</f>
        <v>5</v>
      </c>
      <c r="BR70" s="54">
        <f t="shared" ref="BR70:BR84" si="277">BR69</f>
        <v>2</v>
      </c>
      <c r="BS70" s="54">
        <f t="shared" ref="BS70:BS84" si="278">BS69</f>
        <v>5</v>
      </c>
      <c r="BT70" s="54">
        <f t="shared" ref="BT70:BT84" si="279">BT69</f>
        <v>2</v>
      </c>
      <c r="BU70" s="54">
        <f t="shared" ref="BU70:BU84" si="280">BU69</f>
        <v>5</v>
      </c>
      <c r="BV70" s="54">
        <f t="shared" ref="BV70:BV84" si="281">BV69</f>
        <v>2</v>
      </c>
      <c r="BW70" s="54">
        <f t="shared" ref="BW70:BW84" si="282">BW69</f>
        <v>5</v>
      </c>
      <c r="BX70" s="54">
        <f t="shared" ref="BX70:BX84" si="283">BX69</f>
        <v>2</v>
      </c>
      <c r="BY70" s="54">
        <f t="shared" ref="BY70:BY84" si="284">BY69</f>
        <v>5</v>
      </c>
      <c r="BZ70" s="54">
        <f t="shared" ref="BZ70:BZ84" si="285">BZ69</f>
        <v>2</v>
      </c>
      <c r="CA70" s="54">
        <f t="shared" ref="CA70:CA84" si="286">CA69</f>
        <v>5</v>
      </c>
      <c r="CB70" s="54">
        <f t="shared" ref="CB70:CB84" si="287">CB69</f>
        <v>2</v>
      </c>
      <c r="CC70" s="54">
        <f t="shared" ref="CC70:CC84" si="288">CC69</f>
        <v>5</v>
      </c>
      <c r="CD70" s="54">
        <f t="shared" ref="CD70:CD84" si="289">CD69</f>
        <v>2</v>
      </c>
      <c r="CE70" s="54">
        <f t="shared" ref="CE70:CE84" si="290">CE69</f>
        <v>5</v>
      </c>
      <c r="CF70" s="54">
        <f t="shared" ref="CF70:CF84" si="291">CF69</f>
        <v>2</v>
      </c>
      <c r="CG70" s="54">
        <f t="shared" ref="CG70:CG84" si="292">CG69</f>
        <v>5</v>
      </c>
      <c r="CH70" s="54">
        <f t="shared" ref="CH70:CH84" si="293">CH69</f>
        <v>2</v>
      </c>
      <c r="CI70" s="54">
        <f t="shared" ref="CI70:CI84" si="294">CI69</f>
        <v>5</v>
      </c>
      <c r="CJ70" s="54">
        <f t="shared" ref="CJ70:CJ84" si="295">CJ69</f>
        <v>2</v>
      </c>
      <c r="CK70" s="54">
        <f t="shared" ref="CK70:CK84" si="296">CK69</f>
        <v>5</v>
      </c>
      <c r="CL70" s="54">
        <f t="shared" ref="CL70:CL84" si="297">CL69</f>
        <v>2</v>
      </c>
      <c r="CM70" s="54">
        <f t="shared" ref="CM70:CM84" si="298">CM69</f>
        <v>5</v>
      </c>
      <c r="CN70" s="54">
        <f t="shared" ref="CN70:CN84" si="299">CN69</f>
        <v>2</v>
      </c>
      <c r="CO70" s="54">
        <f t="shared" ref="CO70:CO84" si="300">CO69</f>
        <v>5</v>
      </c>
      <c r="CP70" s="54">
        <f t="shared" ref="CP70:CP84" si="301">CP69</f>
        <v>2</v>
      </c>
      <c r="CQ70" s="54">
        <f t="shared" ref="CQ70:CQ84" si="302">CQ69</f>
        <v>5</v>
      </c>
      <c r="CR70" s="54">
        <f t="shared" ref="CR70:CR84" si="303">CR69</f>
        <v>2</v>
      </c>
      <c r="CS70" s="54">
        <f t="shared" ref="CS70:CS84" si="304">CS69</f>
        <v>5</v>
      </c>
      <c r="CT70" s="54">
        <f t="shared" ref="CT70:CT84" si="305">CT69</f>
        <v>2</v>
      </c>
      <c r="CU70" s="54">
        <f t="shared" ref="CU70:CU84" si="306">CU69</f>
        <v>5</v>
      </c>
      <c r="CV70" s="54">
        <f t="shared" ref="CV70:CV84" si="307">CV69</f>
        <v>2</v>
      </c>
      <c r="CW70" s="54">
        <f t="shared" ref="CW70:CW84" si="308">CW69</f>
        <v>5</v>
      </c>
      <c r="CX70" s="54">
        <f t="shared" ref="CX70:CX84" si="309">CX69</f>
        <v>2</v>
      </c>
      <c r="CY70" s="54">
        <f t="shared" ref="CY70:CY84" si="310">CY69</f>
        <v>5</v>
      </c>
      <c r="CZ70" s="54">
        <f t="shared" ref="CZ70:CZ84" si="311">CZ69</f>
        <v>2</v>
      </c>
      <c r="DA70" s="54">
        <f t="shared" ref="DA70:DA84" si="312">DA69</f>
        <v>5</v>
      </c>
      <c r="DB70" s="54">
        <f t="shared" ref="DB70:DB84" si="313">DB69</f>
        <v>2</v>
      </c>
      <c r="DC70" s="54">
        <f t="shared" ref="DC70:DC84" si="314">DC69</f>
        <v>5</v>
      </c>
      <c r="DD70" s="54">
        <f t="shared" ref="DD70:DD84" si="315">DD69</f>
        <v>2</v>
      </c>
      <c r="DE70" s="54">
        <f t="shared" ref="DE70:DE84" si="316">DE69</f>
        <v>5</v>
      </c>
      <c r="DF70" s="54">
        <f t="shared" ref="DF70:DF84" si="317">DF69</f>
        <v>2</v>
      </c>
      <c r="DG70" s="54">
        <f t="shared" ref="DG70:DG84" si="318">DG69</f>
        <v>5</v>
      </c>
      <c r="DH70" s="54">
        <f t="shared" ref="DH70:DH84" si="319">DH69</f>
        <v>2</v>
      </c>
      <c r="DI70" s="54">
        <f t="shared" ref="DI70:DI84" si="320">DI69</f>
        <v>5</v>
      </c>
      <c r="DJ70" s="54">
        <f t="shared" ref="DJ70:DJ84" si="321">DJ69</f>
        <v>2</v>
      </c>
      <c r="DK70" s="54">
        <f t="shared" ref="DK70:DK84" si="322">DK69</f>
        <v>5</v>
      </c>
      <c r="DL70" s="54">
        <f t="shared" ref="DL70:DL84" si="323">DL69</f>
        <v>2</v>
      </c>
      <c r="DM70" s="54">
        <f t="shared" ref="DM70:DM84" si="324">DM69</f>
        <v>5</v>
      </c>
      <c r="DN70" s="54">
        <f t="shared" ref="DN70:DN84" si="325">DN69</f>
        <v>2</v>
      </c>
      <c r="DO70" s="54">
        <f t="shared" ref="DO70:DO84" si="326">DO69</f>
        <v>5</v>
      </c>
      <c r="DP70" s="54">
        <f t="shared" ref="DP70:DP84" si="327">DP69</f>
        <v>2</v>
      </c>
      <c r="DQ70" s="54">
        <f t="shared" ref="DQ70:DQ84" si="328">DQ69</f>
        <v>5</v>
      </c>
      <c r="DR70" s="54">
        <f t="shared" ref="DR70:DR84" si="329">DR69</f>
        <v>2</v>
      </c>
      <c r="DS70" s="54">
        <f t="shared" ref="DS70:DS84" si="330">DS69</f>
        <v>5</v>
      </c>
      <c r="DT70" s="54">
        <f t="shared" ref="DT70:DT84" si="331">DT69</f>
        <v>2</v>
      </c>
      <c r="DU70" s="54">
        <f t="shared" ref="DU70:DU84" si="332">DU69</f>
        <v>5</v>
      </c>
      <c r="DV70" s="54">
        <f t="shared" ref="DV70:DV84" si="333">DV69</f>
        <v>2</v>
      </c>
      <c r="DW70" s="54">
        <f t="shared" ref="DW70:DW84" si="334">DW69</f>
        <v>5</v>
      </c>
      <c r="DX70" s="54">
        <f t="shared" ref="DX70:DX84" si="335">DX69</f>
        <v>2</v>
      </c>
      <c r="DY70" s="54">
        <f t="shared" ref="DY70:EA84" si="336">DY69</f>
        <v>5</v>
      </c>
      <c r="DZ70" s="54">
        <f t="shared" ref="DZ70:EC84" si="337">DZ69</f>
        <v>2</v>
      </c>
      <c r="EA70" s="54">
        <f t="shared" si="336"/>
        <v>5</v>
      </c>
      <c r="EB70" s="54">
        <f t="shared" si="337"/>
        <v>2</v>
      </c>
      <c r="EC70" s="54">
        <f t="shared" si="337"/>
        <v>5</v>
      </c>
      <c r="ED70" s="54">
        <f t="shared" ref="ED70:ED84" si="338">ED69</f>
        <v>2</v>
      </c>
      <c r="EE70" s="54">
        <f t="shared" ref="EE70:EE84" si="339">EE69</f>
        <v>5</v>
      </c>
      <c r="EF70" s="54">
        <f t="shared" ref="EF70:EF84" si="340">EF69</f>
        <v>2</v>
      </c>
      <c r="EG70" s="54">
        <f t="shared" ref="EG70:EN70" si="341">EG69</f>
        <v>5</v>
      </c>
      <c r="EH70" s="54">
        <f t="shared" si="341"/>
        <v>2</v>
      </c>
      <c r="EI70" s="54">
        <f t="shared" si="341"/>
        <v>5</v>
      </c>
      <c r="EJ70" s="54">
        <f t="shared" si="341"/>
        <v>2</v>
      </c>
      <c r="EK70" s="54">
        <f t="shared" si="341"/>
        <v>5</v>
      </c>
      <c r="EL70" s="54">
        <f t="shared" si="341"/>
        <v>2</v>
      </c>
      <c r="EM70" s="54">
        <f t="shared" si="341"/>
        <v>5</v>
      </c>
      <c r="EN70" s="54">
        <f t="shared" si="341"/>
        <v>2</v>
      </c>
      <c r="EO70" s="54">
        <f t="shared" si="209"/>
        <v>2</v>
      </c>
      <c r="EP70" s="54">
        <f t="shared" si="210"/>
        <v>2</v>
      </c>
    </row>
    <row r="71" spans="1:146" x14ac:dyDescent="0.2">
      <c r="A71" s="54"/>
      <c r="B71" t="s">
        <v>230</v>
      </c>
      <c r="C71" s="54">
        <f t="shared" si="211"/>
        <v>45474</v>
      </c>
      <c r="D71" s="54">
        <f t="shared" si="207"/>
        <v>1</v>
      </c>
      <c r="E71" s="54">
        <f t="shared" si="212"/>
        <v>4</v>
      </c>
      <c r="F71" s="54">
        <f t="shared" si="213"/>
        <v>2</v>
      </c>
      <c r="G71" s="54">
        <f t="shared" si="214"/>
        <v>5</v>
      </c>
      <c r="H71" s="54">
        <f t="shared" si="215"/>
        <v>2</v>
      </c>
      <c r="I71" s="54">
        <f t="shared" si="216"/>
        <v>5</v>
      </c>
      <c r="J71" s="54">
        <f t="shared" si="217"/>
        <v>2</v>
      </c>
      <c r="K71" s="54">
        <f t="shared" si="218"/>
        <v>5</v>
      </c>
      <c r="L71" s="54">
        <f t="shared" si="219"/>
        <v>2</v>
      </c>
      <c r="M71" s="54">
        <f t="shared" si="220"/>
        <v>5</v>
      </c>
      <c r="N71" s="54">
        <f t="shared" si="221"/>
        <v>2</v>
      </c>
      <c r="O71" s="54">
        <f t="shared" si="222"/>
        <v>5</v>
      </c>
      <c r="P71" s="54">
        <f t="shared" si="223"/>
        <v>2</v>
      </c>
      <c r="Q71" s="54">
        <f t="shared" si="224"/>
        <v>5</v>
      </c>
      <c r="R71" s="54">
        <f t="shared" si="225"/>
        <v>2</v>
      </c>
      <c r="S71" s="54">
        <f t="shared" si="226"/>
        <v>5</v>
      </c>
      <c r="T71" s="54">
        <f t="shared" si="227"/>
        <v>2</v>
      </c>
      <c r="U71" s="54">
        <f t="shared" si="228"/>
        <v>5</v>
      </c>
      <c r="V71" s="54">
        <f t="shared" si="229"/>
        <v>2</v>
      </c>
      <c r="W71" s="54">
        <f t="shared" si="230"/>
        <v>5</v>
      </c>
      <c r="X71" s="54">
        <f t="shared" si="231"/>
        <v>2</v>
      </c>
      <c r="Y71" s="54">
        <f t="shared" si="232"/>
        <v>5</v>
      </c>
      <c r="Z71" s="54">
        <f t="shared" si="233"/>
        <v>2</v>
      </c>
      <c r="AA71" s="54">
        <f t="shared" si="234"/>
        <v>5</v>
      </c>
      <c r="AB71" s="54">
        <f t="shared" si="235"/>
        <v>2</v>
      </c>
      <c r="AC71" s="54">
        <f t="shared" si="236"/>
        <v>5</v>
      </c>
      <c r="AD71" s="54">
        <f t="shared" si="237"/>
        <v>2</v>
      </c>
      <c r="AE71" s="54">
        <f t="shared" si="238"/>
        <v>5</v>
      </c>
      <c r="AF71" s="54">
        <f t="shared" si="239"/>
        <v>2</v>
      </c>
      <c r="AG71" s="54">
        <f t="shared" si="240"/>
        <v>5</v>
      </c>
      <c r="AH71" s="54">
        <f t="shared" si="241"/>
        <v>2</v>
      </c>
      <c r="AI71" s="54">
        <f t="shared" si="242"/>
        <v>5</v>
      </c>
      <c r="AJ71" s="54">
        <f t="shared" si="243"/>
        <v>2</v>
      </c>
      <c r="AK71" s="54">
        <f t="shared" si="244"/>
        <v>5</v>
      </c>
      <c r="AL71" s="54">
        <f t="shared" si="245"/>
        <v>2</v>
      </c>
      <c r="AM71" s="54">
        <f t="shared" si="246"/>
        <v>5</v>
      </c>
      <c r="AN71" s="54">
        <f t="shared" si="247"/>
        <v>2</v>
      </c>
      <c r="AO71" s="54">
        <f t="shared" si="248"/>
        <v>5</v>
      </c>
      <c r="AP71" s="54">
        <f t="shared" si="249"/>
        <v>2</v>
      </c>
      <c r="AQ71" s="54">
        <f t="shared" si="250"/>
        <v>5</v>
      </c>
      <c r="AR71" s="54">
        <f t="shared" si="251"/>
        <v>2</v>
      </c>
      <c r="AS71" s="54">
        <f t="shared" si="252"/>
        <v>5</v>
      </c>
      <c r="AT71" s="54">
        <f t="shared" si="253"/>
        <v>2</v>
      </c>
      <c r="AU71" s="54">
        <f t="shared" si="254"/>
        <v>5</v>
      </c>
      <c r="AV71" s="54">
        <f t="shared" si="255"/>
        <v>2</v>
      </c>
      <c r="AW71" s="54">
        <f t="shared" si="256"/>
        <v>5</v>
      </c>
      <c r="AX71" s="54">
        <f t="shared" si="257"/>
        <v>2</v>
      </c>
      <c r="AY71" s="54">
        <f t="shared" si="258"/>
        <v>5</v>
      </c>
      <c r="AZ71" s="54">
        <f t="shared" si="259"/>
        <v>2</v>
      </c>
      <c r="BA71" s="54">
        <f t="shared" si="260"/>
        <v>5</v>
      </c>
      <c r="BB71" s="54">
        <f t="shared" si="261"/>
        <v>2</v>
      </c>
      <c r="BC71" s="54">
        <f t="shared" si="262"/>
        <v>5</v>
      </c>
      <c r="BD71" s="54">
        <f t="shared" si="263"/>
        <v>2</v>
      </c>
      <c r="BE71" s="54">
        <f t="shared" si="264"/>
        <v>5</v>
      </c>
      <c r="BF71" s="54">
        <f t="shared" si="265"/>
        <v>2</v>
      </c>
      <c r="BG71" s="54">
        <f t="shared" si="266"/>
        <v>5</v>
      </c>
      <c r="BH71" s="54">
        <f t="shared" si="267"/>
        <v>2</v>
      </c>
      <c r="BI71" s="54">
        <f t="shared" si="268"/>
        <v>5</v>
      </c>
      <c r="BJ71" s="54">
        <f t="shared" si="269"/>
        <v>2</v>
      </c>
      <c r="BK71" s="54">
        <f t="shared" si="270"/>
        <v>5</v>
      </c>
      <c r="BL71" s="54">
        <f t="shared" si="271"/>
        <v>2</v>
      </c>
      <c r="BM71" s="54">
        <f t="shared" si="272"/>
        <v>5</v>
      </c>
      <c r="BN71" s="54">
        <f t="shared" si="273"/>
        <v>2</v>
      </c>
      <c r="BO71" s="54">
        <f t="shared" si="274"/>
        <v>5</v>
      </c>
      <c r="BP71" s="54">
        <f t="shared" si="275"/>
        <v>2</v>
      </c>
      <c r="BQ71" s="54">
        <f t="shared" si="276"/>
        <v>5</v>
      </c>
      <c r="BR71" s="54">
        <f t="shared" si="277"/>
        <v>2</v>
      </c>
      <c r="BS71" s="54">
        <f t="shared" si="278"/>
        <v>5</v>
      </c>
      <c r="BT71" s="54">
        <f t="shared" si="279"/>
        <v>2</v>
      </c>
      <c r="BU71" s="54">
        <f t="shared" si="280"/>
        <v>5</v>
      </c>
      <c r="BV71" s="54">
        <f t="shared" si="281"/>
        <v>2</v>
      </c>
      <c r="BW71" s="54">
        <f t="shared" si="282"/>
        <v>5</v>
      </c>
      <c r="BX71" s="54">
        <f t="shared" si="283"/>
        <v>2</v>
      </c>
      <c r="BY71" s="54">
        <f t="shared" si="284"/>
        <v>5</v>
      </c>
      <c r="BZ71" s="54">
        <f t="shared" si="285"/>
        <v>2</v>
      </c>
      <c r="CA71" s="54">
        <f t="shared" si="286"/>
        <v>5</v>
      </c>
      <c r="CB71" s="54">
        <f t="shared" si="287"/>
        <v>2</v>
      </c>
      <c r="CC71" s="54">
        <f t="shared" si="288"/>
        <v>5</v>
      </c>
      <c r="CD71" s="54">
        <f t="shared" si="289"/>
        <v>2</v>
      </c>
      <c r="CE71" s="54">
        <f t="shared" si="290"/>
        <v>5</v>
      </c>
      <c r="CF71" s="54">
        <f t="shared" si="291"/>
        <v>2</v>
      </c>
      <c r="CG71" s="54">
        <f t="shared" si="292"/>
        <v>5</v>
      </c>
      <c r="CH71" s="54">
        <f t="shared" si="293"/>
        <v>2</v>
      </c>
      <c r="CI71" s="54">
        <f t="shared" si="294"/>
        <v>5</v>
      </c>
      <c r="CJ71" s="54">
        <f t="shared" si="295"/>
        <v>2</v>
      </c>
      <c r="CK71" s="54">
        <f t="shared" si="296"/>
        <v>5</v>
      </c>
      <c r="CL71" s="54">
        <f t="shared" si="297"/>
        <v>2</v>
      </c>
      <c r="CM71" s="54">
        <f t="shared" si="298"/>
        <v>5</v>
      </c>
      <c r="CN71" s="54">
        <f t="shared" si="299"/>
        <v>2</v>
      </c>
      <c r="CO71" s="54">
        <f t="shared" si="300"/>
        <v>5</v>
      </c>
      <c r="CP71" s="54">
        <f t="shared" si="301"/>
        <v>2</v>
      </c>
      <c r="CQ71" s="54">
        <f t="shared" si="302"/>
        <v>5</v>
      </c>
      <c r="CR71" s="54">
        <f t="shared" si="303"/>
        <v>2</v>
      </c>
      <c r="CS71" s="54">
        <f t="shared" si="304"/>
        <v>5</v>
      </c>
      <c r="CT71" s="54">
        <f t="shared" si="305"/>
        <v>2</v>
      </c>
      <c r="CU71" s="54">
        <f t="shared" si="306"/>
        <v>5</v>
      </c>
      <c r="CV71" s="54">
        <f t="shared" si="307"/>
        <v>2</v>
      </c>
      <c r="CW71" s="54">
        <f t="shared" si="308"/>
        <v>5</v>
      </c>
      <c r="CX71" s="54">
        <f t="shared" si="309"/>
        <v>2</v>
      </c>
      <c r="CY71" s="54">
        <f t="shared" si="310"/>
        <v>5</v>
      </c>
      <c r="CZ71" s="54">
        <f t="shared" si="311"/>
        <v>2</v>
      </c>
      <c r="DA71" s="54">
        <f t="shared" si="312"/>
        <v>5</v>
      </c>
      <c r="DB71" s="54">
        <f t="shared" si="313"/>
        <v>2</v>
      </c>
      <c r="DC71" s="54">
        <f t="shared" si="314"/>
        <v>5</v>
      </c>
      <c r="DD71" s="54">
        <f t="shared" si="315"/>
        <v>2</v>
      </c>
      <c r="DE71" s="54">
        <f t="shared" si="316"/>
        <v>5</v>
      </c>
      <c r="DF71" s="54">
        <f t="shared" si="317"/>
        <v>2</v>
      </c>
      <c r="DG71" s="54">
        <f t="shared" si="318"/>
        <v>5</v>
      </c>
      <c r="DH71" s="54">
        <f t="shared" si="319"/>
        <v>2</v>
      </c>
      <c r="DI71" s="54">
        <f t="shared" si="320"/>
        <v>5</v>
      </c>
      <c r="DJ71" s="54">
        <f t="shared" si="321"/>
        <v>2</v>
      </c>
      <c r="DK71" s="54">
        <f t="shared" si="322"/>
        <v>5</v>
      </c>
      <c r="DL71" s="54">
        <f t="shared" si="323"/>
        <v>2</v>
      </c>
      <c r="DM71" s="54">
        <f t="shared" si="324"/>
        <v>5</v>
      </c>
      <c r="DN71" s="54">
        <f t="shared" si="325"/>
        <v>2</v>
      </c>
      <c r="DO71" s="54">
        <f t="shared" si="326"/>
        <v>5</v>
      </c>
      <c r="DP71" s="54">
        <f t="shared" si="327"/>
        <v>2</v>
      </c>
      <c r="DQ71" s="54">
        <f t="shared" si="328"/>
        <v>5</v>
      </c>
      <c r="DR71" s="54">
        <f t="shared" si="329"/>
        <v>2</v>
      </c>
      <c r="DS71" s="54">
        <f t="shared" si="330"/>
        <v>5</v>
      </c>
      <c r="DT71" s="54">
        <f t="shared" si="331"/>
        <v>2</v>
      </c>
      <c r="DU71" s="54">
        <f t="shared" si="332"/>
        <v>5</v>
      </c>
      <c r="DV71" s="54">
        <f t="shared" si="333"/>
        <v>2</v>
      </c>
      <c r="DW71" s="54">
        <f t="shared" si="334"/>
        <v>5</v>
      </c>
      <c r="DX71" s="54">
        <f t="shared" si="335"/>
        <v>2</v>
      </c>
      <c r="DY71" s="54">
        <f t="shared" si="336"/>
        <v>5</v>
      </c>
      <c r="DZ71" s="54">
        <f t="shared" si="337"/>
        <v>2</v>
      </c>
      <c r="EA71" s="54">
        <f t="shared" si="336"/>
        <v>5</v>
      </c>
      <c r="EB71" s="54">
        <f t="shared" si="337"/>
        <v>2</v>
      </c>
      <c r="EC71" s="54">
        <f t="shared" si="337"/>
        <v>5</v>
      </c>
      <c r="ED71" s="54">
        <f t="shared" si="338"/>
        <v>2</v>
      </c>
      <c r="EE71" s="54">
        <f t="shared" si="339"/>
        <v>5</v>
      </c>
      <c r="EF71" s="54">
        <f t="shared" si="340"/>
        <v>2</v>
      </c>
      <c r="EG71" s="54">
        <f t="shared" ref="EG71:EN71" si="342">EG70</f>
        <v>5</v>
      </c>
      <c r="EH71" s="54">
        <f t="shared" si="342"/>
        <v>2</v>
      </c>
      <c r="EI71" s="54">
        <f t="shared" si="342"/>
        <v>5</v>
      </c>
      <c r="EJ71" s="54">
        <f t="shared" si="342"/>
        <v>2</v>
      </c>
      <c r="EK71" s="54">
        <f t="shared" si="342"/>
        <v>5</v>
      </c>
      <c r="EL71" s="54">
        <f t="shared" si="342"/>
        <v>2</v>
      </c>
      <c r="EM71" s="54">
        <f t="shared" si="342"/>
        <v>5</v>
      </c>
      <c r="EN71" s="54">
        <f t="shared" si="342"/>
        <v>2</v>
      </c>
      <c r="EO71" s="54">
        <f t="shared" si="209"/>
        <v>2</v>
      </c>
      <c r="EP71" s="54">
        <f t="shared" si="210"/>
        <v>2</v>
      </c>
    </row>
    <row r="72" spans="1:146" x14ac:dyDescent="0.2">
      <c r="B72" t="s">
        <v>230</v>
      </c>
      <c r="C72" s="54">
        <f t="shared" si="211"/>
        <v>45474</v>
      </c>
      <c r="D72" s="54">
        <f t="shared" si="207"/>
        <v>1</v>
      </c>
      <c r="E72" s="54">
        <f t="shared" si="212"/>
        <v>4</v>
      </c>
      <c r="F72" s="54">
        <f t="shared" si="213"/>
        <v>2</v>
      </c>
      <c r="G72" s="54">
        <f t="shared" si="214"/>
        <v>5</v>
      </c>
      <c r="H72" s="54">
        <f t="shared" si="215"/>
        <v>2</v>
      </c>
      <c r="I72" s="54">
        <f t="shared" si="216"/>
        <v>5</v>
      </c>
      <c r="J72" s="54">
        <f t="shared" si="217"/>
        <v>2</v>
      </c>
      <c r="K72" s="54">
        <f t="shared" si="218"/>
        <v>5</v>
      </c>
      <c r="L72" s="54">
        <f t="shared" si="219"/>
        <v>2</v>
      </c>
      <c r="M72" s="54">
        <f t="shared" si="220"/>
        <v>5</v>
      </c>
      <c r="N72" s="54">
        <f t="shared" si="221"/>
        <v>2</v>
      </c>
      <c r="O72" s="54">
        <f t="shared" si="222"/>
        <v>5</v>
      </c>
      <c r="P72" s="54">
        <f t="shared" si="223"/>
        <v>2</v>
      </c>
      <c r="Q72" s="54">
        <f t="shared" si="224"/>
        <v>5</v>
      </c>
      <c r="R72" s="54">
        <f t="shared" si="225"/>
        <v>2</v>
      </c>
      <c r="S72" s="54">
        <f t="shared" si="226"/>
        <v>5</v>
      </c>
      <c r="T72" s="54">
        <f t="shared" si="227"/>
        <v>2</v>
      </c>
      <c r="U72" s="54">
        <f t="shared" si="228"/>
        <v>5</v>
      </c>
      <c r="V72" s="54">
        <f t="shared" si="229"/>
        <v>2</v>
      </c>
      <c r="W72" s="54">
        <f t="shared" si="230"/>
        <v>5</v>
      </c>
      <c r="X72" s="54">
        <f t="shared" si="231"/>
        <v>2</v>
      </c>
      <c r="Y72" s="54">
        <f t="shared" si="232"/>
        <v>5</v>
      </c>
      <c r="Z72" s="54">
        <f t="shared" si="233"/>
        <v>2</v>
      </c>
      <c r="AA72" s="54">
        <f t="shared" si="234"/>
        <v>5</v>
      </c>
      <c r="AB72" s="54">
        <f t="shared" si="235"/>
        <v>2</v>
      </c>
      <c r="AC72" s="54">
        <f t="shared" si="236"/>
        <v>5</v>
      </c>
      <c r="AD72" s="54">
        <f t="shared" si="237"/>
        <v>2</v>
      </c>
      <c r="AE72" s="54">
        <f t="shared" si="238"/>
        <v>5</v>
      </c>
      <c r="AF72" s="54">
        <f t="shared" si="239"/>
        <v>2</v>
      </c>
      <c r="AG72" s="54">
        <f t="shared" si="240"/>
        <v>5</v>
      </c>
      <c r="AH72" s="54">
        <f t="shared" si="241"/>
        <v>2</v>
      </c>
      <c r="AI72" s="54">
        <f t="shared" si="242"/>
        <v>5</v>
      </c>
      <c r="AJ72" s="54">
        <f t="shared" si="243"/>
        <v>2</v>
      </c>
      <c r="AK72" s="54">
        <f t="shared" si="244"/>
        <v>5</v>
      </c>
      <c r="AL72" s="54">
        <f t="shared" si="245"/>
        <v>2</v>
      </c>
      <c r="AM72" s="54">
        <f t="shared" si="246"/>
        <v>5</v>
      </c>
      <c r="AN72" s="54">
        <f t="shared" si="247"/>
        <v>2</v>
      </c>
      <c r="AO72" s="54">
        <f t="shared" si="248"/>
        <v>5</v>
      </c>
      <c r="AP72" s="54">
        <f t="shared" si="249"/>
        <v>2</v>
      </c>
      <c r="AQ72" s="54">
        <f t="shared" si="250"/>
        <v>5</v>
      </c>
      <c r="AR72" s="54">
        <f t="shared" si="251"/>
        <v>2</v>
      </c>
      <c r="AS72" s="54">
        <f t="shared" si="252"/>
        <v>5</v>
      </c>
      <c r="AT72" s="54">
        <f t="shared" si="253"/>
        <v>2</v>
      </c>
      <c r="AU72" s="54">
        <f t="shared" si="254"/>
        <v>5</v>
      </c>
      <c r="AV72" s="54">
        <f t="shared" si="255"/>
        <v>2</v>
      </c>
      <c r="AW72" s="54">
        <f t="shared" si="256"/>
        <v>5</v>
      </c>
      <c r="AX72" s="54">
        <f t="shared" si="257"/>
        <v>2</v>
      </c>
      <c r="AY72" s="54">
        <f t="shared" si="258"/>
        <v>5</v>
      </c>
      <c r="AZ72" s="54">
        <f t="shared" si="259"/>
        <v>2</v>
      </c>
      <c r="BA72" s="54">
        <f t="shared" si="260"/>
        <v>5</v>
      </c>
      <c r="BB72" s="54">
        <f t="shared" si="261"/>
        <v>2</v>
      </c>
      <c r="BC72" s="54">
        <f t="shared" si="262"/>
        <v>5</v>
      </c>
      <c r="BD72" s="54">
        <f t="shared" si="263"/>
        <v>2</v>
      </c>
      <c r="BE72" s="54">
        <f t="shared" si="264"/>
        <v>5</v>
      </c>
      <c r="BF72" s="54">
        <f t="shared" si="265"/>
        <v>2</v>
      </c>
      <c r="BG72" s="54">
        <f t="shared" si="266"/>
        <v>5</v>
      </c>
      <c r="BH72" s="54">
        <f t="shared" si="267"/>
        <v>2</v>
      </c>
      <c r="BI72" s="54">
        <f t="shared" si="268"/>
        <v>5</v>
      </c>
      <c r="BJ72" s="54">
        <f t="shared" si="269"/>
        <v>2</v>
      </c>
      <c r="BK72" s="54">
        <f t="shared" si="270"/>
        <v>5</v>
      </c>
      <c r="BL72" s="54">
        <f t="shared" si="271"/>
        <v>2</v>
      </c>
      <c r="BM72" s="54">
        <f t="shared" si="272"/>
        <v>5</v>
      </c>
      <c r="BN72" s="54">
        <f t="shared" si="273"/>
        <v>2</v>
      </c>
      <c r="BO72" s="54">
        <f t="shared" si="274"/>
        <v>5</v>
      </c>
      <c r="BP72" s="54">
        <f t="shared" si="275"/>
        <v>2</v>
      </c>
      <c r="BQ72" s="54">
        <f t="shared" si="276"/>
        <v>5</v>
      </c>
      <c r="BR72" s="54">
        <f t="shared" si="277"/>
        <v>2</v>
      </c>
      <c r="BS72" s="54">
        <f t="shared" si="278"/>
        <v>5</v>
      </c>
      <c r="BT72" s="54">
        <f t="shared" si="279"/>
        <v>2</v>
      </c>
      <c r="BU72" s="54">
        <f t="shared" si="280"/>
        <v>5</v>
      </c>
      <c r="BV72" s="54">
        <f t="shared" si="281"/>
        <v>2</v>
      </c>
      <c r="BW72" s="54">
        <f t="shared" si="282"/>
        <v>5</v>
      </c>
      <c r="BX72" s="54">
        <f t="shared" si="283"/>
        <v>2</v>
      </c>
      <c r="BY72" s="54">
        <f t="shared" si="284"/>
        <v>5</v>
      </c>
      <c r="BZ72" s="54">
        <f t="shared" si="285"/>
        <v>2</v>
      </c>
      <c r="CA72" s="54">
        <f t="shared" si="286"/>
        <v>5</v>
      </c>
      <c r="CB72" s="54">
        <f t="shared" si="287"/>
        <v>2</v>
      </c>
      <c r="CC72" s="54">
        <f t="shared" si="288"/>
        <v>5</v>
      </c>
      <c r="CD72" s="54">
        <f t="shared" si="289"/>
        <v>2</v>
      </c>
      <c r="CE72" s="54">
        <f t="shared" si="290"/>
        <v>5</v>
      </c>
      <c r="CF72" s="54">
        <f t="shared" si="291"/>
        <v>2</v>
      </c>
      <c r="CG72" s="54">
        <f t="shared" si="292"/>
        <v>5</v>
      </c>
      <c r="CH72" s="54">
        <f t="shared" si="293"/>
        <v>2</v>
      </c>
      <c r="CI72" s="54">
        <f t="shared" si="294"/>
        <v>5</v>
      </c>
      <c r="CJ72" s="54">
        <f t="shared" si="295"/>
        <v>2</v>
      </c>
      <c r="CK72" s="54">
        <f t="shared" si="296"/>
        <v>5</v>
      </c>
      <c r="CL72" s="54">
        <f t="shared" si="297"/>
        <v>2</v>
      </c>
      <c r="CM72" s="54">
        <f t="shared" si="298"/>
        <v>5</v>
      </c>
      <c r="CN72" s="54">
        <f t="shared" si="299"/>
        <v>2</v>
      </c>
      <c r="CO72" s="54">
        <f t="shared" si="300"/>
        <v>5</v>
      </c>
      <c r="CP72" s="54">
        <f t="shared" si="301"/>
        <v>2</v>
      </c>
      <c r="CQ72" s="54">
        <f t="shared" si="302"/>
        <v>5</v>
      </c>
      <c r="CR72" s="54">
        <f t="shared" si="303"/>
        <v>2</v>
      </c>
      <c r="CS72" s="54">
        <f t="shared" si="304"/>
        <v>5</v>
      </c>
      <c r="CT72" s="54">
        <f t="shared" si="305"/>
        <v>2</v>
      </c>
      <c r="CU72" s="54">
        <f t="shared" si="306"/>
        <v>5</v>
      </c>
      <c r="CV72" s="54">
        <f t="shared" si="307"/>
        <v>2</v>
      </c>
      <c r="CW72" s="54">
        <f t="shared" si="308"/>
        <v>5</v>
      </c>
      <c r="CX72" s="54">
        <f t="shared" si="309"/>
        <v>2</v>
      </c>
      <c r="CY72" s="54">
        <f t="shared" si="310"/>
        <v>5</v>
      </c>
      <c r="CZ72" s="54">
        <f t="shared" si="311"/>
        <v>2</v>
      </c>
      <c r="DA72" s="54">
        <f t="shared" si="312"/>
        <v>5</v>
      </c>
      <c r="DB72" s="54">
        <f t="shared" si="313"/>
        <v>2</v>
      </c>
      <c r="DC72" s="54">
        <f t="shared" si="314"/>
        <v>5</v>
      </c>
      <c r="DD72" s="54">
        <f t="shared" si="315"/>
        <v>2</v>
      </c>
      <c r="DE72" s="54">
        <f t="shared" si="316"/>
        <v>5</v>
      </c>
      <c r="DF72" s="54">
        <f t="shared" si="317"/>
        <v>2</v>
      </c>
      <c r="DG72" s="54">
        <f t="shared" si="318"/>
        <v>5</v>
      </c>
      <c r="DH72" s="54">
        <f t="shared" si="319"/>
        <v>2</v>
      </c>
      <c r="DI72" s="54">
        <f t="shared" si="320"/>
        <v>5</v>
      </c>
      <c r="DJ72" s="54">
        <f t="shared" si="321"/>
        <v>2</v>
      </c>
      <c r="DK72" s="54">
        <f t="shared" si="322"/>
        <v>5</v>
      </c>
      <c r="DL72" s="54">
        <f t="shared" si="323"/>
        <v>2</v>
      </c>
      <c r="DM72" s="54">
        <f t="shared" si="324"/>
        <v>5</v>
      </c>
      <c r="DN72" s="54">
        <f t="shared" si="325"/>
        <v>2</v>
      </c>
      <c r="DO72" s="54">
        <f t="shared" si="326"/>
        <v>5</v>
      </c>
      <c r="DP72" s="54">
        <f t="shared" si="327"/>
        <v>2</v>
      </c>
      <c r="DQ72" s="54">
        <f t="shared" si="328"/>
        <v>5</v>
      </c>
      <c r="DR72" s="54">
        <f t="shared" si="329"/>
        <v>2</v>
      </c>
      <c r="DS72" s="54">
        <f t="shared" si="330"/>
        <v>5</v>
      </c>
      <c r="DT72" s="54">
        <f t="shared" si="331"/>
        <v>2</v>
      </c>
      <c r="DU72" s="54">
        <f t="shared" si="332"/>
        <v>5</v>
      </c>
      <c r="DV72" s="54">
        <f t="shared" si="333"/>
        <v>2</v>
      </c>
      <c r="DW72" s="54">
        <f t="shared" si="334"/>
        <v>5</v>
      </c>
      <c r="DX72" s="54">
        <f t="shared" si="335"/>
        <v>2</v>
      </c>
      <c r="DY72" s="54">
        <f t="shared" si="336"/>
        <v>5</v>
      </c>
      <c r="DZ72" s="54">
        <f t="shared" si="337"/>
        <v>2</v>
      </c>
      <c r="EA72" s="54">
        <f t="shared" si="336"/>
        <v>5</v>
      </c>
      <c r="EB72" s="54">
        <f t="shared" si="337"/>
        <v>2</v>
      </c>
      <c r="EC72" s="54">
        <f t="shared" si="337"/>
        <v>5</v>
      </c>
      <c r="ED72" s="54">
        <f t="shared" si="338"/>
        <v>2</v>
      </c>
      <c r="EE72" s="54">
        <f t="shared" si="339"/>
        <v>5</v>
      </c>
      <c r="EF72" s="54">
        <f t="shared" si="340"/>
        <v>2</v>
      </c>
      <c r="EG72" s="54">
        <f t="shared" ref="EG72:EN72" si="343">EG71</f>
        <v>5</v>
      </c>
      <c r="EH72" s="54">
        <f t="shared" si="343"/>
        <v>2</v>
      </c>
      <c r="EI72" s="54">
        <f t="shared" si="343"/>
        <v>5</v>
      </c>
      <c r="EJ72" s="54">
        <f t="shared" si="343"/>
        <v>2</v>
      </c>
      <c r="EK72" s="54">
        <f t="shared" si="343"/>
        <v>5</v>
      </c>
      <c r="EL72" s="54">
        <f t="shared" si="343"/>
        <v>2</v>
      </c>
      <c r="EM72" s="54">
        <f t="shared" si="343"/>
        <v>5</v>
      </c>
      <c r="EN72" s="54">
        <f t="shared" si="343"/>
        <v>2</v>
      </c>
      <c r="EO72" s="54">
        <f t="shared" si="209"/>
        <v>2</v>
      </c>
      <c r="EP72" s="54">
        <f t="shared" si="210"/>
        <v>2</v>
      </c>
    </row>
    <row r="73" spans="1:146" x14ac:dyDescent="0.2">
      <c r="B73" t="s">
        <v>230</v>
      </c>
      <c r="C73" s="54">
        <f t="shared" si="211"/>
        <v>45474</v>
      </c>
      <c r="D73" s="54">
        <f t="shared" si="207"/>
        <v>1</v>
      </c>
      <c r="E73" s="54">
        <f t="shared" si="212"/>
        <v>4</v>
      </c>
      <c r="F73" s="54">
        <f t="shared" si="213"/>
        <v>2</v>
      </c>
      <c r="G73" s="54">
        <f t="shared" si="214"/>
        <v>5</v>
      </c>
      <c r="H73" s="54">
        <f t="shared" si="215"/>
        <v>2</v>
      </c>
      <c r="I73" s="54">
        <f t="shared" si="216"/>
        <v>5</v>
      </c>
      <c r="J73" s="54">
        <f t="shared" si="217"/>
        <v>2</v>
      </c>
      <c r="K73" s="54">
        <f t="shared" si="218"/>
        <v>5</v>
      </c>
      <c r="L73" s="54">
        <f t="shared" si="219"/>
        <v>2</v>
      </c>
      <c r="M73" s="54">
        <f t="shared" si="220"/>
        <v>5</v>
      </c>
      <c r="N73" s="54">
        <f t="shared" si="221"/>
        <v>2</v>
      </c>
      <c r="O73" s="54">
        <f t="shared" si="222"/>
        <v>5</v>
      </c>
      <c r="P73" s="54">
        <f t="shared" si="223"/>
        <v>2</v>
      </c>
      <c r="Q73" s="54">
        <f t="shared" si="224"/>
        <v>5</v>
      </c>
      <c r="R73" s="54">
        <f t="shared" si="225"/>
        <v>2</v>
      </c>
      <c r="S73" s="54">
        <f t="shared" si="226"/>
        <v>5</v>
      </c>
      <c r="T73" s="54">
        <f t="shared" si="227"/>
        <v>2</v>
      </c>
      <c r="U73" s="54">
        <f t="shared" si="228"/>
        <v>5</v>
      </c>
      <c r="V73" s="54">
        <f t="shared" si="229"/>
        <v>2</v>
      </c>
      <c r="W73" s="54">
        <f t="shared" si="230"/>
        <v>5</v>
      </c>
      <c r="X73" s="54">
        <f t="shared" si="231"/>
        <v>2</v>
      </c>
      <c r="Y73" s="54">
        <f t="shared" si="232"/>
        <v>5</v>
      </c>
      <c r="Z73" s="54">
        <f t="shared" si="233"/>
        <v>2</v>
      </c>
      <c r="AA73" s="54">
        <f t="shared" si="234"/>
        <v>5</v>
      </c>
      <c r="AB73" s="54">
        <f t="shared" si="235"/>
        <v>2</v>
      </c>
      <c r="AC73" s="54">
        <f t="shared" si="236"/>
        <v>5</v>
      </c>
      <c r="AD73" s="54">
        <f t="shared" si="237"/>
        <v>2</v>
      </c>
      <c r="AE73" s="54">
        <f t="shared" si="238"/>
        <v>5</v>
      </c>
      <c r="AF73" s="54">
        <f t="shared" si="239"/>
        <v>2</v>
      </c>
      <c r="AG73" s="54">
        <f t="shared" si="240"/>
        <v>5</v>
      </c>
      <c r="AH73" s="54">
        <f t="shared" si="241"/>
        <v>2</v>
      </c>
      <c r="AI73" s="54">
        <f t="shared" si="242"/>
        <v>5</v>
      </c>
      <c r="AJ73" s="54">
        <f t="shared" si="243"/>
        <v>2</v>
      </c>
      <c r="AK73" s="54">
        <f t="shared" si="244"/>
        <v>5</v>
      </c>
      <c r="AL73" s="54">
        <f t="shared" si="245"/>
        <v>2</v>
      </c>
      <c r="AM73" s="54">
        <f t="shared" si="246"/>
        <v>5</v>
      </c>
      <c r="AN73" s="54">
        <f t="shared" si="247"/>
        <v>2</v>
      </c>
      <c r="AO73" s="54">
        <f t="shared" si="248"/>
        <v>5</v>
      </c>
      <c r="AP73" s="54">
        <f t="shared" si="249"/>
        <v>2</v>
      </c>
      <c r="AQ73" s="54">
        <f t="shared" si="250"/>
        <v>5</v>
      </c>
      <c r="AR73" s="54">
        <f t="shared" si="251"/>
        <v>2</v>
      </c>
      <c r="AS73" s="54">
        <f t="shared" si="252"/>
        <v>5</v>
      </c>
      <c r="AT73" s="54">
        <f t="shared" si="253"/>
        <v>2</v>
      </c>
      <c r="AU73" s="54">
        <f t="shared" si="254"/>
        <v>5</v>
      </c>
      <c r="AV73" s="54">
        <f t="shared" si="255"/>
        <v>2</v>
      </c>
      <c r="AW73" s="54">
        <f t="shared" si="256"/>
        <v>5</v>
      </c>
      <c r="AX73" s="54">
        <f t="shared" si="257"/>
        <v>2</v>
      </c>
      <c r="AY73" s="54">
        <f t="shared" si="258"/>
        <v>5</v>
      </c>
      <c r="AZ73" s="54">
        <f t="shared" si="259"/>
        <v>2</v>
      </c>
      <c r="BA73" s="54">
        <f t="shared" si="260"/>
        <v>5</v>
      </c>
      <c r="BB73" s="54">
        <f t="shared" si="261"/>
        <v>2</v>
      </c>
      <c r="BC73" s="54">
        <f t="shared" si="262"/>
        <v>5</v>
      </c>
      <c r="BD73" s="54">
        <f t="shared" si="263"/>
        <v>2</v>
      </c>
      <c r="BE73" s="54">
        <f t="shared" si="264"/>
        <v>5</v>
      </c>
      <c r="BF73" s="54">
        <f t="shared" si="265"/>
        <v>2</v>
      </c>
      <c r="BG73" s="54">
        <f t="shared" si="266"/>
        <v>5</v>
      </c>
      <c r="BH73" s="54">
        <f t="shared" si="267"/>
        <v>2</v>
      </c>
      <c r="BI73" s="54">
        <f t="shared" si="268"/>
        <v>5</v>
      </c>
      <c r="BJ73" s="54">
        <f t="shared" si="269"/>
        <v>2</v>
      </c>
      <c r="BK73" s="54">
        <f t="shared" si="270"/>
        <v>5</v>
      </c>
      <c r="BL73" s="54">
        <f t="shared" si="271"/>
        <v>2</v>
      </c>
      <c r="BM73" s="54">
        <f t="shared" si="272"/>
        <v>5</v>
      </c>
      <c r="BN73" s="54">
        <f t="shared" si="273"/>
        <v>2</v>
      </c>
      <c r="BO73" s="54">
        <f t="shared" si="274"/>
        <v>5</v>
      </c>
      <c r="BP73" s="54">
        <f t="shared" si="275"/>
        <v>2</v>
      </c>
      <c r="BQ73" s="54">
        <f t="shared" si="276"/>
        <v>5</v>
      </c>
      <c r="BR73" s="54">
        <f t="shared" si="277"/>
        <v>2</v>
      </c>
      <c r="BS73" s="54">
        <f t="shared" si="278"/>
        <v>5</v>
      </c>
      <c r="BT73" s="54">
        <f t="shared" si="279"/>
        <v>2</v>
      </c>
      <c r="BU73" s="54">
        <f t="shared" si="280"/>
        <v>5</v>
      </c>
      <c r="BV73" s="54">
        <f t="shared" si="281"/>
        <v>2</v>
      </c>
      <c r="BW73" s="54">
        <f t="shared" si="282"/>
        <v>5</v>
      </c>
      <c r="BX73" s="54">
        <f t="shared" si="283"/>
        <v>2</v>
      </c>
      <c r="BY73" s="54">
        <f t="shared" si="284"/>
        <v>5</v>
      </c>
      <c r="BZ73" s="54">
        <f t="shared" si="285"/>
        <v>2</v>
      </c>
      <c r="CA73" s="54">
        <f t="shared" si="286"/>
        <v>5</v>
      </c>
      <c r="CB73" s="54">
        <f t="shared" si="287"/>
        <v>2</v>
      </c>
      <c r="CC73" s="54">
        <f t="shared" si="288"/>
        <v>5</v>
      </c>
      <c r="CD73" s="54">
        <f t="shared" si="289"/>
        <v>2</v>
      </c>
      <c r="CE73" s="54">
        <f t="shared" si="290"/>
        <v>5</v>
      </c>
      <c r="CF73" s="54">
        <f t="shared" si="291"/>
        <v>2</v>
      </c>
      <c r="CG73" s="54">
        <f t="shared" si="292"/>
        <v>5</v>
      </c>
      <c r="CH73" s="54">
        <f t="shared" si="293"/>
        <v>2</v>
      </c>
      <c r="CI73" s="54">
        <f t="shared" si="294"/>
        <v>5</v>
      </c>
      <c r="CJ73" s="54">
        <f t="shared" si="295"/>
        <v>2</v>
      </c>
      <c r="CK73" s="54">
        <f t="shared" si="296"/>
        <v>5</v>
      </c>
      <c r="CL73" s="54">
        <f t="shared" si="297"/>
        <v>2</v>
      </c>
      <c r="CM73" s="54">
        <f t="shared" si="298"/>
        <v>5</v>
      </c>
      <c r="CN73" s="54">
        <f t="shared" si="299"/>
        <v>2</v>
      </c>
      <c r="CO73" s="54">
        <f t="shared" si="300"/>
        <v>5</v>
      </c>
      <c r="CP73" s="54">
        <f t="shared" si="301"/>
        <v>2</v>
      </c>
      <c r="CQ73" s="54">
        <f t="shared" si="302"/>
        <v>5</v>
      </c>
      <c r="CR73" s="54">
        <f t="shared" si="303"/>
        <v>2</v>
      </c>
      <c r="CS73" s="54">
        <f t="shared" si="304"/>
        <v>5</v>
      </c>
      <c r="CT73" s="54">
        <f t="shared" si="305"/>
        <v>2</v>
      </c>
      <c r="CU73" s="54">
        <f t="shared" si="306"/>
        <v>5</v>
      </c>
      <c r="CV73" s="54">
        <f t="shared" si="307"/>
        <v>2</v>
      </c>
      <c r="CW73" s="54">
        <f t="shared" si="308"/>
        <v>5</v>
      </c>
      <c r="CX73" s="54">
        <f t="shared" si="309"/>
        <v>2</v>
      </c>
      <c r="CY73" s="54">
        <f t="shared" si="310"/>
        <v>5</v>
      </c>
      <c r="CZ73" s="54">
        <f t="shared" si="311"/>
        <v>2</v>
      </c>
      <c r="DA73" s="54">
        <f t="shared" si="312"/>
        <v>5</v>
      </c>
      <c r="DB73" s="54">
        <f t="shared" si="313"/>
        <v>2</v>
      </c>
      <c r="DC73" s="54">
        <f t="shared" si="314"/>
        <v>5</v>
      </c>
      <c r="DD73" s="54">
        <f t="shared" si="315"/>
        <v>2</v>
      </c>
      <c r="DE73" s="54">
        <f t="shared" si="316"/>
        <v>5</v>
      </c>
      <c r="DF73" s="54">
        <f t="shared" si="317"/>
        <v>2</v>
      </c>
      <c r="DG73" s="54">
        <f t="shared" si="318"/>
        <v>5</v>
      </c>
      <c r="DH73" s="54">
        <f t="shared" si="319"/>
        <v>2</v>
      </c>
      <c r="DI73" s="54">
        <f t="shared" si="320"/>
        <v>5</v>
      </c>
      <c r="DJ73" s="54">
        <f t="shared" si="321"/>
        <v>2</v>
      </c>
      <c r="DK73" s="54">
        <f t="shared" si="322"/>
        <v>5</v>
      </c>
      <c r="DL73" s="54">
        <f t="shared" si="323"/>
        <v>2</v>
      </c>
      <c r="DM73" s="54">
        <f t="shared" si="324"/>
        <v>5</v>
      </c>
      <c r="DN73" s="54">
        <f t="shared" si="325"/>
        <v>2</v>
      </c>
      <c r="DO73" s="54">
        <f t="shared" si="326"/>
        <v>5</v>
      </c>
      <c r="DP73" s="54">
        <f t="shared" si="327"/>
        <v>2</v>
      </c>
      <c r="DQ73" s="54">
        <f t="shared" si="328"/>
        <v>5</v>
      </c>
      <c r="DR73" s="54">
        <f t="shared" si="329"/>
        <v>2</v>
      </c>
      <c r="DS73" s="54">
        <f t="shared" si="330"/>
        <v>5</v>
      </c>
      <c r="DT73" s="54">
        <f t="shared" si="331"/>
        <v>2</v>
      </c>
      <c r="DU73" s="54">
        <f t="shared" si="332"/>
        <v>5</v>
      </c>
      <c r="DV73" s="54">
        <f t="shared" si="333"/>
        <v>2</v>
      </c>
      <c r="DW73" s="54">
        <f t="shared" si="334"/>
        <v>5</v>
      </c>
      <c r="DX73" s="54">
        <f t="shared" si="335"/>
        <v>2</v>
      </c>
      <c r="DY73" s="54">
        <f t="shared" si="336"/>
        <v>5</v>
      </c>
      <c r="DZ73" s="54">
        <f t="shared" si="337"/>
        <v>2</v>
      </c>
      <c r="EA73" s="54">
        <f t="shared" si="336"/>
        <v>5</v>
      </c>
      <c r="EB73" s="54">
        <f t="shared" si="337"/>
        <v>2</v>
      </c>
      <c r="EC73" s="54">
        <f t="shared" si="337"/>
        <v>5</v>
      </c>
      <c r="ED73" s="54">
        <f t="shared" si="338"/>
        <v>2</v>
      </c>
      <c r="EE73" s="54">
        <f t="shared" si="339"/>
        <v>5</v>
      </c>
      <c r="EF73" s="54">
        <f t="shared" si="340"/>
        <v>2</v>
      </c>
      <c r="EG73" s="54">
        <f t="shared" ref="EG73:EN73" si="344">EG72</f>
        <v>5</v>
      </c>
      <c r="EH73" s="54">
        <f t="shared" si="344"/>
        <v>2</v>
      </c>
      <c r="EI73" s="54">
        <f t="shared" si="344"/>
        <v>5</v>
      </c>
      <c r="EJ73" s="54">
        <f t="shared" si="344"/>
        <v>2</v>
      </c>
      <c r="EK73" s="54">
        <f t="shared" si="344"/>
        <v>5</v>
      </c>
      <c r="EL73" s="54">
        <f t="shared" si="344"/>
        <v>2</v>
      </c>
      <c r="EM73" s="54">
        <f t="shared" si="344"/>
        <v>5</v>
      </c>
      <c r="EN73" s="54">
        <f t="shared" si="344"/>
        <v>2</v>
      </c>
      <c r="EO73" s="54">
        <f t="shared" si="209"/>
        <v>2</v>
      </c>
      <c r="EP73" s="54">
        <f t="shared" si="210"/>
        <v>2</v>
      </c>
    </row>
    <row r="74" spans="1:146" x14ac:dyDescent="0.2">
      <c r="A74" s="54"/>
      <c r="B74" t="s">
        <v>230</v>
      </c>
      <c r="C74" s="54">
        <f t="shared" si="211"/>
        <v>45474</v>
      </c>
      <c r="D74" s="54">
        <f t="shared" si="207"/>
        <v>1</v>
      </c>
      <c r="E74" s="54">
        <f t="shared" si="212"/>
        <v>4</v>
      </c>
      <c r="F74" s="54">
        <f t="shared" si="213"/>
        <v>2</v>
      </c>
      <c r="G74" s="54">
        <f t="shared" si="214"/>
        <v>5</v>
      </c>
      <c r="H74" s="54">
        <f t="shared" si="215"/>
        <v>2</v>
      </c>
      <c r="I74" s="54">
        <f t="shared" si="216"/>
        <v>5</v>
      </c>
      <c r="J74" s="54">
        <f t="shared" si="217"/>
        <v>2</v>
      </c>
      <c r="K74" s="54">
        <f t="shared" si="218"/>
        <v>5</v>
      </c>
      <c r="L74" s="54">
        <f t="shared" si="219"/>
        <v>2</v>
      </c>
      <c r="M74" s="54">
        <f t="shared" si="220"/>
        <v>5</v>
      </c>
      <c r="N74" s="54">
        <f t="shared" si="221"/>
        <v>2</v>
      </c>
      <c r="O74" s="54">
        <f t="shared" si="222"/>
        <v>5</v>
      </c>
      <c r="P74" s="54">
        <f t="shared" si="223"/>
        <v>2</v>
      </c>
      <c r="Q74" s="54">
        <f t="shared" si="224"/>
        <v>5</v>
      </c>
      <c r="R74" s="54">
        <f t="shared" si="225"/>
        <v>2</v>
      </c>
      <c r="S74" s="54">
        <f t="shared" si="226"/>
        <v>5</v>
      </c>
      <c r="T74" s="54">
        <f t="shared" si="227"/>
        <v>2</v>
      </c>
      <c r="U74" s="54">
        <f t="shared" si="228"/>
        <v>5</v>
      </c>
      <c r="V74" s="54">
        <f t="shared" si="229"/>
        <v>2</v>
      </c>
      <c r="W74" s="54">
        <f t="shared" si="230"/>
        <v>5</v>
      </c>
      <c r="X74" s="54">
        <f t="shared" si="231"/>
        <v>2</v>
      </c>
      <c r="Y74" s="54">
        <f t="shared" si="232"/>
        <v>5</v>
      </c>
      <c r="Z74" s="54">
        <f t="shared" si="233"/>
        <v>2</v>
      </c>
      <c r="AA74" s="54">
        <f t="shared" si="234"/>
        <v>5</v>
      </c>
      <c r="AB74" s="54">
        <f t="shared" si="235"/>
        <v>2</v>
      </c>
      <c r="AC74" s="54">
        <f t="shared" si="236"/>
        <v>5</v>
      </c>
      <c r="AD74" s="54">
        <f t="shared" si="237"/>
        <v>2</v>
      </c>
      <c r="AE74" s="54">
        <f t="shared" si="238"/>
        <v>5</v>
      </c>
      <c r="AF74" s="54">
        <f t="shared" si="239"/>
        <v>2</v>
      </c>
      <c r="AG74" s="54">
        <f t="shared" si="240"/>
        <v>5</v>
      </c>
      <c r="AH74" s="54">
        <f t="shared" si="241"/>
        <v>2</v>
      </c>
      <c r="AI74" s="54">
        <f t="shared" si="242"/>
        <v>5</v>
      </c>
      <c r="AJ74" s="54">
        <f t="shared" si="243"/>
        <v>2</v>
      </c>
      <c r="AK74" s="54">
        <f t="shared" si="244"/>
        <v>5</v>
      </c>
      <c r="AL74" s="54">
        <f t="shared" si="245"/>
        <v>2</v>
      </c>
      <c r="AM74" s="54">
        <f t="shared" si="246"/>
        <v>5</v>
      </c>
      <c r="AN74" s="54">
        <f t="shared" si="247"/>
        <v>2</v>
      </c>
      <c r="AO74" s="54">
        <f t="shared" si="248"/>
        <v>5</v>
      </c>
      <c r="AP74" s="54">
        <f t="shared" si="249"/>
        <v>2</v>
      </c>
      <c r="AQ74" s="54">
        <f t="shared" si="250"/>
        <v>5</v>
      </c>
      <c r="AR74" s="54">
        <f t="shared" si="251"/>
        <v>2</v>
      </c>
      <c r="AS74" s="54">
        <f t="shared" si="252"/>
        <v>5</v>
      </c>
      <c r="AT74" s="54">
        <f t="shared" si="253"/>
        <v>2</v>
      </c>
      <c r="AU74" s="54">
        <f t="shared" si="254"/>
        <v>5</v>
      </c>
      <c r="AV74" s="54">
        <f t="shared" si="255"/>
        <v>2</v>
      </c>
      <c r="AW74" s="54">
        <f t="shared" si="256"/>
        <v>5</v>
      </c>
      <c r="AX74" s="54">
        <f t="shared" si="257"/>
        <v>2</v>
      </c>
      <c r="AY74" s="54">
        <f t="shared" si="258"/>
        <v>5</v>
      </c>
      <c r="AZ74" s="54">
        <f t="shared" si="259"/>
        <v>2</v>
      </c>
      <c r="BA74" s="54">
        <f t="shared" si="260"/>
        <v>5</v>
      </c>
      <c r="BB74" s="54">
        <f t="shared" si="261"/>
        <v>2</v>
      </c>
      <c r="BC74" s="54">
        <f t="shared" si="262"/>
        <v>5</v>
      </c>
      <c r="BD74" s="54">
        <f t="shared" si="263"/>
        <v>2</v>
      </c>
      <c r="BE74" s="54">
        <f t="shared" si="264"/>
        <v>5</v>
      </c>
      <c r="BF74" s="54">
        <f t="shared" si="265"/>
        <v>2</v>
      </c>
      <c r="BG74" s="54">
        <f t="shared" si="266"/>
        <v>5</v>
      </c>
      <c r="BH74" s="54">
        <f t="shared" si="267"/>
        <v>2</v>
      </c>
      <c r="BI74" s="54">
        <f t="shared" si="268"/>
        <v>5</v>
      </c>
      <c r="BJ74" s="54">
        <f t="shared" si="269"/>
        <v>2</v>
      </c>
      <c r="BK74" s="54">
        <f t="shared" si="270"/>
        <v>5</v>
      </c>
      <c r="BL74" s="54">
        <f t="shared" si="271"/>
        <v>2</v>
      </c>
      <c r="BM74" s="54">
        <f t="shared" si="272"/>
        <v>5</v>
      </c>
      <c r="BN74" s="54">
        <f t="shared" si="273"/>
        <v>2</v>
      </c>
      <c r="BO74" s="54">
        <f t="shared" si="274"/>
        <v>5</v>
      </c>
      <c r="BP74" s="54">
        <f t="shared" si="275"/>
        <v>2</v>
      </c>
      <c r="BQ74" s="54">
        <f t="shared" si="276"/>
        <v>5</v>
      </c>
      <c r="BR74" s="54">
        <f t="shared" si="277"/>
        <v>2</v>
      </c>
      <c r="BS74" s="54">
        <f t="shared" si="278"/>
        <v>5</v>
      </c>
      <c r="BT74" s="54">
        <f t="shared" si="279"/>
        <v>2</v>
      </c>
      <c r="BU74" s="54">
        <f t="shared" si="280"/>
        <v>5</v>
      </c>
      <c r="BV74" s="54">
        <f t="shared" si="281"/>
        <v>2</v>
      </c>
      <c r="BW74" s="54">
        <f t="shared" si="282"/>
        <v>5</v>
      </c>
      <c r="BX74" s="54">
        <f t="shared" si="283"/>
        <v>2</v>
      </c>
      <c r="BY74" s="54">
        <f t="shared" si="284"/>
        <v>5</v>
      </c>
      <c r="BZ74" s="54">
        <f t="shared" si="285"/>
        <v>2</v>
      </c>
      <c r="CA74" s="54">
        <f t="shared" si="286"/>
        <v>5</v>
      </c>
      <c r="CB74" s="54">
        <f t="shared" si="287"/>
        <v>2</v>
      </c>
      <c r="CC74" s="54">
        <f t="shared" si="288"/>
        <v>5</v>
      </c>
      <c r="CD74" s="54">
        <f t="shared" si="289"/>
        <v>2</v>
      </c>
      <c r="CE74" s="54">
        <f t="shared" si="290"/>
        <v>5</v>
      </c>
      <c r="CF74" s="54">
        <f t="shared" si="291"/>
        <v>2</v>
      </c>
      <c r="CG74" s="54">
        <f t="shared" si="292"/>
        <v>5</v>
      </c>
      <c r="CH74" s="54">
        <f t="shared" si="293"/>
        <v>2</v>
      </c>
      <c r="CI74" s="54">
        <f t="shared" si="294"/>
        <v>5</v>
      </c>
      <c r="CJ74" s="54">
        <f t="shared" si="295"/>
        <v>2</v>
      </c>
      <c r="CK74" s="54">
        <f t="shared" si="296"/>
        <v>5</v>
      </c>
      <c r="CL74" s="54">
        <f t="shared" si="297"/>
        <v>2</v>
      </c>
      <c r="CM74" s="54">
        <f t="shared" si="298"/>
        <v>5</v>
      </c>
      <c r="CN74" s="54">
        <f t="shared" si="299"/>
        <v>2</v>
      </c>
      <c r="CO74" s="54">
        <f t="shared" si="300"/>
        <v>5</v>
      </c>
      <c r="CP74" s="54">
        <f t="shared" si="301"/>
        <v>2</v>
      </c>
      <c r="CQ74" s="54">
        <f t="shared" si="302"/>
        <v>5</v>
      </c>
      <c r="CR74" s="54">
        <f t="shared" si="303"/>
        <v>2</v>
      </c>
      <c r="CS74" s="54">
        <f t="shared" si="304"/>
        <v>5</v>
      </c>
      <c r="CT74" s="54">
        <f t="shared" si="305"/>
        <v>2</v>
      </c>
      <c r="CU74" s="54">
        <f t="shared" si="306"/>
        <v>5</v>
      </c>
      <c r="CV74" s="54">
        <f t="shared" si="307"/>
        <v>2</v>
      </c>
      <c r="CW74" s="54">
        <f t="shared" si="308"/>
        <v>5</v>
      </c>
      <c r="CX74" s="54">
        <f t="shared" si="309"/>
        <v>2</v>
      </c>
      <c r="CY74" s="54">
        <f t="shared" si="310"/>
        <v>5</v>
      </c>
      <c r="CZ74" s="54">
        <f t="shared" si="311"/>
        <v>2</v>
      </c>
      <c r="DA74" s="54">
        <f t="shared" si="312"/>
        <v>5</v>
      </c>
      <c r="DB74" s="54">
        <f t="shared" si="313"/>
        <v>2</v>
      </c>
      <c r="DC74" s="54">
        <f t="shared" si="314"/>
        <v>5</v>
      </c>
      <c r="DD74" s="54">
        <f t="shared" si="315"/>
        <v>2</v>
      </c>
      <c r="DE74" s="54">
        <f t="shared" si="316"/>
        <v>5</v>
      </c>
      <c r="DF74" s="54">
        <f t="shared" si="317"/>
        <v>2</v>
      </c>
      <c r="DG74" s="54">
        <f t="shared" si="318"/>
        <v>5</v>
      </c>
      <c r="DH74" s="54">
        <f t="shared" si="319"/>
        <v>2</v>
      </c>
      <c r="DI74" s="54">
        <f t="shared" si="320"/>
        <v>5</v>
      </c>
      <c r="DJ74" s="54">
        <f t="shared" si="321"/>
        <v>2</v>
      </c>
      <c r="DK74" s="54">
        <f t="shared" si="322"/>
        <v>5</v>
      </c>
      <c r="DL74" s="54">
        <f t="shared" si="323"/>
        <v>2</v>
      </c>
      <c r="DM74" s="54">
        <f t="shared" si="324"/>
        <v>5</v>
      </c>
      <c r="DN74" s="54">
        <f t="shared" si="325"/>
        <v>2</v>
      </c>
      <c r="DO74" s="54">
        <f t="shared" si="326"/>
        <v>5</v>
      </c>
      <c r="DP74" s="54">
        <f t="shared" si="327"/>
        <v>2</v>
      </c>
      <c r="DQ74" s="54">
        <f t="shared" si="328"/>
        <v>5</v>
      </c>
      <c r="DR74" s="54">
        <f t="shared" si="329"/>
        <v>2</v>
      </c>
      <c r="DS74" s="54">
        <f t="shared" si="330"/>
        <v>5</v>
      </c>
      <c r="DT74" s="54">
        <f t="shared" si="331"/>
        <v>2</v>
      </c>
      <c r="DU74" s="54">
        <f t="shared" si="332"/>
        <v>5</v>
      </c>
      <c r="DV74" s="54">
        <f t="shared" si="333"/>
        <v>2</v>
      </c>
      <c r="DW74" s="54">
        <f t="shared" si="334"/>
        <v>5</v>
      </c>
      <c r="DX74" s="54">
        <f t="shared" si="335"/>
        <v>2</v>
      </c>
      <c r="DY74" s="54">
        <f t="shared" si="336"/>
        <v>5</v>
      </c>
      <c r="DZ74" s="54">
        <f t="shared" si="337"/>
        <v>2</v>
      </c>
      <c r="EA74" s="54">
        <f t="shared" si="336"/>
        <v>5</v>
      </c>
      <c r="EB74" s="54">
        <f t="shared" si="337"/>
        <v>2</v>
      </c>
      <c r="EC74" s="54">
        <f t="shared" si="337"/>
        <v>5</v>
      </c>
      <c r="ED74" s="54">
        <f t="shared" si="338"/>
        <v>2</v>
      </c>
      <c r="EE74" s="54">
        <f t="shared" si="339"/>
        <v>5</v>
      </c>
      <c r="EF74" s="54">
        <f t="shared" si="340"/>
        <v>2</v>
      </c>
      <c r="EG74" s="54">
        <f t="shared" ref="EG74:EN74" si="345">EG73</f>
        <v>5</v>
      </c>
      <c r="EH74" s="54">
        <f t="shared" si="345"/>
        <v>2</v>
      </c>
      <c r="EI74" s="54">
        <f t="shared" si="345"/>
        <v>5</v>
      </c>
      <c r="EJ74" s="54">
        <f t="shared" si="345"/>
        <v>2</v>
      </c>
      <c r="EK74" s="54">
        <f t="shared" si="345"/>
        <v>5</v>
      </c>
      <c r="EL74" s="54">
        <f t="shared" si="345"/>
        <v>2</v>
      </c>
      <c r="EM74" s="54">
        <f t="shared" si="345"/>
        <v>5</v>
      </c>
      <c r="EN74" s="54">
        <f t="shared" si="345"/>
        <v>2</v>
      </c>
      <c r="EO74" s="54">
        <f t="shared" si="209"/>
        <v>2</v>
      </c>
      <c r="EP74" s="54">
        <f t="shared" si="210"/>
        <v>2</v>
      </c>
    </row>
    <row r="75" spans="1:146" x14ac:dyDescent="0.2">
      <c r="B75" t="s">
        <v>230</v>
      </c>
      <c r="C75" s="54">
        <f t="shared" si="211"/>
        <v>45474</v>
      </c>
      <c r="D75" s="54">
        <f t="shared" si="207"/>
        <v>1</v>
      </c>
      <c r="E75" s="54">
        <f t="shared" si="212"/>
        <v>4</v>
      </c>
      <c r="F75" s="54">
        <f t="shared" si="213"/>
        <v>2</v>
      </c>
      <c r="G75" s="54">
        <f t="shared" si="214"/>
        <v>5</v>
      </c>
      <c r="H75" s="54">
        <f t="shared" si="215"/>
        <v>2</v>
      </c>
      <c r="I75" s="54">
        <f t="shared" si="216"/>
        <v>5</v>
      </c>
      <c r="J75" s="54">
        <f t="shared" si="217"/>
        <v>2</v>
      </c>
      <c r="K75" s="54">
        <f t="shared" si="218"/>
        <v>5</v>
      </c>
      <c r="L75" s="54">
        <f t="shared" si="219"/>
        <v>2</v>
      </c>
      <c r="M75" s="54">
        <f t="shared" si="220"/>
        <v>5</v>
      </c>
      <c r="N75" s="54">
        <f t="shared" si="221"/>
        <v>2</v>
      </c>
      <c r="O75" s="54">
        <f t="shared" si="222"/>
        <v>5</v>
      </c>
      <c r="P75" s="54">
        <f t="shared" si="223"/>
        <v>2</v>
      </c>
      <c r="Q75" s="54">
        <f t="shared" si="224"/>
        <v>5</v>
      </c>
      <c r="R75" s="54">
        <f t="shared" si="225"/>
        <v>2</v>
      </c>
      <c r="S75" s="54">
        <f t="shared" si="226"/>
        <v>5</v>
      </c>
      <c r="T75" s="54">
        <f t="shared" si="227"/>
        <v>2</v>
      </c>
      <c r="U75" s="54">
        <f t="shared" si="228"/>
        <v>5</v>
      </c>
      <c r="V75" s="54">
        <f t="shared" si="229"/>
        <v>2</v>
      </c>
      <c r="W75" s="54">
        <f t="shared" si="230"/>
        <v>5</v>
      </c>
      <c r="X75" s="54">
        <f t="shared" si="231"/>
        <v>2</v>
      </c>
      <c r="Y75" s="54">
        <f t="shared" si="232"/>
        <v>5</v>
      </c>
      <c r="Z75" s="54">
        <f t="shared" si="233"/>
        <v>2</v>
      </c>
      <c r="AA75" s="54">
        <f t="shared" si="234"/>
        <v>5</v>
      </c>
      <c r="AB75" s="54">
        <f t="shared" si="235"/>
        <v>2</v>
      </c>
      <c r="AC75" s="54">
        <f t="shared" si="236"/>
        <v>5</v>
      </c>
      <c r="AD75" s="54">
        <f t="shared" si="237"/>
        <v>2</v>
      </c>
      <c r="AE75" s="54">
        <f t="shared" si="238"/>
        <v>5</v>
      </c>
      <c r="AF75" s="54">
        <f t="shared" si="239"/>
        <v>2</v>
      </c>
      <c r="AG75" s="54">
        <f t="shared" si="240"/>
        <v>5</v>
      </c>
      <c r="AH75" s="54">
        <f t="shared" si="241"/>
        <v>2</v>
      </c>
      <c r="AI75" s="54">
        <f t="shared" si="242"/>
        <v>5</v>
      </c>
      <c r="AJ75" s="54">
        <f t="shared" si="243"/>
        <v>2</v>
      </c>
      <c r="AK75" s="54">
        <f t="shared" si="244"/>
        <v>5</v>
      </c>
      <c r="AL75" s="54">
        <f t="shared" si="245"/>
        <v>2</v>
      </c>
      <c r="AM75" s="54">
        <f t="shared" si="246"/>
        <v>5</v>
      </c>
      <c r="AN75" s="54">
        <f t="shared" si="247"/>
        <v>2</v>
      </c>
      <c r="AO75" s="54">
        <f t="shared" si="248"/>
        <v>5</v>
      </c>
      <c r="AP75" s="54">
        <f t="shared" si="249"/>
        <v>2</v>
      </c>
      <c r="AQ75" s="54">
        <f t="shared" si="250"/>
        <v>5</v>
      </c>
      <c r="AR75" s="54">
        <f t="shared" si="251"/>
        <v>2</v>
      </c>
      <c r="AS75" s="54">
        <f t="shared" si="252"/>
        <v>5</v>
      </c>
      <c r="AT75" s="54">
        <f t="shared" si="253"/>
        <v>2</v>
      </c>
      <c r="AU75" s="54">
        <f t="shared" si="254"/>
        <v>5</v>
      </c>
      <c r="AV75" s="54">
        <f t="shared" si="255"/>
        <v>2</v>
      </c>
      <c r="AW75" s="54">
        <f t="shared" si="256"/>
        <v>5</v>
      </c>
      <c r="AX75" s="54">
        <f t="shared" si="257"/>
        <v>2</v>
      </c>
      <c r="AY75" s="54">
        <f t="shared" si="258"/>
        <v>5</v>
      </c>
      <c r="AZ75" s="54">
        <f t="shared" si="259"/>
        <v>2</v>
      </c>
      <c r="BA75" s="54">
        <f t="shared" si="260"/>
        <v>5</v>
      </c>
      <c r="BB75" s="54">
        <f t="shared" si="261"/>
        <v>2</v>
      </c>
      <c r="BC75" s="54">
        <f t="shared" si="262"/>
        <v>5</v>
      </c>
      <c r="BD75" s="54">
        <f t="shared" si="263"/>
        <v>2</v>
      </c>
      <c r="BE75" s="54">
        <f t="shared" si="264"/>
        <v>5</v>
      </c>
      <c r="BF75" s="54">
        <f t="shared" si="265"/>
        <v>2</v>
      </c>
      <c r="BG75" s="54">
        <f t="shared" si="266"/>
        <v>5</v>
      </c>
      <c r="BH75" s="54">
        <f t="shared" si="267"/>
        <v>2</v>
      </c>
      <c r="BI75" s="54">
        <f t="shared" si="268"/>
        <v>5</v>
      </c>
      <c r="BJ75" s="54">
        <f t="shared" si="269"/>
        <v>2</v>
      </c>
      <c r="BK75" s="54">
        <f t="shared" si="270"/>
        <v>5</v>
      </c>
      <c r="BL75" s="54">
        <f t="shared" si="271"/>
        <v>2</v>
      </c>
      <c r="BM75" s="54">
        <f t="shared" si="272"/>
        <v>5</v>
      </c>
      <c r="BN75" s="54">
        <f t="shared" si="273"/>
        <v>2</v>
      </c>
      <c r="BO75" s="54">
        <f t="shared" si="274"/>
        <v>5</v>
      </c>
      <c r="BP75" s="54">
        <f t="shared" si="275"/>
        <v>2</v>
      </c>
      <c r="BQ75" s="54">
        <f t="shared" si="276"/>
        <v>5</v>
      </c>
      <c r="BR75" s="54">
        <f t="shared" si="277"/>
        <v>2</v>
      </c>
      <c r="BS75" s="54">
        <f t="shared" si="278"/>
        <v>5</v>
      </c>
      <c r="BT75" s="54">
        <f t="shared" si="279"/>
        <v>2</v>
      </c>
      <c r="BU75" s="54">
        <f t="shared" si="280"/>
        <v>5</v>
      </c>
      <c r="BV75" s="54">
        <f t="shared" si="281"/>
        <v>2</v>
      </c>
      <c r="BW75" s="54">
        <f t="shared" si="282"/>
        <v>5</v>
      </c>
      <c r="BX75" s="54">
        <f t="shared" si="283"/>
        <v>2</v>
      </c>
      <c r="BY75" s="54">
        <f t="shared" si="284"/>
        <v>5</v>
      </c>
      <c r="BZ75" s="54">
        <f t="shared" si="285"/>
        <v>2</v>
      </c>
      <c r="CA75" s="54">
        <f t="shared" si="286"/>
        <v>5</v>
      </c>
      <c r="CB75" s="54">
        <f t="shared" si="287"/>
        <v>2</v>
      </c>
      <c r="CC75" s="54">
        <f t="shared" si="288"/>
        <v>5</v>
      </c>
      <c r="CD75" s="54">
        <f t="shared" si="289"/>
        <v>2</v>
      </c>
      <c r="CE75" s="54">
        <f t="shared" si="290"/>
        <v>5</v>
      </c>
      <c r="CF75" s="54">
        <f t="shared" si="291"/>
        <v>2</v>
      </c>
      <c r="CG75" s="54">
        <f t="shared" si="292"/>
        <v>5</v>
      </c>
      <c r="CH75" s="54">
        <f t="shared" si="293"/>
        <v>2</v>
      </c>
      <c r="CI75" s="54">
        <f t="shared" si="294"/>
        <v>5</v>
      </c>
      <c r="CJ75" s="54">
        <f t="shared" si="295"/>
        <v>2</v>
      </c>
      <c r="CK75" s="54">
        <f t="shared" si="296"/>
        <v>5</v>
      </c>
      <c r="CL75" s="54">
        <f t="shared" si="297"/>
        <v>2</v>
      </c>
      <c r="CM75" s="54">
        <f t="shared" si="298"/>
        <v>5</v>
      </c>
      <c r="CN75" s="54">
        <f t="shared" si="299"/>
        <v>2</v>
      </c>
      <c r="CO75" s="54">
        <f t="shared" si="300"/>
        <v>5</v>
      </c>
      <c r="CP75" s="54">
        <f t="shared" si="301"/>
        <v>2</v>
      </c>
      <c r="CQ75" s="54">
        <f t="shared" si="302"/>
        <v>5</v>
      </c>
      <c r="CR75" s="54">
        <f t="shared" si="303"/>
        <v>2</v>
      </c>
      <c r="CS75" s="54">
        <f t="shared" si="304"/>
        <v>5</v>
      </c>
      <c r="CT75" s="54">
        <f t="shared" si="305"/>
        <v>2</v>
      </c>
      <c r="CU75" s="54">
        <f t="shared" si="306"/>
        <v>5</v>
      </c>
      <c r="CV75" s="54">
        <f t="shared" si="307"/>
        <v>2</v>
      </c>
      <c r="CW75" s="54">
        <f t="shared" si="308"/>
        <v>5</v>
      </c>
      <c r="CX75" s="54">
        <f t="shared" si="309"/>
        <v>2</v>
      </c>
      <c r="CY75" s="54">
        <f t="shared" si="310"/>
        <v>5</v>
      </c>
      <c r="CZ75" s="54">
        <f t="shared" si="311"/>
        <v>2</v>
      </c>
      <c r="DA75" s="54">
        <f t="shared" si="312"/>
        <v>5</v>
      </c>
      <c r="DB75" s="54">
        <f t="shared" si="313"/>
        <v>2</v>
      </c>
      <c r="DC75" s="54">
        <f t="shared" si="314"/>
        <v>5</v>
      </c>
      <c r="DD75" s="54">
        <f t="shared" si="315"/>
        <v>2</v>
      </c>
      <c r="DE75" s="54">
        <f t="shared" si="316"/>
        <v>5</v>
      </c>
      <c r="DF75" s="54">
        <f t="shared" si="317"/>
        <v>2</v>
      </c>
      <c r="DG75" s="54">
        <f t="shared" si="318"/>
        <v>5</v>
      </c>
      <c r="DH75" s="54">
        <f t="shared" si="319"/>
        <v>2</v>
      </c>
      <c r="DI75" s="54">
        <f t="shared" si="320"/>
        <v>5</v>
      </c>
      <c r="DJ75" s="54">
        <f t="shared" si="321"/>
        <v>2</v>
      </c>
      <c r="DK75" s="54">
        <f t="shared" si="322"/>
        <v>5</v>
      </c>
      <c r="DL75" s="54">
        <f t="shared" si="323"/>
        <v>2</v>
      </c>
      <c r="DM75" s="54">
        <f t="shared" si="324"/>
        <v>5</v>
      </c>
      <c r="DN75" s="54">
        <f t="shared" si="325"/>
        <v>2</v>
      </c>
      <c r="DO75" s="54">
        <f t="shared" si="326"/>
        <v>5</v>
      </c>
      <c r="DP75" s="54">
        <f t="shared" si="327"/>
        <v>2</v>
      </c>
      <c r="DQ75" s="54">
        <f t="shared" si="328"/>
        <v>5</v>
      </c>
      <c r="DR75" s="54">
        <f t="shared" si="329"/>
        <v>2</v>
      </c>
      <c r="DS75" s="54">
        <f t="shared" si="330"/>
        <v>5</v>
      </c>
      <c r="DT75" s="54">
        <f t="shared" si="331"/>
        <v>2</v>
      </c>
      <c r="DU75" s="54">
        <f t="shared" si="332"/>
        <v>5</v>
      </c>
      <c r="DV75" s="54">
        <f t="shared" si="333"/>
        <v>2</v>
      </c>
      <c r="DW75" s="54">
        <f t="shared" si="334"/>
        <v>5</v>
      </c>
      <c r="DX75" s="54">
        <f t="shared" si="335"/>
        <v>2</v>
      </c>
      <c r="DY75" s="54">
        <f t="shared" si="336"/>
        <v>5</v>
      </c>
      <c r="DZ75" s="54">
        <f t="shared" si="337"/>
        <v>2</v>
      </c>
      <c r="EA75" s="54">
        <f t="shared" si="336"/>
        <v>5</v>
      </c>
      <c r="EB75" s="54">
        <f t="shared" si="337"/>
        <v>2</v>
      </c>
      <c r="EC75" s="54">
        <f t="shared" si="337"/>
        <v>5</v>
      </c>
      <c r="ED75" s="54">
        <f t="shared" si="338"/>
        <v>2</v>
      </c>
      <c r="EE75" s="54">
        <f t="shared" si="339"/>
        <v>5</v>
      </c>
      <c r="EF75" s="54">
        <f t="shared" si="340"/>
        <v>2</v>
      </c>
      <c r="EG75" s="54">
        <f t="shared" ref="EG75:EN75" si="346">EG74</f>
        <v>5</v>
      </c>
      <c r="EH75" s="54">
        <f t="shared" si="346"/>
        <v>2</v>
      </c>
      <c r="EI75" s="54">
        <f t="shared" si="346"/>
        <v>5</v>
      </c>
      <c r="EJ75" s="54">
        <f t="shared" si="346"/>
        <v>2</v>
      </c>
      <c r="EK75" s="54">
        <f t="shared" si="346"/>
        <v>5</v>
      </c>
      <c r="EL75" s="54">
        <f t="shared" si="346"/>
        <v>2</v>
      </c>
      <c r="EM75" s="54">
        <f t="shared" si="346"/>
        <v>5</v>
      </c>
      <c r="EN75" s="54">
        <f t="shared" si="346"/>
        <v>2</v>
      </c>
      <c r="EO75" s="54">
        <f t="shared" si="209"/>
        <v>2</v>
      </c>
      <c r="EP75" s="54">
        <f t="shared" si="210"/>
        <v>2</v>
      </c>
    </row>
    <row r="76" spans="1:146" x14ac:dyDescent="0.2">
      <c r="B76" t="s">
        <v>230</v>
      </c>
      <c r="C76" s="54">
        <f t="shared" si="211"/>
        <v>45474</v>
      </c>
      <c r="D76" s="54">
        <f t="shared" si="207"/>
        <v>1</v>
      </c>
      <c r="E76" s="54">
        <f t="shared" si="212"/>
        <v>4</v>
      </c>
      <c r="F76" s="54">
        <f t="shared" si="213"/>
        <v>2</v>
      </c>
      <c r="G76" s="54">
        <f t="shared" si="214"/>
        <v>5</v>
      </c>
      <c r="H76" s="54">
        <f t="shared" si="215"/>
        <v>2</v>
      </c>
      <c r="I76" s="54">
        <f t="shared" si="216"/>
        <v>5</v>
      </c>
      <c r="J76" s="54">
        <f t="shared" si="217"/>
        <v>2</v>
      </c>
      <c r="K76" s="54">
        <f t="shared" si="218"/>
        <v>5</v>
      </c>
      <c r="L76" s="54">
        <f t="shared" si="219"/>
        <v>2</v>
      </c>
      <c r="M76" s="54">
        <f t="shared" si="220"/>
        <v>5</v>
      </c>
      <c r="N76" s="54">
        <f t="shared" si="221"/>
        <v>2</v>
      </c>
      <c r="O76" s="54">
        <f t="shared" si="222"/>
        <v>5</v>
      </c>
      <c r="P76" s="54">
        <f t="shared" si="223"/>
        <v>2</v>
      </c>
      <c r="Q76" s="54">
        <f t="shared" si="224"/>
        <v>5</v>
      </c>
      <c r="R76" s="54">
        <f t="shared" si="225"/>
        <v>2</v>
      </c>
      <c r="S76" s="54">
        <f t="shared" si="226"/>
        <v>5</v>
      </c>
      <c r="T76" s="54">
        <f t="shared" si="227"/>
        <v>2</v>
      </c>
      <c r="U76" s="54">
        <f t="shared" si="228"/>
        <v>5</v>
      </c>
      <c r="V76" s="54">
        <f t="shared" si="229"/>
        <v>2</v>
      </c>
      <c r="W76" s="54">
        <f t="shared" si="230"/>
        <v>5</v>
      </c>
      <c r="X76" s="54">
        <f t="shared" si="231"/>
        <v>2</v>
      </c>
      <c r="Y76" s="54">
        <f t="shared" si="232"/>
        <v>5</v>
      </c>
      <c r="Z76" s="54">
        <f t="shared" si="233"/>
        <v>2</v>
      </c>
      <c r="AA76" s="54">
        <f t="shared" si="234"/>
        <v>5</v>
      </c>
      <c r="AB76" s="54">
        <f t="shared" si="235"/>
        <v>2</v>
      </c>
      <c r="AC76" s="54">
        <f t="shared" si="236"/>
        <v>5</v>
      </c>
      <c r="AD76" s="54">
        <f t="shared" si="237"/>
        <v>2</v>
      </c>
      <c r="AE76" s="54">
        <f t="shared" si="238"/>
        <v>5</v>
      </c>
      <c r="AF76" s="54">
        <f t="shared" si="239"/>
        <v>2</v>
      </c>
      <c r="AG76" s="54">
        <f t="shared" si="240"/>
        <v>5</v>
      </c>
      <c r="AH76" s="54">
        <f t="shared" si="241"/>
        <v>2</v>
      </c>
      <c r="AI76" s="54">
        <f t="shared" si="242"/>
        <v>5</v>
      </c>
      <c r="AJ76" s="54">
        <f t="shared" si="243"/>
        <v>2</v>
      </c>
      <c r="AK76" s="54">
        <f t="shared" si="244"/>
        <v>5</v>
      </c>
      <c r="AL76" s="54">
        <f t="shared" si="245"/>
        <v>2</v>
      </c>
      <c r="AM76" s="54">
        <f t="shared" si="246"/>
        <v>5</v>
      </c>
      <c r="AN76" s="54">
        <f t="shared" si="247"/>
        <v>2</v>
      </c>
      <c r="AO76" s="54">
        <f t="shared" si="248"/>
        <v>5</v>
      </c>
      <c r="AP76" s="54">
        <f t="shared" si="249"/>
        <v>2</v>
      </c>
      <c r="AQ76" s="54">
        <f t="shared" si="250"/>
        <v>5</v>
      </c>
      <c r="AR76" s="54">
        <f t="shared" si="251"/>
        <v>2</v>
      </c>
      <c r="AS76" s="54">
        <f t="shared" si="252"/>
        <v>5</v>
      </c>
      <c r="AT76" s="54">
        <f t="shared" si="253"/>
        <v>2</v>
      </c>
      <c r="AU76" s="54">
        <f t="shared" si="254"/>
        <v>5</v>
      </c>
      <c r="AV76" s="54">
        <f t="shared" si="255"/>
        <v>2</v>
      </c>
      <c r="AW76" s="54">
        <f t="shared" si="256"/>
        <v>5</v>
      </c>
      <c r="AX76" s="54">
        <f t="shared" si="257"/>
        <v>2</v>
      </c>
      <c r="AY76" s="54">
        <f t="shared" si="258"/>
        <v>5</v>
      </c>
      <c r="AZ76" s="54">
        <f t="shared" si="259"/>
        <v>2</v>
      </c>
      <c r="BA76" s="54">
        <f t="shared" si="260"/>
        <v>5</v>
      </c>
      <c r="BB76" s="54">
        <f t="shared" si="261"/>
        <v>2</v>
      </c>
      <c r="BC76" s="54">
        <f t="shared" si="262"/>
        <v>5</v>
      </c>
      <c r="BD76" s="54">
        <f t="shared" si="263"/>
        <v>2</v>
      </c>
      <c r="BE76" s="54">
        <f t="shared" si="264"/>
        <v>5</v>
      </c>
      <c r="BF76" s="54">
        <f t="shared" si="265"/>
        <v>2</v>
      </c>
      <c r="BG76" s="54">
        <f t="shared" si="266"/>
        <v>5</v>
      </c>
      <c r="BH76" s="54">
        <f t="shared" si="267"/>
        <v>2</v>
      </c>
      <c r="BI76" s="54">
        <f t="shared" si="268"/>
        <v>5</v>
      </c>
      <c r="BJ76" s="54">
        <f t="shared" si="269"/>
        <v>2</v>
      </c>
      <c r="BK76" s="54">
        <f t="shared" si="270"/>
        <v>5</v>
      </c>
      <c r="BL76" s="54">
        <f t="shared" si="271"/>
        <v>2</v>
      </c>
      <c r="BM76" s="54">
        <f t="shared" si="272"/>
        <v>5</v>
      </c>
      <c r="BN76" s="54">
        <f t="shared" si="273"/>
        <v>2</v>
      </c>
      <c r="BO76" s="54">
        <f t="shared" si="274"/>
        <v>5</v>
      </c>
      <c r="BP76" s="54">
        <f t="shared" si="275"/>
        <v>2</v>
      </c>
      <c r="BQ76" s="54">
        <f t="shared" si="276"/>
        <v>5</v>
      </c>
      <c r="BR76" s="54">
        <f t="shared" si="277"/>
        <v>2</v>
      </c>
      <c r="BS76" s="54">
        <f t="shared" si="278"/>
        <v>5</v>
      </c>
      <c r="BT76" s="54">
        <f t="shared" si="279"/>
        <v>2</v>
      </c>
      <c r="BU76" s="54">
        <f t="shared" si="280"/>
        <v>5</v>
      </c>
      <c r="BV76" s="54">
        <f t="shared" si="281"/>
        <v>2</v>
      </c>
      <c r="BW76" s="54">
        <f t="shared" si="282"/>
        <v>5</v>
      </c>
      <c r="BX76" s="54">
        <f t="shared" si="283"/>
        <v>2</v>
      </c>
      <c r="BY76" s="54">
        <f t="shared" si="284"/>
        <v>5</v>
      </c>
      <c r="BZ76" s="54">
        <f t="shared" si="285"/>
        <v>2</v>
      </c>
      <c r="CA76" s="54">
        <f t="shared" si="286"/>
        <v>5</v>
      </c>
      <c r="CB76" s="54">
        <f t="shared" si="287"/>
        <v>2</v>
      </c>
      <c r="CC76" s="54">
        <f t="shared" si="288"/>
        <v>5</v>
      </c>
      <c r="CD76" s="54">
        <f t="shared" si="289"/>
        <v>2</v>
      </c>
      <c r="CE76" s="54">
        <f t="shared" si="290"/>
        <v>5</v>
      </c>
      <c r="CF76" s="54">
        <f t="shared" si="291"/>
        <v>2</v>
      </c>
      <c r="CG76" s="54">
        <f t="shared" si="292"/>
        <v>5</v>
      </c>
      <c r="CH76" s="54">
        <f t="shared" si="293"/>
        <v>2</v>
      </c>
      <c r="CI76" s="54">
        <f t="shared" si="294"/>
        <v>5</v>
      </c>
      <c r="CJ76" s="54">
        <f t="shared" si="295"/>
        <v>2</v>
      </c>
      <c r="CK76" s="54">
        <f t="shared" si="296"/>
        <v>5</v>
      </c>
      <c r="CL76" s="54">
        <f t="shared" si="297"/>
        <v>2</v>
      </c>
      <c r="CM76" s="54">
        <f t="shared" si="298"/>
        <v>5</v>
      </c>
      <c r="CN76" s="54">
        <f t="shared" si="299"/>
        <v>2</v>
      </c>
      <c r="CO76" s="54">
        <f t="shared" si="300"/>
        <v>5</v>
      </c>
      <c r="CP76" s="54">
        <f t="shared" si="301"/>
        <v>2</v>
      </c>
      <c r="CQ76" s="54">
        <f t="shared" si="302"/>
        <v>5</v>
      </c>
      <c r="CR76" s="54">
        <f t="shared" si="303"/>
        <v>2</v>
      </c>
      <c r="CS76" s="54">
        <f t="shared" si="304"/>
        <v>5</v>
      </c>
      <c r="CT76" s="54">
        <f t="shared" si="305"/>
        <v>2</v>
      </c>
      <c r="CU76" s="54">
        <f t="shared" si="306"/>
        <v>5</v>
      </c>
      <c r="CV76" s="54">
        <f t="shared" si="307"/>
        <v>2</v>
      </c>
      <c r="CW76" s="54">
        <f t="shared" si="308"/>
        <v>5</v>
      </c>
      <c r="CX76" s="54">
        <f t="shared" si="309"/>
        <v>2</v>
      </c>
      <c r="CY76" s="54">
        <f t="shared" si="310"/>
        <v>5</v>
      </c>
      <c r="CZ76" s="54">
        <f t="shared" si="311"/>
        <v>2</v>
      </c>
      <c r="DA76" s="54">
        <f t="shared" si="312"/>
        <v>5</v>
      </c>
      <c r="DB76" s="54">
        <f t="shared" si="313"/>
        <v>2</v>
      </c>
      <c r="DC76" s="54">
        <f t="shared" si="314"/>
        <v>5</v>
      </c>
      <c r="DD76" s="54">
        <f t="shared" si="315"/>
        <v>2</v>
      </c>
      <c r="DE76" s="54">
        <f t="shared" si="316"/>
        <v>5</v>
      </c>
      <c r="DF76" s="54">
        <f t="shared" si="317"/>
        <v>2</v>
      </c>
      <c r="DG76" s="54">
        <f t="shared" si="318"/>
        <v>5</v>
      </c>
      <c r="DH76" s="54">
        <f t="shared" si="319"/>
        <v>2</v>
      </c>
      <c r="DI76" s="54">
        <f t="shared" si="320"/>
        <v>5</v>
      </c>
      <c r="DJ76" s="54">
        <f t="shared" si="321"/>
        <v>2</v>
      </c>
      <c r="DK76" s="54">
        <f t="shared" si="322"/>
        <v>5</v>
      </c>
      <c r="DL76" s="54">
        <f t="shared" si="323"/>
        <v>2</v>
      </c>
      <c r="DM76" s="54">
        <f t="shared" si="324"/>
        <v>5</v>
      </c>
      <c r="DN76" s="54">
        <f t="shared" si="325"/>
        <v>2</v>
      </c>
      <c r="DO76" s="54">
        <f t="shared" si="326"/>
        <v>5</v>
      </c>
      <c r="DP76" s="54">
        <f t="shared" si="327"/>
        <v>2</v>
      </c>
      <c r="DQ76" s="54">
        <f t="shared" si="328"/>
        <v>5</v>
      </c>
      <c r="DR76" s="54">
        <f t="shared" si="329"/>
        <v>2</v>
      </c>
      <c r="DS76" s="54">
        <f t="shared" si="330"/>
        <v>5</v>
      </c>
      <c r="DT76" s="54">
        <f t="shared" si="331"/>
        <v>2</v>
      </c>
      <c r="DU76" s="54">
        <f t="shared" si="332"/>
        <v>5</v>
      </c>
      <c r="DV76" s="54">
        <f t="shared" si="333"/>
        <v>2</v>
      </c>
      <c r="DW76" s="54">
        <f t="shared" si="334"/>
        <v>5</v>
      </c>
      <c r="DX76" s="54">
        <f t="shared" si="335"/>
        <v>2</v>
      </c>
      <c r="DY76" s="54">
        <f t="shared" si="336"/>
        <v>5</v>
      </c>
      <c r="DZ76" s="54">
        <f t="shared" si="337"/>
        <v>2</v>
      </c>
      <c r="EA76" s="54">
        <f t="shared" si="336"/>
        <v>5</v>
      </c>
      <c r="EB76" s="54">
        <f t="shared" si="337"/>
        <v>2</v>
      </c>
      <c r="EC76" s="54">
        <f t="shared" si="337"/>
        <v>5</v>
      </c>
      <c r="ED76" s="54">
        <f t="shared" si="338"/>
        <v>2</v>
      </c>
      <c r="EE76" s="54">
        <f t="shared" si="339"/>
        <v>5</v>
      </c>
      <c r="EF76" s="54">
        <f t="shared" si="340"/>
        <v>2</v>
      </c>
      <c r="EG76" s="54">
        <f t="shared" ref="EG76:EN76" si="347">EG75</f>
        <v>5</v>
      </c>
      <c r="EH76" s="54">
        <f t="shared" si="347"/>
        <v>2</v>
      </c>
      <c r="EI76" s="54">
        <f t="shared" si="347"/>
        <v>5</v>
      </c>
      <c r="EJ76" s="54">
        <f t="shared" si="347"/>
        <v>2</v>
      </c>
      <c r="EK76" s="54">
        <f t="shared" si="347"/>
        <v>5</v>
      </c>
      <c r="EL76" s="54">
        <f t="shared" si="347"/>
        <v>2</v>
      </c>
      <c r="EM76" s="54">
        <f t="shared" si="347"/>
        <v>5</v>
      </c>
      <c r="EN76" s="54">
        <f t="shared" si="347"/>
        <v>2</v>
      </c>
      <c r="EO76" s="54">
        <f t="shared" si="209"/>
        <v>2</v>
      </c>
      <c r="EP76" s="54">
        <f t="shared" si="210"/>
        <v>2</v>
      </c>
    </row>
    <row r="77" spans="1:146" x14ac:dyDescent="0.2">
      <c r="A77" s="54"/>
      <c r="B77" t="s">
        <v>230</v>
      </c>
      <c r="C77" s="54">
        <f t="shared" si="211"/>
        <v>45474</v>
      </c>
      <c r="D77" s="54">
        <f t="shared" si="207"/>
        <v>1</v>
      </c>
      <c r="E77" s="54">
        <f t="shared" si="212"/>
        <v>4</v>
      </c>
      <c r="F77" s="54">
        <f t="shared" si="213"/>
        <v>2</v>
      </c>
      <c r="G77" s="54">
        <f t="shared" si="214"/>
        <v>5</v>
      </c>
      <c r="H77" s="54">
        <f t="shared" si="215"/>
        <v>2</v>
      </c>
      <c r="I77" s="54">
        <f t="shared" si="216"/>
        <v>5</v>
      </c>
      <c r="J77" s="54">
        <f t="shared" si="217"/>
        <v>2</v>
      </c>
      <c r="K77" s="54">
        <f t="shared" si="218"/>
        <v>5</v>
      </c>
      <c r="L77" s="54">
        <f t="shared" si="219"/>
        <v>2</v>
      </c>
      <c r="M77" s="54">
        <f t="shared" si="220"/>
        <v>5</v>
      </c>
      <c r="N77" s="54">
        <f t="shared" si="221"/>
        <v>2</v>
      </c>
      <c r="O77" s="54">
        <f t="shared" si="222"/>
        <v>5</v>
      </c>
      <c r="P77" s="54">
        <f t="shared" si="223"/>
        <v>2</v>
      </c>
      <c r="Q77" s="54">
        <f t="shared" si="224"/>
        <v>5</v>
      </c>
      <c r="R77" s="54">
        <f t="shared" si="225"/>
        <v>2</v>
      </c>
      <c r="S77" s="54">
        <f t="shared" si="226"/>
        <v>5</v>
      </c>
      <c r="T77" s="54">
        <f t="shared" si="227"/>
        <v>2</v>
      </c>
      <c r="U77" s="54">
        <f t="shared" si="228"/>
        <v>5</v>
      </c>
      <c r="V77" s="54">
        <f t="shared" si="229"/>
        <v>2</v>
      </c>
      <c r="W77" s="54">
        <f t="shared" si="230"/>
        <v>5</v>
      </c>
      <c r="X77" s="54">
        <f t="shared" si="231"/>
        <v>2</v>
      </c>
      <c r="Y77" s="54">
        <f t="shared" si="232"/>
        <v>5</v>
      </c>
      <c r="Z77" s="54">
        <f t="shared" si="233"/>
        <v>2</v>
      </c>
      <c r="AA77" s="54">
        <f t="shared" si="234"/>
        <v>5</v>
      </c>
      <c r="AB77" s="54">
        <f t="shared" si="235"/>
        <v>2</v>
      </c>
      <c r="AC77" s="54">
        <f t="shared" si="236"/>
        <v>5</v>
      </c>
      <c r="AD77" s="54">
        <f t="shared" si="237"/>
        <v>2</v>
      </c>
      <c r="AE77" s="54">
        <f t="shared" si="238"/>
        <v>5</v>
      </c>
      <c r="AF77" s="54">
        <f t="shared" si="239"/>
        <v>2</v>
      </c>
      <c r="AG77" s="54">
        <f t="shared" si="240"/>
        <v>5</v>
      </c>
      <c r="AH77" s="54">
        <f t="shared" si="241"/>
        <v>2</v>
      </c>
      <c r="AI77" s="54">
        <f t="shared" si="242"/>
        <v>5</v>
      </c>
      <c r="AJ77" s="54">
        <f t="shared" si="243"/>
        <v>2</v>
      </c>
      <c r="AK77" s="54">
        <f t="shared" si="244"/>
        <v>5</v>
      </c>
      <c r="AL77" s="54">
        <f t="shared" si="245"/>
        <v>2</v>
      </c>
      <c r="AM77" s="54">
        <f t="shared" si="246"/>
        <v>5</v>
      </c>
      <c r="AN77" s="54">
        <f t="shared" si="247"/>
        <v>2</v>
      </c>
      <c r="AO77" s="54">
        <f t="shared" si="248"/>
        <v>5</v>
      </c>
      <c r="AP77" s="54">
        <f t="shared" si="249"/>
        <v>2</v>
      </c>
      <c r="AQ77" s="54">
        <f t="shared" si="250"/>
        <v>5</v>
      </c>
      <c r="AR77" s="54">
        <f t="shared" si="251"/>
        <v>2</v>
      </c>
      <c r="AS77" s="54">
        <f t="shared" si="252"/>
        <v>5</v>
      </c>
      <c r="AT77" s="54">
        <f t="shared" si="253"/>
        <v>2</v>
      </c>
      <c r="AU77" s="54">
        <f t="shared" si="254"/>
        <v>5</v>
      </c>
      <c r="AV77" s="54">
        <f t="shared" si="255"/>
        <v>2</v>
      </c>
      <c r="AW77" s="54">
        <f t="shared" si="256"/>
        <v>5</v>
      </c>
      <c r="AX77" s="54">
        <f t="shared" si="257"/>
        <v>2</v>
      </c>
      <c r="AY77" s="54">
        <f t="shared" si="258"/>
        <v>5</v>
      </c>
      <c r="AZ77" s="54">
        <f t="shared" si="259"/>
        <v>2</v>
      </c>
      <c r="BA77" s="54">
        <f t="shared" si="260"/>
        <v>5</v>
      </c>
      <c r="BB77" s="54">
        <f t="shared" si="261"/>
        <v>2</v>
      </c>
      <c r="BC77" s="54">
        <f t="shared" si="262"/>
        <v>5</v>
      </c>
      <c r="BD77" s="54">
        <f t="shared" si="263"/>
        <v>2</v>
      </c>
      <c r="BE77" s="54">
        <f t="shared" si="264"/>
        <v>5</v>
      </c>
      <c r="BF77" s="54">
        <f t="shared" si="265"/>
        <v>2</v>
      </c>
      <c r="BG77" s="54">
        <f t="shared" si="266"/>
        <v>5</v>
      </c>
      <c r="BH77" s="54">
        <f t="shared" si="267"/>
        <v>2</v>
      </c>
      <c r="BI77" s="54">
        <f t="shared" si="268"/>
        <v>5</v>
      </c>
      <c r="BJ77" s="54">
        <f t="shared" si="269"/>
        <v>2</v>
      </c>
      <c r="BK77" s="54">
        <f t="shared" si="270"/>
        <v>5</v>
      </c>
      <c r="BL77" s="54">
        <f t="shared" si="271"/>
        <v>2</v>
      </c>
      <c r="BM77" s="54">
        <f t="shared" si="272"/>
        <v>5</v>
      </c>
      <c r="BN77" s="54">
        <f t="shared" si="273"/>
        <v>2</v>
      </c>
      <c r="BO77" s="54">
        <f t="shared" si="274"/>
        <v>5</v>
      </c>
      <c r="BP77" s="54">
        <f t="shared" si="275"/>
        <v>2</v>
      </c>
      <c r="BQ77" s="54">
        <f t="shared" si="276"/>
        <v>5</v>
      </c>
      <c r="BR77" s="54">
        <f t="shared" si="277"/>
        <v>2</v>
      </c>
      <c r="BS77" s="54">
        <f t="shared" si="278"/>
        <v>5</v>
      </c>
      <c r="BT77" s="54">
        <f t="shared" si="279"/>
        <v>2</v>
      </c>
      <c r="BU77" s="54">
        <f t="shared" si="280"/>
        <v>5</v>
      </c>
      <c r="BV77" s="54">
        <f t="shared" si="281"/>
        <v>2</v>
      </c>
      <c r="BW77" s="54">
        <f t="shared" si="282"/>
        <v>5</v>
      </c>
      <c r="BX77" s="54">
        <f t="shared" si="283"/>
        <v>2</v>
      </c>
      <c r="BY77" s="54">
        <f t="shared" si="284"/>
        <v>5</v>
      </c>
      <c r="BZ77" s="54">
        <f t="shared" si="285"/>
        <v>2</v>
      </c>
      <c r="CA77" s="54">
        <f t="shared" si="286"/>
        <v>5</v>
      </c>
      <c r="CB77" s="54">
        <f t="shared" si="287"/>
        <v>2</v>
      </c>
      <c r="CC77" s="54">
        <f t="shared" si="288"/>
        <v>5</v>
      </c>
      <c r="CD77" s="54">
        <f t="shared" si="289"/>
        <v>2</v>
      </c>
      <c r="CE77" s="54">
        <f t="shared" si="290"/>
        <v>5</v>
      </c>
      <c r="CF77" s="54">
        <f t="shared" si="291"/>
        <v>2</v>
      </c>
      <c r="CG77" s="54">
        <f t="shared" si="292"/>
        <v>5</v>
      </c>
      <c r="CH77" s="54">
        <f t="shared" si="293"/>
        <v>2</v>
      </c>
      <c r="CI77" s="54">
        <f t="shared" si="294"/>
        <v>5</v>
      </c>
      <c r="CJ77" s="54">
        <f t="shared" si="295"/>
        <v>2</v>
      </c>
      <c r="CK77" s="54">
        <f t="shared" si="296"/>
        <v>5</v>
      </c>
      <c r="CL77" s="54">
        <f t="shared" si="297"/>
        <v>2</v>
      </c>
      <c r="CM77" s="54">
        <f t="shared" si="298"/>
        <v>5</v>
      </c>
      <c r="CN77" s="54">
        <f t="shared" si="299"/>
        <v>2</v>
      </c>
      <c r="CO77" s="54">
        <f t="shared" si="300"/>
        <v>5</v>
      </c>
      <c r="CP77" s="54">
        <f t="shared" si="301"/>
        <v>2</v>
      </c>
      <c r="CQ77" s="54">
        <f t="shared" si="302"/>
        <v>5</v>
      </c>
      <c r="CR77" s="54">
        <f t="shared" si="303"/>
        <v>2</v>
      </c>
      <c r="CS77" s="54">
        <f t="shared" si="304"/>
        <v>5</v>
      </c>
      <c r="CT77" s="54">
        <f t="shared" si="305"/>
        <v>2</v>
      </c>
      <c r="CU77" s="54">
        <f t="shared" si="306"/>
        <v>5</v>
      </c>
      <c r="CV77" s="54">
        <f t="shared" si="307"/>
        <v>2</v>
      </c>
      <c r="CW77" s="54">
        <f t="shared" si="308"/>
        <v>5</v>
      </c>
      <c r="CX77" s="54">
        <f t="shared" si="309"/>
        <v>2</v>
      </c>
      <c r="CY77" s="54">
        <f t="shared" si="310"/>
        <v>5</v>
      </c>
      <c r="CZ77" s="54">
        <f t="shared" si="311"/>
        <v>2</v>
      </c>
      <c r="DA77" s="54">
        <f t="shared" si="312"/>
        <v>5</v>
      </c>
      <c r="DB77" s="54">
        <f t="shared" si="313"/>
        <v>2</v>
      </c>
      <c r="DC77" s="54">
        <f t="shared" si="314"/>
        <v>5</v>
      </c>
      <c r="DD77" s="54">
        <f t="shared" si="315"/>
        <v>2</v>
      </c>
      <c r="DE77" s="54">
        <f t="shared" si="316"/>
        <v>5</v>
      </c>
      <c r="DF77" s="54">
        <f t="shared" si="317"/>
        <v>2</v>
      </c>
      <c r="DG77" s="54">
        <f t="shared" si="318"/>
        <v>5</v>
      </c>
      <c r="DH77" s="54">
        <f t="shared" si="319"/>
        <v>2</v>
      </c>
      <c r="DI77" s="54">
        <f t="shared" si="320"/>
        <v>5</v>
      </c>
      <c r="DJ77" s="54">
        <f t="shared" si="321"/>
        <v>2</v>
      </c>
      <c r="DK77" s="54">
        <f t="shared" si="322"/>
        <v>5</v>
      </c>
      <c r="DL77" s="54">
        <f t="shared" si="323"/>
        <v>2</v>
      </c>
      <c r="DM77" s="54">
        <f t="shared" si="324"/>
        <v>5</v>
      </c>
      <c r="DN77" s="54">
        <f t="shared" si="325"/>
        <v>2</v>
      </c>
      <c r="DO77" s="54">
        <f t="shared" si="326"/>
        <v>5</v>
      </c>
      <c r="DP77" s="54">
        <f t="shared" si="327"/>
        <v>2</v>
      </c>
      <c r="DQ77" s="54">
        <f t="shared" si="328"/>
        <v>5</v>
      </c>
      <c r="DR77" s="54">
        <f t="shared" si="329"/>
        <v>2</v>
      </c>
      <c r="DS77" s="54">
        <f t="shared" si="330"/>
        <v>5</v>
      </c>
      <c r="DT77" s="54">
        <f t="shared" si="331"/>
        <v>2</v>
      </c>
      <c r="DU77" s="54">
        <f t="shared" si="332"/>
        <v>5</v>
      </c>
      <c r="DV77" s="54">
        <f t="shared" si="333"/>
        <v>2</v>
      </c>
      <c r="DW77" s="54">
        <f t="shared" si="334"/>
        <v>5</v>
      </c>
      <c r="DX77" s="54">
        <f t="shared" si="335"/>
        <v>2</v>
      </c>
      <c r="DY77" s="54">
        <f t="shared" si="336"/>
        <v>5</v>
      </c>
      <c r="DZ77" s="54">
        <f t="shared" si="337"/>
        <v>2</v>
      </c>
      <c r="EA77" s="54">
        <f t="shared" si="336"/>
        <v>5</v>
      </c>
      <c r="EB77" s="54">
        <f t="shared" si="337"/>
        <v>2</v>
      </c>
      <c r="EC77" s="54">
        <f t="shared" si="337"/>
        <v>5</v>
      </c>
      <c r="ED77" s="54">
        <f t="shared" si="338"/>
        <v>2</v>
      </c>
      <c r="EE77" s="54">
        <f t="shared" si="339"/>
        <v>5</v>
      </c>
      <c r="EF77" s="54">
        <f t="shared" si="340"/>
        <v>2</v>
      </c>
      <c r="EG77" s="54">
        <f t="shared" ref="EG77:EN77" si="348">EG76</f>
        <v>5</v>
      </c>
      <c r="EH77" s="54">
        <f t="shared" si="348"/>
        <v>2</v>
      </c>
      <c r="EI77" s="54">
        <f t="shared" si="348"/>
        <v>5</v>
      </c>
      <c r="EJ77" s="54">
        <f t="shared" si="348"/>
        <v>2</v>
      </c>
      <c r="EK77" s="54">
        <f t="shared" si="348"/>
        <v>5</v>
      </c>
      <c r="EL77" s="54">
        <f t="shared" si="348"/>
        <v>2</v>
      </c>
      <c r="EM77" s="54">
        <f t="shared" si="348"/>
        <v>5</v>
      </c>
      <c r="EN77" s="54">
        <f t="shared" si="348"/>
        <v>2</v>
      </c>
      <c r="EO77" s="54">
        <f t="shared" si="209"/>
        <v>2</v>
      </c>
      <c r="EP77" s="54">
        <f t="shared" si="210"/>
        <v>2</v>
      </c>
    </row>
    <row r="78" spans="1:146" x14ac:dyDescent="0.2">
      <c r="B78" t="s">
        <v>230</v>
      </c>
      <c r="C78" s="54">
        <f t="shared" si="211"/>
        <v>45474</v>
      </c>
      <c r="D78" s="54">
        <f t="shared" si="207"/>
        <v>1</v>
      </c>
      <c r="E78" s="54">
        <f t="shared" si="212"/>
        <v>4</v>
      </c>
      <c r="F78" s="54">
        <f t="shared" si="213"/>
        <v>2</v>
      </c>
      <c r="G78" s="54">
        <f t="shared" si="214"/>
        <v>5</v>
      </c>
      <c r="H78" s="54">
        <f t="shared" si="215"/>
        <v>2</v>
      </c>
      <c r="I78" s="54">
        <f t="shared" si="216"/>
        <v>5</v>
      </c>
      <c r="J78" s="54">
        <f t="shared" si="217"/>
        <v>2</v>
      </c>
      <c r="K78" s="54">
        <f t="shared" si="218"/>
        <v>5</v>
      </c>
      <c r="L78" s="54">
        <f t="shared" si="219"/>
        <v>2</v>
      </c>
      <c r="M78" s="54">
        <f t="shared" si="220"/>
        <v>5</v>
      </c>
      <c r="N78" s="54">
        <f t="shared" si="221"/>
        <v>2</v>
      </c>
      <c r="O78" s="54">
        <f t="shared" si="222"/>
        <v>5</v>
      </c>
      <c r="P78" s="54">
        <f t="shared" si="223"/>
        <v>2</v>
      </c>
      <c r="Q78" s="54">
        <f t="shared" si="224"/>
        <v>5</v>
      </c>
      <c r="R78" s="54">
        <f t="shared" si="225"/>
        <v>2</v>
      </c>
      <c r="S78" s="54">
        <f t="shared" si="226"/>
        <v>5</v>
      </c>
      <c r="T78" s="54">
        <f t="shared" si="227"/>
        <v>2</v>
      </c>
      <c r="U78" s="54">
        <f t="shared" si="228"/>
        <v>5</v>
      </c>
      <c r="V78" s="54">
        <f t="shared" si="229"/>
        <v>2</v>
      </c>
      <c r="W78" s="54">
        <f t="shared" si="230"/>
        <v>5</v>
      </c>
      <c r="X78" s="54">
        <f t="shared" si="231"/>
        <v>2</v>
      </c>
      <c r="Y78" s="54">
        <f t="shared" si="232"/>
        <v>5</v>
      </c>
      <c r="Z78" s="54">
        <f t="shared" si="233"/>
        <v>2</v>
      </c>
      <c r="AA78" s="54">
        <f t="shared" si="234"/>
        <v>5</v>
      </c>
      <c r="AB78" s="54">
        <f t="shared" si="235"/>
        <v>2</v>
      </c>
      <c r="AC78" s="54">
        <f t="shared" si="236"/>
        <v>5</v>
      </c>
      <c r="AD78" s="54">
        <f t="shared" si="237"/>
        <v>2</v>
      </c>
      <c r="AE78" s="54">
        <f t="shared" si="238"/>
        <v>5</v>
      </c>
      <c r="AF78" s="54">
        <f t="shared" si="239"/>
        <v>2</v>
      </c>
      <c r="AG78" s="54">
        <f t="shared" si="240"/>
        <v>5</v>
      </c>
      <c r="AH78" s="54">
        <f t="shared" si="241"/>
        <v>2</v>
      </c>
      <c r="AI78" s="54">
        <f t="shared" si="242"/>
        <v>5</v>
      </c>
      <c r="AJ78" s="54">
        <f t="shared" si="243"/>
        <v>2</v>
      </c>
      <c r="AK78" s="54">
        <f t="shared" si="244"/>
        <v>5</v>
      </c>
      <c r="AL78" s="54">
        <f t="shared" si="245"/>
        <v>2</v>
      </c>
      <c r="AM78" s="54">
        <f t="shared" si="246"/>
        <v>5</v>
      </c>
      <c r="AN78" s="54">
        <f t="shared" si="247"/>
        <v>2</v>
      </c>
      <c r="AO78" s="54">
        <f t="shared" si="248"/>
        <v>5</v>
      </c>
      <c r="AP78" s="54">
        <f t="shared" si="249"/>
        <v>2</v>
      </c>
      <c r="AQ78" s="54">
        <f t="shared" si="250"/>
        <v>5</v>
      </c>
      <c r="AR78" s="54">
        <f t="shared" si="251"/>
        <v>2</v>
      </c>
      <c r="AS78" s="54">
        <f t="shared" si="252"/>
        <v>5</v>
      </c>
      <c r="AT78" s="54">
        <f t="shared" si="253"/>
        <v>2</v>
      </c>
      <c r="AU78" s="54">
        <f t="shared" si="254"/>
        <v>5</v>
      </c>
      <c r="AV78" s="54">
        <f t="shared" si="255"/>
        <v>2</v>
      </c>
      <c r="AW78" s="54">
        <f t="shared" si="256"/>
        <v>5</v>
      </c>
      <c r="AX78" s="54">
        <f t="shared" si="257"/>
        <v>2</v>
      </c>
      <c r="AY78" s="54">
        <f t="shared" si="258"/>
        <v>5</v>
      </c>
      <c r="AZ78" s="54">
        <f t="shared" si="259"/>
        <v>2</v>
      </c>
      <c r="BA78" s="54">
        <f t="shared" si="260"/>
        <v>5</v>
      </c>
      <c r="BB78" s="54">
        <f t="shared" si="261"/>
        <v>2</v>
      </c>
      <c r="BC78" s="54">
        <f t="shared" si="262"/>
        <v>5</v>
      </c>
      <c r="BD78" s="54">
        <f t="shared" si="263"/>
        <v>2</v>
      </c>
      <c r="BE78" s="54">
        <f t="shared" si="264"/>
        <v>5</v>
      </c>
      <c r="BF78" s="54">
        <f t="shared" si="265"/>
        <v>2</v>
      </c>
      <c r="BG78" s="54">
        <f t="shared" si="266"/>
        <v>5</v>
      </c>
      <c r="BH78" s="54">
        <f t="shared" si="267"/>
        <v>2</v>
      </c>
      <c r="BI78" s="54">
        <f t="shared" si="268"/>
        <v>5</v>
      </c>
      <c r="BJ78" s="54">
        <f t="shared" si="269"/>
        <v>2</v>
      </c>
      <c r="BK78" s="54">
        <f t="shared" si="270"/>
        <v>5</v>
      </c>
      <c r="BL78" s="54">
        <f t="shared" si="271"/>
        <v>2</v>
      </c>
      <c r="BM78" s="54">
        <f t="shared" si="272"/>
        <v>5</v>
      </c>
      <c r="BN78" s="54">
        <f t="shared" si="273"/>
        <v>2</v>
      </c>
      <c r="BO78" s="54">
        <f t="shared" si="274"/>
        <v>5</v>
      </c>
      <c r="BP78" s="54">
        <f t="shared" si="275"/>
        <v>2</v>
      </c>
      <c r="BQ78" s="54">
        <f t="shared" si="276"/>
        <v>5</v>
      </c>
      <c r="BR78" s="54">
        <f t="shared" si="277"/>
        <v>2</v>
      </c>
      <c r="BS78" s="54">
        <f t="shared" si="278"/>
        <v>5</v>
      </c>
      <c r="BT78" s="54">
        <f t="shared" si="279"/>
        <v>2</v>
      </c>
      <c r="BU78" s="54">
        <f t="shared" si="280"/>
        <v>5</v>
      </c>
      <c r="BV78" s="54">
        <f t="shared" si="281"/>
        <v>2</v>
      </c>
      <c r="BW78" s="54">
        <f t="shared" si="282"/>
        <v>5</v>
      </c>
      <c r="BX78" s="54">
        <f t="shared" si="283"/>
        <v>2</v>
      </c>
      <c r="BY78" s="54">
        <f t="shared" si="284"/>
        <v>5</v>
      </c>
      <c r="BZ78" s="54">
        <f t="shared" si="285"/>
        <v>2</v>
      </c>
      <c r="CA78" s="54">
        <f t="shared" si="286"/>
        <v>5</v>
      </c>
      <c r="CB78" s="54">
        <f t="shared" si="287"/>
        <v>2</v>
      </c>
      <c r="CC78" s="54">
        <f t="shared" si="288"/>
        <v>5</v>
      </c>
      <c r="CD78" s="54">
        <f t="shared" si="289"/>
        <v>2</v>
      </c>
      <c r="CE78" s="54">
        <f t="shared" si="290"/>
        <v>5</v>
      </c>
      <c r="CF78" s="54">
        <f t="shared" si="291"/>
        <v>2</v>
      </c>
      <c r="CG78" s="54">
        <f t="shared" si="292"/>
        <v>5</v>
      </c>
      <c r="CH78" s="54">
        <f t="shared" si="293"/>
        <v>2</v>
      </c>
      <c r="CI78" s="54">
        <f t="shared" si="294"/>
        <v>5</v>
      </c>
      <c r="CJ78" s="54">
        <f t="shared" si="295"/>
        <v>2</v>
      </c>
      <c r="CK78" s="54">
        <f t="shared" si="296"/>
        <v>5</v>
      </c>
      <c r="CL78" s="54">
        <f t="shared" si="297"/>
        <v>2</v>
      </c>
      <c r="CM78" s="54">
        <f t="shared" si="298"/>
        <v>5</v>
      </c>
      <c r="CN78" s="54">
        <f t="shared" si="299"/>
        <v>2</v>
      </c>
      <c r="CO78" s="54">
        <f t="shared" si="300"/>
        <v>5</v>
      </c>
      <c r="CP78" s="54">
        <f t="shared" si="301"/>
        <v>2</v>
      </c>
      <c r="CQ78" s="54">
        <f t="shared" si="302"/>
        <v>5</v>
      </c>
      <c r="CR78" s="54">
        <f t="shared" si="303"/>
        <v>2</v>
      </c>
      <c r="CS78" s="54">
        <f t="shared" si="304"/>
        <v>5</v>
      </c>
      <c r="CT78" s="54">
        <f t="shared" si="305"/>
        <v>2</v>
      </c>
      <c r="CU78" s="54">
        <f t="shared" si="306"/>
        <v>5</v>
      </c>
      <c r="CV78" s="54">
        <f t="shared" si="307"/>
        <v>2</v>
      </c>
      <c r="CW78" s="54">
        <f t="shared" si="308"/>
        <v>5</v>
      </c>
      <c r="CX78" s="54">
        <f t="shared" si="309"/>
        <v>2</v>
      </c>
      <c r="CY78" s="54">
        <f t="shared" si="310"/>
        <v>5</v>
      </c>
      <c r="CZ78" s="54">
        <f t="shared" si="311"/>
        <v>2</v>
      </c>
      <c r="DA78" s="54">
        <f t="shared" si="312"/>
        <v>5</v>
      </c>
      <c r="DB78" s="54">
        <f t="shared" si="313"/>
        <v>2</v>
      </c>
      <c r="DC78" s="54">
        <f t="shared" si="314"/>
        <v>5</v>
      </c>
      <c r="DD78" s="54">
        <f t="shared" si="315"/>
        <v>2</v>
      </c>
      <c r="DE78" s="54">
        <f t="shared" si="316"/>
        <v>5</v>
      </c>
      <c r="DF78" s="54">
        <f t="shared" si="317"/>
        <v>2</v>
      </c>
      <c r="DG78" s="54">
        <f t="shared" si="318"/>
        <v>5</v>
      </c>
      <c r="DH78" s="54">
        <f t="shared" si="319"/>
        <v>2</v>
      </c>
      <c r="DI78" s="54">
        <f t="shared" si="320"/>
        <v>5</v>
      </c>
      <c r="DJ78" s="54">
        <f t="shared" si="321"/>
        <v>2</v>
      </c>
      <c r="DK78" s="54">
        <f t="shared" si="322"/>
        <v>5</v>
      </c>
      <c r="DL78" s="54">
        <f t="shared" si="323"/>
        <v>2</v>
      </c>
      <c r="DM78" s="54">
        <f t="shared" si="324"/>
        <v>5</v>
      </c>
      <c r="DN78" s="54">
        <f t="shared" si="325"/>
        <v>2</v>
      </c>
      <c r="DO78" s="54">
        <f t="shared" si="326"/>
        <v>5</v>
      </c>
      <c r="DP78" s="54">
        <f t="shared" si="327"/>
        <v>2</v>
      </c>
      <c r="DQ78" s="54">
        <f t="shared" si="328"/>
        <v>5</v>
      </c>
      <c r="DR78" s="54">
        <f t="shared" si="329"/>
        <v>2</v>
      </c>
      <c r="DS78" s="54">
        <f t="shared" si="330"/>
        <v>5</v>
      </c>
      <c r="DT78" s="54">
        <f t="shared" si="331"/>
        <v>2</v>
      </c>
      <c r="DU78" s="54">
        <f t="shared" si="332"/>
        <v>5</v>
      </c>
      <c r="DV78" s="54">
        <f t="shared" si="333"/>
        <v>2</v>
      </c>
      <c r="DW78" s="54">
        <f t="shared" si="334"/>
        <v>5</v>
      </c>
      <c r="DX78" s="54">
        <f t="shared" si="335"/>
        <v>2</v>
      </c>
      <c r="DY78" s="54">
        <f t="shared" si="336"/>
        <v>5</v>
      </c>
      <c r="DZ78" s="54">
        <f t="shared" si="337"/>
        <v>2</v>
      </c>
      <c r="EA78" s="54">
        <f t="shared" si="336"/>
        <v>5</v>
      </c>
      <c r="EB78" s="54">
        <f t="shared" si="337"/>
        <v>2</v>
      </c>
      <c r="EC78" s="54">
        <f t="shared" si="337"/>
        <v>5</v>
      </c>
      <c r="ED78" s="54">
        <f t="shared" si="338"/>
        <v>2</v>
      </c>
      <c r="EE78" s="54">
        <f t="shared" si="339"/>
        <v>5</v>
      </c>
      <c r="EF78" s="54">
        <f t="shared" si="340"/>
        <v>2</v>
      </c>
      <c r="EG78" s="54">
        <f t="shared" ref="EG78:EN78" si="349">EG77</f>
        <v>5</v>
      </c>
      <c r="EH78" s="54">
        <f t="shared" si="349"/>
        <v>2</v>
      </c>
      <c r="EI78" s="54">
        <f t="shared" si="349"/>
        <v>5</v>
      </c>
      <c r="EJ78" s="54">
        <f t="shared" si="349"/>
        <v>2</v>
      </c>
      <c r="EK78" s="54">
        <f t="shared" si="349"/>
        <v>5</v>
      </c>
      <c r="EL78" s="54">
        <f t="shared" si="349"/>
        <v>2</v>
      </c>
      <c r="EM78" s="54">
        <f t="shared" si="349"/>
        <v>5</v>
      </c>
      <c r="EN78" s="54">
        <f t="shared" si="349"/>
        <v>2</v>
      </c>
      <c r="EO78" s="54">
        <f t="shared" si="209"/>
        <v>2</v>
      </c>
      <c r="EP78" s="54">
        <f t="shared" si="210"/>
        <v>2</v>
      </c>
    </row>
    <row r="79" spans="1:146" x14ac:dyDescent="0.2">
      <c r="B79" t="s">
        <v>230</v>
      </c>
      <c r="C79" s="54">
        <f t="shared" si="211"/>
        <v>45474</v>
      </c>
      <c r="D79" s="54">
        <f t="shared" si="207"/>
        <v>1</v>
      </c>
      <c r="E79" s="54">
        <f t="shared" si="212"/>
        <v>4</v>
      </c>
      <c r="F79" s="54">
        <f t="shared" si="213"/>
        <v>2</v>
      </c>
      <c r="G79" s="54">
        <f t="shared" si="214"/>
        <v>5</v>
      </c>
      <c r="H79" s="54">
        <f t="shared" si="215"/>
        <v>2</v>
      </c>
      <c r="I79" s="54">
        <f t="shared" si="216"/>
        <v>5</v>
      </c>
      <c r="J79" s="54">
        <f t="shared" si="217"/>
        <v>2</v>
      </c>
      <c r="K79" s="54">
        <f t="shared" si="218"/>
        <v>5</v>
      </c>
      <c r="L79" s="54">
        <f t="shared" si="219"/>
        <v>2</v>
      </c>
      <c r="M79" s="54">
        <f t="shared" si="220"/>
        <v>5</v>
      </c>
      <c r="N79" s="54">
        <f t="shared" si="221"/>
        <v>2</v>
      </c>
      <c r="O79" s="54">
        <f t="shared" si="222"/>
        <v>5</v>
      </c>
      <c r="P79" s="54">
        <f t="shared" si="223"/>
        <v>2</v>
      </c>
      <c r="Q79" s="54">
        <f t="shared" si="224"/>
        <v>5</v>
      </c>
      <c r="R79" s="54">
        <f t="shared" si="225"/>
        <v>2</v>
      </c>
      <c r="S79" s="54">
        <f t="shared" si="226"/>
        <v>5</v>
      </c>
      <c r="T79" s="54">
        <f t="shared" si="227"/>
        <v>2</v>
      </c>
      <c r="U79" s="54">
        <f t="shared" si="228"/>
        <v>5</v>
      </c>
      <c r="V79" s="54">
        <f t="shared" si="229"/>
        <v>2</v>
      </c>
      <c r="W79" s="54">
        <f t="shared" si="230"/>
        <v>5</v>
      </c>
      <c r="X79" s="54">
        <f t="shared" si="231"/>
        <v>2</v>
      </c>
      <c r="Y79" s="54">
        <f t="shared" si="232"/>
        <v>5</v>
      </c>
      <c r="Z79" s="54">
        <f t="shared" si="233"/>
        <v>2</v>
      </c>
      <c r="AA79" s="54">
        <f t="shared" si="234"/>
        <v>5</v>
      </c>
      <c r="AB79" s="54">
        <f t="shared" si="235"/>
        <v>2</v>
      </c>
      <c r="AC79" s="54">
        <f t="shared" si="236"/>
        <v>5</v>
      </c>
      <c r="AD79" s="54">
        <f t="shared" si="237"/>
        <v>2</v>
      </c>
      <c r="AE79" s="54">
        <f t="shared" si="238"/>
        <v>5</v>
      </c>
      <c r="AF79" s="54">
        <f t="shared" si="239"/>
        <v>2</v>
      </c>
      <c r="AG79" s="54">
        <f t="shared" si="240"/>
        <v>5</v>
      </c>
      <c r="AH79" s="54">
        <f t="shared" si="241"/>
        <v>2</v>
      </c>
      <c r="AI79" s="54">
        <f t="shared" si="242"/>
        <v>5</v>
      </c>
      <c r="AJ79" s="54">
        <f t="shared" si="243"/>
        <v>2</v>
      </c>
      <c r="AK79" s="54">
        <f t="shared" si="244"/>
        <v>5</v>
      </c>
      <c r="AL79" s="54">
        <f t="shared" si="245"/>
        <v>2</v>
      </c>
      <c r="AM79" s="54">
        <f t="shared" si="246"/>
        <v>5</v>
      </c>
      <c r="AN79" s="54">
        <f t="shared" si="247"/>
        <v>2</v>
      </c>
      <c r="AO79" s="54">
        <f t="shared" si="248"/>
        <v>5</v>
      </c>
      <c r="AP79" s="54">
        <f t="shared" si="249"/>
        <v>2</v>
      </c>
      <c r="AQ79" s="54">
        <f t="shared" si="250"/>
        <v>5</v>
      </c>
      <c r="AR79" s="54">
        <f t="shared" si="251"/>
        <v>2</v>
      </c>
      <c r="AS79" s="54">
        <f t="shared" si="252"/>
        <v>5</v>
      </c>
      <c r="AT79" s="54">
        <f t="shared" si="253"/>
        <v>2</v>
      </c>
      <c r="AU79" s="54">
        <f t="shared" si="254"/>
        <v>5</v>
      </c>
      <c r="AV79" s="54">
        <f t="shared" si="255"/>
        <v>2</v>
      </c>
      <c r="AW79" s="54">
        <f t="shared" si="256"/>
        <v>5</v>
      </c>
      <c r="AX79" s="54">
        <f t="shared" si="257"/>
        <v>2</v>
      </c>
      <c r="AY79" s="54">
        <f t="shared" si="258"/>
        <v>5</v>
      </c>
      <c r="AZ79" s="54">
        <f t="shared" si="259"/>
        <v>2</v>
      </c>
      <c r="BA79" s="54">
        <f t="shared" si="260"/>
        <v>5</v>
      </c>
      <c r="BB79" s="54">
        <f t="shared" si="261"/>
        <v>2</v>
      </c>
      <c r="BC79" s="54">
        <f t="shared" si="262"/>
        <v>5</v>
      </c>
      <c r="BD79" s="54">
        <f t="shared" si="263"/>
        <v>2</v>
      </c>
      <c r="BE79" s="54">
        <f t="shared" si="264"/>
        <v>5</v>
      </c>
      <c r="BF79" s="54">
        <f t="shared" si="265"/>
        <v>2</v>
      </c>
      <c r="BG79" s="54">
        <f t="shared" si="266"/>
        <v>5</v>
      </c>
      <c r="BH79" s="54">
        <f t="shared" si="267"/>
        <v>2</v>
      </c>
      <c r="BI79" s="54">
        <f t="shared" si="268"/>
        <v>5</v>
      </c>
      <c r="BJ79" s="54">
        <f t="shared" si="269"/>
        <v>2</v>
      </c>
      <c r="BK79" s="54">
        <f t="shared" si="270"/>
        <v>5</v>
      </c>
      <c r="BL79" s="54">
        <f t="shared" si="271"/>
        <v>2</v>
      </c>
      <c r="BM79" s="54">
        <f t="shared" si="272"/>
        <v>5</v>
      </c>
      <c r="BN79" s="54">
        <f t="shared" si="273"/>
        <v>2</v>
      </c>
      <c r="BO79" s="54">
        <f t="shared" si="274"/>
        <v>5</v>
      </c>
      <c r="BP79" s="54">
        <f t="shared" si="275"/>
        <v>2</v>
      </c>
      <c r="BQ79" s="54">
        <f t="shared" si="276"/>
        <v>5</v>
      </c>
      <c r="BR79" s="54">
        <f t="shared" si="277"/>
        <v>2</v>
      </c>
      <c r="BS79" s="54">
        <f t="shared" si="278"/>
        <v>5</v>
      </c>
      <c r="BT79" s="54">
        <f t="shared" si="279"/>
        <v>2</v>
      </c>
      <c r="BU79" s="54">
        <f t="shared" si="280"/>
        <v>5</v>
      </c>
      <c r="BV79" s="54">
        <f t="shared" si="281"/>
        <v>2</v>
      </c>
      <c r="BW79" s="54">
        <f t="shared" si="282"/>
        <v>5</v>
      </c>
      <c r="BX79" s="54">
        <f t="shared" si="283"/>
        <v>2</v>
      </c>
      <c r="BY79" s="54">
        <f t="shared" si="284"/>
        <v>5</v>
      </c>
      <c r="BZ79" s="54">
        <f t="shared" si="285"/>
        <v>2</v>
      </c>
      <c r="CA79" s="54">
        <f t="shared" si="286"/>
        <v>5</v>
      </c>
      <c r="CB79" s="54">
        <f t="shared" si="287"/>
        <v>2</v>
      </c>
      <c r="CC79" s="54">
        <f t="shared" si="288"/>
        <v>5</v>
      </c>
      <c r="CD79" s="54">
        <f t="shared" si="289"/>
        <v>2</v>
      </c>
      <c r="CE79" s="54">
        <f t="shared" si="290"/>
        <v>5</v>
      </c>
      <c r="CF79" s="54">
        <f t="shared" si="291"/>
        <v>2</v>
      </c>
      <c r="CG79" s="54">
        <f t="shared" si="292"/>
        <v>5</v>
      </c>
      <c r="CH79" s="54">
        <f t="shared" si="293"/>
        <v>2</v>
      </c>
      <c r="CI79" s="54">
        <f t="shared" si="294"/>
        <v>5</v>
      </c>
      <c r="CJ79" s="54">
        <f t="shared" si="295"/>
        <v>2</v>
      </c>
      <c r="CK79" s="54">
        <f t="shared" si="296"/>
        <v>5</v>
      </c>
      <c r="CL79" s="54">
        <f t="shared" si="297"/>
        <v>2</v>
      </c>
      <c r="CM79" s="54">
        <f t="shared" si="298"/>
        <v>5</v>
      </c>
      <c r="CN79" s="54">
        <f t="shared" si="299"/>
        <v>2</v>
      </c>
      <c r="CO79" s="54">
        <f t="shared" si="300"/>
        <v>5</v>
      </c>
      <c r="CP79" s="54">
        <f t="shared" si="301"/>
        <v>2</v>
      </c>
      <c r="CQ79" s="54">
        <f t="shared" si="302"/>
        <v>5</v>
      </c>
      <c r="CR79" s="54">
        <f t="shared" si="303"/>
        <v>2</v>
      </c>
      <c r="CS79" s="54">
        <f t="shared" si="304"/>
        <v>5</v>
      </c>
      <c r="CT79" s="54">
        <f t="shared" si="305"/>
        <v>2</v>
      </c>
      <c r="CU79" s="54">
        <f t="shared" si="306"/>
        <v>5</v>
      </c>
      <c r="CV79" s="54">
        <f t="shared" si="307"/>
        <v>2</v>
      </c>
      <c r="CW79" s="54">
        <f t="shared" si="308"/>
        <v>5</v>
      </c>
      <c r="CX79" s="54">
        <f t="shared" si="309"/>
        <v>2</v>
      </c>
      <c r="CY79" s="54">
        <f t="shared" si="310"/>
        <v>5</v>
      </c>
      <c r="CZ79" s="54">
        <f t="shared" si="311"/>
        <v>2</v>
      </c>
      <c r="DA79" s="54">
        <f t="shared" si="312"/>
        <v>5</v>
      </c>
      <c r="DB79" s="54">
        <f t="shared" si="313"/>
        <v>2</v>
      </c>
      <c r="DC79" s="54">
        <f t="shared" si="314"/>
        <v>5</v>
      </c>
      <c r="DD79" s="54">
        <f t="shared" si="315"/>
        <v>2</v>
      </c>
      <c r="DE79" s="54">
        <f t="shared" si="316"/>
        <v>5</v>
      </c>
      <c r="DF79" s="54">
        <f t="shared" si="317"/>
        <v>2</v>
      </c>
      <c r="DG79" s="54">
        <f t="shared" si="318"/>
        <v>5</v>
      </c>
      <c r="DH79" s="54">
        <f t="shared" si="319"/>
        <v>2</v>
      </c>
      <c r="DI79" s="54">
        <f t="shared" si="320"/>
        <v>5</v>
      </c>
      <c r="DJ79" s="54">
        <f t="shared" si="321"/>
        <v>2</v>
      </c>
      <c r="DK79" s="54">
        <f t="shared" si="322"/>
        <v>5</v>
      </c>
      <c r="DL79" s="54">
        <f t="shared" si="323"/>
        <v>2</v>
      </c>
      <c r="DM79" s="54">
        <f t="shared" si="324"/>
        <v>5</v>
      </c>
      <c r="DN79" s="54">
        <f t="shared" si="325"/>
        <v>2</v>
      </c>
      <c r="DO79" s="54">
        <f t="shared" si="326"/>
        <v>5</v>
      </c>
      <c r="DP79" s="54">
        <f t="shared" si="327"/>
        <v>2</v>
      </c>
      <c r="DQ79" s="54">
        <f t="shared" si="328"/>
        <v>5</v>
      </c>
      <c r="DR79" s="54">
        <f t="shared" si="329"/>
        <v>2</v>
      </c>
      <c r="DS79" s="54">
        <f t="shared" si="330"/>
        <v>5</v>
      </c>
      <c r="DT79" s="54">
        <f t="shared" si="331"/>
        <v>2</v>
      </c>
      <c r="DU79" s="54">
        <f t="shared" si="332"/>
        <v>5</v>
      </c>
      <c r="DV79" s="54">
        <f t="shared" si="333"/>
        <v>2</v>
      </c>
      <c r="DW79" s="54">
        <f t="shared" si="334"/>
        <v>5</v>
      </c>
      <c r="DX79" s="54">
        <f t="shared" si="335"/>
        <v>2</v>
      </c>
      <c r="DY79" s="54">
        <f t="shared" si="336"/>
        <v>5</v>
      </c>
      <c r="DZ79" s="54">
        <f t="shared" si="337"/>
        <v>2</v>
      </c>
      <c r="EA79" s="54">
        <f t="shared" si="336"/>
        <v>5</v>
      </c>
      <c r="EB79" s="54">
        <f t="shared" si="337"/>
        <v>2</v>
      </c>
      <c r="EC79" s="54">
        <f t="shared" si="337"/>
        <v>5</v>
      </c>
      <c r="ED79" s="54">
        <f t="shared" si="338"/>
        <v>2</v>
      </c>
      <c r="EE79" s="54">
        <f t="shared" si="339"/>
        <v>5</v>
      </c>
      <c r="EF79" s="54">
        <f t="shared" si="340"/>
        <v>2</v>
      </c>
      <c r="EG79" s="54">
        <f t="shared" ref="EG79:EN79" si="350">EG78</f>
        <v>5</v>
      </c>
      <c r="EH79" s="54">
        <f t="shared" si="350"/>
        <v>2</v>
      </c>
      <c r="EI79" s="54">
        <f t="shared" si="350"/>
        <v>5</v>
      </c>
      <c r="EJ79" s="54">
        <f t="shared" si="350"/>
        <v>2</v>
      </c>
      <c r="EK79" s="54">
        <f t="shared" si="350"/>
        <v>5</v>
      </c>
      <c r="EL79" s="54">
        <f t="shared" si="350"/>
        <v>2</v>
      </c>
      <c r="EM79" s="54">
        <f t="shared" si="350"/>
        <v>5</v>
      </c>
      <c r="EN79" s="54">
        <f t="shared" si="350"/>
        <v>2</v>
      </c>
      <c r="EO79" s="54">
        <f t="shared" si="209"/>
        <v>2</v>
      </c>
      <c r="EP79" s="54">
        <f t="shared" si="210"/>
        <v>2</v>
      </c>
    </row>
    <row r="80" spans="1:146" x14ac:dyDescent="0.2">
      <c r="A80" s="54"/>
      <c r="B80" t="s">
        <v>230</v>
      </c>
      <c r="C80" s="54">
        <f t="shared" si="211"/>
        <v>45474</v>
      </c>
      <c r="D80" s="54">
        <f t="shared" si="207"/>
        <v>1</v>
      </c>
      <c r="E80" s="54">
        <f t="shared" si="212"/>
        <v>4</v>
      </c>
      <c r="F80" s="54">
        <f t="shared" si="213"/>
        <v>2</v>
      </c>
      <c r="G80" s="54">
        <f t="shared" si="214"/>
        <v>5</v>
      </c>
      <c r="H80" s="54">
        <f t="shared" si="215"/>
        <v>2</v>
      </c>
      <c r="I80" s="54">
        <f t="shared" si="216"/>
        <v>5</v>
      </c>
      <c r="J80" s="54">
        <f t="shared" si="217"/>
        <v>2</v>
      </c>
      <c r="K80" s="54">
        <f t="shared" si="218"/>
        <v>5</v>
      </c>
      <c r="L80" s="54">
        <f t="shared" si="219"/>
        <v>2</v>
      </c>
      <c r="M80" s="54">
        <f t="shared" si="220"/>
        <v>5</v>
      </c>
      <c r="N80" s="54">
        <f t="shared" si="221"/>
        <v>2</v>
      </c>
      <c r="O80" s="54">
        <f t="shared" si="222"/>
        <v>5</v>
      </c>
      <c r="P80" s="54">
        <f t="shared" si="223"/>
        <v>2</v>
      </c>
      <c r="Q80" s="54">
        <f t="shared" si="224"/>
        <v>5</v>
      </c>
      <c r="R80" s="54">
        <f t="shared" si="225"/>
        <v>2</v>
      </c>
      <c r="S80" s="54">
        <f t="shared" si="226"/>
        <v>5</v>
      </c>
      <c r="T80" s="54">
        <f t="shared" si="227"/>
        <v>2</v>
      </c>
      <c r="U80" s="54">
        <f t="shared" si="228"/>
        <v>5</v>
      </c>
      <c r="V80" s="54">
        <f t="shared" si="229"/>
        <v>2</v>
      </c>
      <c r="W80" s="54">
        <f t="shared" si="230"/>
        <v>5</v>
      </c>
      <c r="X80" s="54">
        <f t="shared" si="231"/>
        <v>2</v>
      </c>
      <c r="Y80" s="54">
        <f t="shared" si="232"/>
        <v>5</v>
      </c>
      <c r="Z80" s="54">
        <f t="shared" si="233"/>
        <v>2</v>
      </c>
      <c r="AA80" s="54">
        <f t="shared" si="234"/>
        <v>5</v>
      </c>
      <c r="AB80" s="54">
        <f t="shared" si="235"/>
        <v>2</v>
      </c>
      <c r="AC80" s="54">
        <f t="shared" si="236"/>
        <v>5</v>
      </c>
      <c r="AD80" s="54">
        <f t="shared" si="237"/>
        <v>2</v>
      </c>
      <c r="AE80" s="54">
        <f t="shared" si="238"/>
        <v>5</v>
      </c>
      <c r="AF80" s="54">
        <f t="shared" si="239"/>
        <v>2</v>
      </c>
      <c r="AG80" s="54">
        <f t="shared" si="240"/>
        <v>5</v>
      </c>
      <c r="AH80" s="54">
        <f t="shared" si="241"/>
        <v>2</v>
      </c>
      <c r="AI80" s="54">
        <f t="shared" si="242"/>
        <v>5</v>
      </c>
      <c r="AJ80" s="54">
        <f t="shared" si="243"/>
        <v>2</v>
      </c>
      <c r="AK80" s="54">
        <f t="shared" si="244"/>
        <v>5</v>
      </c>
      <c r="AL80" s="54">
        <f t="shared" si="245"/>
        <v>2</v>
      </c>
      <c r="AM80" s="54">
        <f t="shared" si="246"/>
        <v>5</v>
      </c>
      <c r="AN80" s="54">
        <f t="shared" si="247"/>
        <v>2</v>
      </c>
      <c r="AO80" s="54">
        <f t="shared" si="248"/>
        <v>5</v>
      </c>
      <c r="AP80" s="54">
        <f t="shared" si="249"/>
        <v>2</v>
      </c>
      <c r="AQ80" s="54">
        <f t="shared" si="250"/>
        <v>5</v>
      </c>
      <c r="AR80" s="54">
        <f t="shared" si="251"/>
        <v>2</v>
      </c>
      <c r="AS80" s="54">
        <f t="shared" si="252"/>
        <v>5</v>
      </c>
      <c r="AT80" s="54">
        <f t="shared" si="253"/>
        <v>2</v>
      </c>
      <c r="AU80" s="54">
        <f t="shared" si="254"/>
        <v>5</v>
      </c>
      <c r="AV80" s="54">
        <f t="shared" si="255"/>
        <v>2</v>
      </c>
      <c r="AW80" s="54">
        <f t="shared" si="256"/>
        <v>5</v>
      </c>
      <c r="AX80" s="54">
        <f t="shared" si="257"/>
        <v>2</v>
      </c>
      <c r="AY80" s="54">
        <f t="shared" si="258"/>
        <v>5</v>
      </c>
      <c r="AZ80" s="54">
        <f t="shared" si="259"/>
        <v>2</v>
      </c>
      <c r="BA80" s="54">
        <f t="shared" si="260"/>
        <v>5</v>
      </c>
      <c r="BB80" s="54">
        <f t="shared" si="261"/>
        <v>2</v>
      </c>
      <c r="BC80" s="54">
        <f t="shared" si="262"/>
        <v>5</v>
      </c>
      <c r="BD80" s="54">
        <f t="shared" si="263"/>
        <v>2</v>
      </c>
      <c r="BE80" s="54">
        <f t="shared" si="264"/>
        <v>5</v>
      </c>
      <c r="BF80" s="54">
        <f t="shared" si="265"/>
        <v>2</v>
      </c>
      <c r="BG80" s="54">
        <f t="shared" si="266"/>
        <v>5</v>
      </c>
      <c r="BH80" s="54">
        <f t="shared" si="267"/>
        <v>2</v>
      </c>
      <c r="BI80" s="54">
        <f t="shared" si="268"/>
        <v>5</v>
      </c>
      <c r="BJ80" s="54">
        <f t="shared" si="269"/>
        <v>2</v>
      </c>
      <c r="BK80" s="54">
        <f t="shared" si="270"/>
        <v>5</v>
      </c>
      <c r="BL80" s="54">
        <f t="shared" si="271"/>
        <v>2</v>
      </c>
      <c r="BM80" s="54">
        <f t="shared" si="272"/>
        <v>5</v>
      </c>
      <c r="BN80" s="54">
        <f t="shared" si="273"/>
        <v>2</v>
      </c>
      <c r="BO80" s="54">
        <f t="shared" si="274"/>
        <v>5</v>
      </c>
      <c r="BP80" s="54">
        <f t="shared" si="275"/>
        <v>2</v>
      </c>
      <c r="BQ80" s="54">
        <f t="shared" si="276"/>
        <v>5</v>
      </c>
      <c r="BR80" s="54">
        <f t="shared" si="277"/>
        <v>2</v>
      </c>
      <c r="BS80" s="54">
        <f t="shared" si="278"/>
        <v>5</v>
      </c>
      <c r="BT80" s="54">
        <f t="shared" si="279"/>
        <v>2</v>
      </c>
      <c r="BU80" s="54">
        <f t="shared" si="280"/>
        <v>5</v>
      </c>
      <c r="BV80" s="54">
        <f t="shared" si="281"/>
        <v>2</v>
      </c>
      <c r="BW80" s="54">
        <f t="shared" si="282"/>
        <v>5</v>
      </c>
      <c r="BX80" s="54">
        <f t="shared" si="283"/>
        <v>2</v>
      </c>
      <c r="BY80" s="54">
        <f t="shared" si="284"/>
        <v>5</v>
      </c>
      <c r="BZ80" s="54">
        <f t="shared" si="285"/>
        <v>2</v>
      </c>
      <c r="CA80" s="54">
        <f t="shared" si="286"/>
        <v>5</v>
      </c>
      <c r="CB80" s="54">
        <f t="shared" si="287"/>
        <v>2</v>
      </c>
      <c r="CC80" s="54">
        <f t="shared" si="288"/>
        <v>5</v>
      </c>
      <c r="CD80" s="54">
        <f t="shared" si="289"/>
        <v>2</v>
      </c>
      <c r="CE80" s="54">
        <f t="shared" si="290"/>
        <v>5</v>
      </c>
      <c r="CF80" s="54">
        <f t="shared" si="291"/>
        <v>2</v>
      </c>
      <c r="CG80" s="54">
        <f t="shared" si="292"/>
        <v>5</v>
      </c>
      <c r="CH80" s="54">
        <f t="shared" si="293"/>
        <v>2</v>
      </c>
      <c r="CI80" s="54">
        <f t="shared" si="294"/>
        <v>5</v>
      </c>
      <c r="CJ80" s="54">
        <f t="shared" si="295"/>
        <v>2</v>
      </c>
      <c r="CK80" s="54">
        <f t="shared" si="296"/>
        <v>5</v>
      </c>
      <c r="CL80" s="54">
        <f t="shared" si="297"/>
        <v>2</v>
      </c>
      <c r="CM80" s="54">
        <f t="shared" si="298"/>
        <v>5</v>
      </c>
      <c r="CN80" s="54">
        <f t="shared" si="299"/>
        <v>2</v>
      </c>
      <c r="CO80" s="54">
        <f t="shared" si="300"/>
        <v>5</v>
      </c>
      <c r="CP80" s="54">
        <f t="shared" si="301"/>
        <v>2</v>
      </c>
      <c r="CQ80" s="54">
        <f t="shared" si="302"/>
        <v>5</v>
      </c>
      <c r="CR80" s="54">
        <f t="shared" si="303"/>
        <v>2</v>
      </c>
      <c r="CS80" s="54">
        <f t="shared" si="304"/>
        <v>5</v>
      </c>
      <c r="CT80" s="54">
        <f t="shared" si="305"/>
        <v>2</v>
      </c>
      <c r="CU80" s="54">
        <f t="shared" si="306"/>
        <v>5</v>
      </c>
      <c r="CV80" s="54">
        <f t="shared" si="307"/>
        <v>2</v>
      </c>
      <c r="CW80" s="54">
        <f t="shared" si="308"/>
        <v>5</v>
      </c>
      <c r="CX80" s="54">
        <f t="shared" si="309"/>
        <v>2</v>
      </c>
      <c r="CY80" s="54">
        <f t="shared" si="310"/>
        <v>5</v>
      </c>
      <c r="CZ80" s="54">
        <f t="shared" si="311"/>
        <v>2</v>
      </c>
      <c r="DA80" s="54">
        <f t="shared" si="312"/>
        <v>5</v>
      </c>
      <c r="DB80" s="54">
        <f t="shared" si="313"/>
        <v>2</v>
      </c>
      <c r="DC80" s="54">
        <f t="shared" si="314"/>
        <v>5</v>
      </c>
      <c r="DD80" s="54">
        <f t="shared" si="315"/>
        <v>2</v>
      </c>
      <c r="DE80" s="54">
        <f t="shared" si="316"/>
        <v>5</v>
      </c>
      <c r="DF80" s="54">
        <f t="shared" si="317"/>
        <v>2</v>
      </c>
      <c r="DG80" s="54">
        <f t="shared" si="318"/>
        <v>5</v>
      </c>
      <c r="DH80" s="54">
        <f t="shared" si="319"/>
        <v>2</v>
      </c>
      <c r="DI80" s="54">
        <f t="shared" si="320"/>
        <v>5</v>
      </c>
      <c r="DJ80" s="54">
        <f t="shared" si="321"/>
        <v>2</v>
      </c>
      <c r="DK80" s="54">
        <f t="shared" si="322"/>
        <v>5</v>
      </c>
      <c r="DL80" s="54">
        <f t="shared" si="323"/>
        <v>2</v>
      </c>
      <c r="DM80" s="54">
        <f t="shared" si="324"/>
        <v>5</v>
      </c>
      <c r="DN80" s="54">
        <f t="shared" si="325"/>
        <v>2</v>
      </c>
      <c r="DO80" s="54">
        <f t="shared" si="326"/>
        <v>5</v>
      </c>
      <c r="DP80" s="54">
        <f t="shared" si="327"/>
        <v>2</v>
      </c>
      <c r="DQ80" s="54">
        <f t="shared" si="328"/>
        <v>5</v>
      </c>
      <c r="DR80" s="54">
        <f t="shared" si="329"/>
        <v>2</v>
      </c>
      <c r="DS80" s="54">
        <f t="shared" si="330"/>
        <v>5</v>
      </c>
      <c r="DT80" s="54">
        <f t="shared" si="331"/>
        <v>2</v>
      </c>
      <c r="DU80" s="54">
        <f t="shared" si="332"/>
        <v>5</v>
      </c>
      <c r="DV80" s="54">
        <f t="shared" si="333"/>
        <v>2</v>
      </c>
      <c r="DW80" s="54">
        <f t="shared" si="334"/>
        <v>5</v>
      </c>
      <c r="DX80" s="54">
        <f t="shared" si="335"/>
        <v>2</v>
      </c>
      <c r="DY80" s="54">
        <f t="shared" si="336"/>
        <v>5</v>
      </c>
      <c r="DZ80" s="54">
        <f t="shared" si="337"/>
        <v>2</v>
      </c>
      <c r="EA80" s="54">
        <f t="shared" si="336"/>
        <v>5</v>
      </c>
      <c r="EB80" s="54">
        <f t="shared" si="337"/>
        <v>2</v>
      </c>
      <c r="EC80" s="54">
        <f t="shared" si="337"/>
        <v>5</v>
      </c>
      <c r="ED80" s="54">
        <f t="shared" si="338"/>
        <v>2</v>
      </c>
      <c r="EE80" s="54">
        <f t="shared" si="339"/>
        <v>5</v>
      </c>
      <c r="EF80" s="54">
        <f t="shared" si="340"/>
        <v>2</v>
      </c>
      <c r="EG80" s="54">
        <f t="shared" ref="EG80:EN80" si="351">EG79</f>
        <v>5</v>
      </c>
      <c r="EH80" s="54">
        <f t="shared" si="351"/>
        <v>2</v>
      </c>
      <c r="EI80" s="54">
        <f t="shared" si="351"/>
        <v>5</v>
      </c>
      <c r="EJ80" s="54">
        <f t="shared" si="351"/>
        <v>2</v>
      </c>
      <c r="EK80" s="54">
        <f t="shared" si="351"/>
        <v>5</v>
      </c>
      <c r="EL80" s="54">
        <f t="shared" si="351"/>
        <v>2</v>
      </c>
      <c r="EM80" s="54">
        <f t="shared" si="351"/>
        <v>5</v>
      </c>
      <c r="EN80" s="54">
        <f t="shared" si="351"/>
        <v>2</v>
      </c>
      <c r="EO80" s="54">
        <f t="shared" si="209"/>
        <v>2</v>
      </c>
      <c r="EP80" s="54">
        <f t="shared" si="210"/>
        <v>2</v>
      </c>
    </row>
    <row r="81" spans="1:146" x14ac:dyDescent="0.2">
      <c r="B81" t="s">
        <v>230</v>
      </c>
      <c r="C81" s="54">
        <f t="shared" si="211"/>
        <v>45474</v>
      </c>
      <c r="D81" s="54">
        <f t="shared" si="207"/>
        <v>1</v>
      </c>
      <c r="E81" s="54">
        <f t="shared" si="212"/>
        <v>4</v>
      </c>
      <c r="F81" s="54">
        <f t="shared" si="213"/>
        <v>2</v>
      </c>
      <c r="G81" s="54">
        <f t="shared" si="214"/>
        <v>5</v>
      </c>
      <c r="H81" s="54">
        <f t="shared" si="215"/>
        <v>2</v>
      </c>
      <c r="I81" s="54">
        <f t="shared" si="216"/>
        <v>5</v>
      </c>
      <c r="J81" s="54">
        <f t="shared" si="217"/>
        <v>2</v>
      </c>
      <c r="K81" s="54">
        <f t="shared" si="218"/>
        <v>5</v>
      </c>
      <c r="L81" s="54">
        <f t="shared" si="219"/>
        <v>2</v>
      </c>
      <c r="M81" s="54">
        <f t="shared" si="220"/>
        <v>5</v>
      </c>
      <c r="N81" s="54">
        <f t="shared" si="221"/>
        <v>2</v>
      </c>
      <c r="O81" s="54">
        <f t="shared" si="222"/>
        <v>5</v>
      </c>
      <c r="P81" s="54">
        <f t="shared" si="223"/>
        <v>2</v>
      </c>
      <c r="Q81" s="54">
        <f t="shared" si="224"/>
        <v>5</v>
      </c>
      <c r="R81" s="54">
        <f t="shared" si="225"/>
        <v>2</v>
      </c>
      <c r="S81" s="54">
        <f t="shared" si="226"/>
        <v>5</v>
      </c>
      <c r="T81" s="54">
        <f t="shared" si="227"/>
        <v>2</v>
      </c>
      <c r="U81" s="54">
        <f t="shared" si="228"/>
        <v>5</v>
      </c>
      <c r="V81" s="54">
        <f t="shared" si="229"/>
        <v>2</v>
      </c>
      <c r="W81" s="54">
        <f t="shared" si="230"/>
        <v>5</v>
      </c>
      <c r="X81" s="54">
        <f t="shared" si="231"/>
        <v>2</v>
      </c>
      <c r="Y81" s="54">
        <f t="shared" si="232"/>
        <v>5</v>
      </c>
      <c r="Z81" s="54">
        <f t="shared" si="233"/>
        <v>2</v>
      </c>
      <c r="AA81" s="54">
        <f t="shared" si="234"/>
        <v>5</v>
      </c>
      <c r="AB81" s="54">
        <f t="shared" si="235"/>
        <v>2</v>
      </c>
      <c r="AC81" s="54">
        <f t="shared" si="236"/>
        <v>5</v>
      </c>
      <c r="AD81" s="54">
        <f t="shared" si="237"/>
        <v>2</v>
      </c>
      <c r="AE81" s="54">
        <f t="shared" si="238"/>
        <v>5</v>
      </c>
      <c r="AF81" s="54">
        <f t="shared" si="239"/>
        <v>2</v>
      </c>
      <c r="AG81" s="54">
        <f t="shared" si="240"/>
        <v>5</v>
      </c>
      <c r="AH81" s="54">
        <f t="shared" si="241"/>
        <v>2</v>
      </c>
      <c r="AI81" s="54">
        <f t="shared" si="242"/>
        <v>5</v>
      </c>
      <c r="AJ81" s="54">
        <f t="shared" si="243"/>
        <v>2</v>
      </c>
      <c r="AK81" s="54">
        <f t="shared" si="244"/>
        <v>5</v>
      </c>
      <c r="AL81" s="54">
        <f t="shared" si="245"/>
        <v>2</v>
      </c>
      <c r="AM81" s="54">
        <f t="shared" si="246"/>
        <v>5</v>
      </c>
      <c r="AN81" s="54">
        <f t="shared" si="247"/>
        <v>2</v>
      </c>
      <c r="AO81" s="54">
        <f t="shared" si="248"/>
        <v>5</v>
      </c>
      <c r="AP81" s="54">
        <f t="shared" si="249"/>
        <v>2</v>
      </c>
      <c r="AQ81" s="54">
        <f t="shared" si="250"/>
        <v>5</v>
      </c>
      <c r="AR81" s="54">
        <f t="shared" si="251"/>
        <v>2</v>
      </c>
      <c r="AS81" s="54">
        <f t="shared" si="252"/>
        <v>5</v>
      </c>
      <c r="AT81" s="54">
        <f t="shared" si="253"/>
        <v>2</v>
      </c>
      <c r="AU81" s="54">
        <f t="shared" si="254"/>
        <v>5</v>
      </c>
      <c r="AV81" s="54">
        <f t="shared" si="255"/>
        <v>2</v>
      </c>
      <c r="AW81" s="54">
        <f t="shared" si="256"/>
        <v>5</v>
      </c>
      <c r="AX81" s="54">
        <f t="shared" si="257"/>
        <v>2</v>
      </c>
      <c r="AY81" s="54">
        <f t="shared" si="258"/>
        <v>5</v>
      </c>
      <c r="AZ81" s="54">
        <f t="shared" si="259"/>
        <v>2</v>
      </c>
      <c r="BA81" s="54">
        <f t="shared" si="260"/>
        <v>5</v>
      </c>
      <c r="BB81" s="54">
        <f t="shared" si="261"/>
        <v>2</v>
      </c>
      <c r="BC81" s="54">
        <f t="shared" si="262"/>
        <v>5</v>
      </c>
      <c r="BD81" s="54">
        <f t="shared" si="263"/>
        <v>2</v>
      </c>
      <c r="BE81" s="54">
        <f t="shared" si="264"/>
        <v>5</v>
      </c>
      <c r="BF81" s="54">
        <f t="shared" si="265"/>
        <v>2</v>
      </c>
      <c r="BG81" s="54">
        <f t="shared" si="266"/>
        <v>5</v>
      </c>
      <c r="BH81" s="54">
        <f t="shared" si="267"/>
        <v>2</v>
      </c>
      <c r="BI81" s="54">
        <f t="shared" si="268"/>
        <v>5</v>
      </c>
      <c r="BJ81" s="54">
        <f t="shared" si="269"/>
        <v>2</v>
      </c>
      <c r="BK81" s="54">
        <f t="shared" si="270"/>
        <v>5</v>
      </c>
      <c r="BL81" s="54">
        <f t="shared" si="271"/>
        <v>2</v>
      </c>
      <c r="BM81" s="54">
        <f t="shared" si="272"/>
        <v>5</v>
      </c>
      <c r="BN81" s="54">
        <f t="shared" si="273"/>
        <v>2</v>
      </c>
      <c r="BO81" s="54">
        <f t="shared" si="274"/>
        <v>5</v>
      </c>
      <c r="BP81" s="54">
        <f t="shared" si="275"/>
        <v>2</v>
      </c>
      <c r="BQ81" s="54">
        <f t="shared" si="276"/>
        <v>5</v>
      </c>
      <c r="BR81" s="54">
        <f t="shared" si="277"/>
        <v>2</v>
      </c>
      <c r="BS81" s="54">
        <f t="shared" si="278"/>
        <v>5</v>
      </c>
      <c r="BT81" s="54">
        <f t="shared" si="279"/>
        <v>2</v>
      </c>
      <c r="BU81" s="54">
        <f t="shared" si="280"/>
        <v>5</v>
      </c>
      <c r="BV81" s="54">
        <f t="shared" si="281"/>
        <v>2</v>
      </c>
      <c r="BW81" s="54">
        <f t="shared" si="282"/>
        <v>5</v>
      </c>
      <c r="BX81" s="54">
        <f t="shared" si="283"/>
        <v>2</v>
      </c>
      <c r="BY81" s="54">
        <f t="shared" si="284"/>
        <v>5</v>
      </c>
      <c r="BZ81" s="54">
        <f t="shared" si="285"/>
        <v>2</v>
      </c>
      <c r="CA81" s="54">
        <f t="shared" si="286"/>
        <v>5</v>
      </c>
      <c r="CB81" s="54">
        <f t="shared" si="287"/>
        <v>2</v>
      </c>
      <c r="CC81" s="54">
        <f t="shared" si="288"/>
        <v>5</v>
      </c>
      <c r="CD81" s="54">
        <f t="shared" si="289"/>
        <v>2</v>
      </c>
      <c r="CE81" s="54">
        <f t="shared" si="290"/>
        <v>5</v>
      </c>
      <c r="CF81" s="54">
        <f t="shared" si="291"/>
        <v>2</v>
      </c>
      <c r="CG81" s="54">
        <f t="shared" si="292"/>
        <v>5</v>
      </c>
      <c r="CH81" s="54">
        <f t="shared" si="293"/>
        <v>2</v>
      </c>
      <c r="CI81" s="54">
        <f t="shared" si="294"/>
        <v>5</v>
      </c>
      <c r="CJ81" s="54">
        <f t="shared" si="295"/>
        <v>2</v>
      </c>
      <c r="CK81" s="54">
        <f t="shared" si="296"/>
        <v>5</v>
      </c>
      <c r="CL81" s="54">
        <f t="shared" si="297"/>
        <v>2</v>
      </c>
      <c r="CM81" s="54">
        <f t="shared" si="298"/>
        <v>5</v>
      </c>
      <c r="CN81" s="54">
        <f t="shared" si="299"/>
        <v>2</v>
      </c>
      <c r="CO81" s="54">
        <f t="shared" si="300"/>
        <v>5</v>
      </c>
      <c r="CP81" s="54">
        <f t="shared" si="301"/>
        <v>2</v>
      </c>
      <c r="CQ81" s="54">
        <f t="shared" si="302"/>
        <v>5</v>
      </c>
      <c r="CR81" s="54">
        <f t="shared" si="303"/>
        <v>2</v>
      </c>
      <c r="CS81" s="54">
        <f t="shared" si="304"/>
        <v>5</v>
      </c>
      <c r="CT81" s="54">
        <f t="shared" si="305"/>
        <v>2</v>
      </c>
      <c r="CU81" s="54">
        <f t="shared" si="306"/>
        <v>5</v>
      </c>
      <c r="CV81" s="54">
        <f t="shared" si="307"/>
        <v>2</v>
      </c>
      <c r="CW81" s="54">
        <f t="shared" si="308"/>
        <v>5</v>
      </c>
      <c r="CX81" s="54">
        <f t="shared" si="309"/>
        <v>2</v>
      </c>
      <c r="CY81" s="54">
        <f t="shared" si="310"/>
        <v>5</v>
      </c>
      <c r="CZ81" s="54">
        <f t="shared" si="311"/>
        <v>2</v>
      </c>
      <c r="DA81" s="54">
        <f t="shared" si="312"/>
        <v>5</v>
      </c>
      <c r="DB81" s="54">
        <f t="shared" si="313"/>
        <v>2</v>
      </c>
      <c r="DC81" s="54">
        <f t="shared" si="314"/>
        <v>5</v>
      </c>
      <c r="DD81" s="54">
        <f t="shared" si="315"/>
        <v>2</v>
      </c>
      <c r="DE81" s="54">
        <f t="shared" si="316"/>
        <v>5</v>
      </c>
      <c r="DF81" s="54">
        <f t="shared" si="317"/>
        <v>2</v>
      </c>
      <c r="DG81" s="54">
        <f t="shared" si="318"/>
        <v>5</v>
      </c>
      <c r="DH81" s="54">
        <f t="shared" si="319"/>
        <v>2</v>
      </c>
      <c r="DI81" s="54">
        <f t="shared" si="320"/>
        <v>5</v>
      </c>
      <c r="DJ81" s="54">
        <f t="shared" si="321"/>
        <v>2</v>
      </c>
      <c r="DK81" s="54">
        <f t="shared" si="322"/>
        <v>5</v>
      </c>
      <c r="DL81" s="54">
        <f t="shared" si="323"/>
        <v>2</v>
      </c>
      <c r="DM81" s="54">
        <f t="shared" si="324"/>
        <v>5</v>
      </c>
      <c r="DN81" s="54">
        <f t="shared" si="325"/>
        <v>2</v>
      </c>
      <c r="DO81" s="54">
        <f t="shared" si="326"/>
        <v>5</v>
      </c>
      <c r="DP81" s="54">
        <f t="shared" si="327"/>
        <v>2</v>
      </c>
      <c r="DQ81" s="54">
        <f t="shared" si="328"/>
        <v>5</v>
      </c>
      <c r="DR81" s="54">
        <f t="shared" si="329"/>
        <v>2</v>
      </c>
      <c r="DS81" s="54">
        <f t="shared" si="330"/>
        <v>5</v>
      </c>
      <c r="DT81" s="54">
        <f t="shared" si="331"/>
        <v>2</v>
      </c>
      <c r="DU81" s="54">
        <f t="shared" si="332"/>
        <v>5</v>
      </c>
      <c r="DV81" s="54">
        <f t="shared" si="333"/>
        <v>2</v>
      </c>
      <c r="DW81" s="54">
        <f t="shared" si="334"/>
        <v>5</v>
      </c>
      <c r="DX81" s="54">
        <f t="shared" si="335"/>
        <v>2</v>
      </c>
      <c r="DY81" s="54">
        <f t="shared" si="336"/>
        <v>5</v>
      </c>
      <c r="DZ81" s="54">
        <f t="shared" si="337"/>
        <v>2</v>
      </c>
      <c r="EA81" s="54">
        <f t="shared" si="336"/>
        <v>5</v>
      </c>
      <c r="EB81" s="54">
        <f t="shared" si="337"/>
        <v>2</v>
      </c>
      <c r="EC81" s="54">
        <f t="shared" si="337"/>
        <v>5</v>
      </c>
      <c r="ED81" s="54">
        <f t="shared" si="338"/>
        <v>2</v>
      </c>
      <c r="EE81" s="54">
        <f t="shared" si="339"/>
        <v>5</v>
      </c>
      <c r="EF81" s="54">
        <f t="shared" si="340"/>
        <v>2</v>
      </c>
      <c r="EG81" s="54">
        <f t="shared" ref="EG81:EN81" si="352">EG80</f>
        <v>5</v>
      </c>
      <c r="EH81" s="54">
        <f t="shared" si="352"/>
        <v>2</v>
      </c>
      <c r="EI81" s="54">
        <f t="shared" si="352"/>
        <v>5</v>
      </c>
      <c r="EJ81" s="54">
        <f t="shared" si="352"/>
        <v>2</v>
      </c>
      <c r="EK81" s="54">
        <f t="shared" si="352"/>
        <v>5</v>
      </c>
      <c r="EL81" s="54">
        <f t="shared" si="352"/>
        <v>2</v>
      </c>
      <c r="EM81" s="54">
        <f t="shared" si="352"/>
        <v>5</v>
      </c>
      <c r="EN81" s="54">
        <f t="shared" si="352"/>
        <v>2</v>
      </c>
      <c r="EO81" s="54">
        <f t="shared" si="209"/>
        <v>2</v>
      </c>
      <c r="EP81" s="54">
        <f t="shared" si="210"/>
        <v>2</v>
      </c>
    </row>
    <row r="82" spans="1:146" x14ac:dyDescent="0.2">
      <c r="B82" t="s">
        <v>230</v>
      </c>
      <c r="C82" s="54">
        <f t="shared" si="211"/>
        <v>45474</v>
      </c>
      <c r="D82" s="54">
        <f t="shared" si="207"/>
        <v>1</v>
      </c>
      <c r="E82" s="54">
        <f t="shared" si="212"/>
        <v>4</v>
      </c>
      <c r="F82" s="54">
        <f t="shared" si="213"/>
        <v>2</v>
      </c>
      <c r="G82" s="54">
        <f t="shared" si="214"/>
        <v>5</v>
      </c>
      <c r="H82" s="54">
        <f t="shared" si="215"/>
        <v>2</v>
      </c>
      <c r="I82" s="54">
        <f t="shared" si="216"/>
        <v>5</v>
      </c>
      <c r="J82" s="54">
        <f t="shared" si="217"/>
        <v>2</v>
      </c>
      <c r="K82" s="54">
        <f t="shared" si="218"/>
        <v>5</v>
      </c>
      <c r="L82" s="54">
        <f t="shared" si="219"/>
        <v>2</v>
      </c>
      <c r="M82" s="54">
        <f t="shared" si="220"/>
        <v>5</v>
      </c>
      <c r="N82" s="54">
        <f t="shared" si="221"/>
        <v>2</v>
      </c>
      <c r="O82" s="54">
        <f t="shared" si="222"/>
        <v>5</v>
      </c>
      <c r="P82" s="54">
        <f t="shared" si="223"/>
        <v>2</v>
      </c>
      <c r="Q82" s="54">
        <f t="shared" si="224"/>
        <v>5</v>
      </c>
      <c r="R82" s="54">
        <f t="shared" si="225"/>
        <v>2</v>
      </c>
      <c r="S82" s="54">
        <f t="shared" si="226"/>
        <v>5</v>
      </c>
      <c r="T82" s="54">
        <f t="shared" si="227"/>
        <v>2</v>
      </c>
      <c r="U82" s="54">
        <f t="shared" si="228"/>
        <v>5</v>
      </c>
      <c r="V82" s="54">
        <f t="shared" si="229"/>
        <v>2</v>
      </c>
      <c r="W82" s="54">
        <f t="shared" si="230"/>
        <v>5</v>
      </c>
      <c r="X82" s="54">
        <f t="shared" si="231"/>
        <v>2</v>
      </c>
      <c r="Y82" s="54">
        <f t="shared" si="232"/>
        <v>5</v>
      </c>
      <c r="Z82" s="54">
        <f t="shared" si="233"/>
        <v>2</v>
      </c>
      <c r="AA82" s="54">
        <f t="shared" si="234"/>
        <v>5</v>
      </c>
      <c r="AB82" s="54">
        <f t="shared" si="235"/>
        <v>2</v>
      </c>
      <c r="AC82" s="54">
        <f t="shared" si="236"/>
        <v>5</v>
      </c>
      <c r="AD82" s="54">
        <f t="shared" si="237"/>
        <v>2</v>
      </c>
      <c r="AE82" s="54">
        <f t="shared" si="238"/>
        <v>5</v>
      </c>
      <c r="AF82" s="54">
        <f t="shared" si="239"/>
        <v>2</v>
      </c>
      <c r="AG82" s="54">
        <f t="shared" si="240"/>
        <v>5</v>
      </c>
      <c r="AH82" s="54">
        <f t="shared" si="241"/>
        <v>2</v>
      </c>
      <c r="AI82" s="54">
        <f t="shared" si="242"/>
        <v>5</v>
      </c>
      <c r="AJ82" s="54">
        <f t="shared" si="243"/>
        <v>2</v>
      </c>
      <c r="AK82" s="54">
        <f t="shared" si="244"/>
        <v>5</v>
      </c>
      <c r="AL82" s="54">
        <f t="shared" si="245"/>
        <v>2</v>
      </c>
      <c r="AM82" s="54">
        <f t="shared" si="246"/>
        <v>5</v>
      </c>
      <c r="AN82" s="54">
        <f t="shared" si="247"/>
        <v>2</v>
      </c>
      <c r="AO82" s="54">
        <f t="shared" si="248"/>
        <v>5</v>
      </c>
      <c r="AP82" s="54">
        <f t="shared" si="249"/>
        <v>2</v>
      </c>
      <c r="AQ82" s="54">
        <f t="shared" si="250"/>
        <v>5</v>
      </c>
      <c r="AR82" s="54">
        <f t="shared" si="251"/>
        <v>2</v>
      </c>
      <c r="AS82" s="54">
        <f t="shared" si="252"/>
        <v>5</v>
      </c>
      <c r="AT82" s="54">
        <f t="shared" si="253"/>
        <v>2</v>
      </c>
      <c r="AU82" s="54">
        <f t="shared" si="254"/>
        <v>5</v>
      </c>
      <c r="AV82" s="54">
        <f t="shared" si="255"/>
        <v>2</v>
      </c>
      <c r="AW82" s="54">
        <f t="shared" si="256"/>
        <v>5</v>
      </c>
      <c r="AX82" s="54">
        <f t="shared" si="257"/>
        <v>2</v>
      </c>
      <c r="AY82" s="54">
        <f t="shared" si="258"/>
        <v>5</v>
      </c>
      <c r="AZ82" s="54">
        <f t="shared" si="259"/>
        <v>2</v>
      </c>
      <c r="BA82" s="54">
        <f t="shared" si="260"/>
        <v>5</v>
      </c>
      <c r="BB82" s="54">
        <f t="shared" si="261"/>
        <v>2</v>
      </c>
      <c r="BC82" s="54">
        <f t="shared" si="262"/>
        <v>5</v>
      </c>
      <c r="BD82" s="54">
        <f t="shared" si="263"/>
        <v>2</v>
      </c>
      <c r="BE82" s="54">
        <f t="shared" si="264"/>
        <v>5</v>
      </c>
      <c r="BF82" s="54">
        <f t="shared" si="265"/>
        <v>2</v>
      </c>
      <c r="BG82" s="54">
        <f t="shared" si="266"/>
        <v>5</v>
      </c>
      <c r="BH82" s="54">
        <f t="shared" si="267"/>
        <v>2</v>
      </c>
      <c r="BI82" s="54">
        <f t="shared" si="268"/>
        <v>5</v>
      </c>
      <c r="BJ82" s="54">
        <f t="shared" si="269"/>
        <v>2</v>
      </c>
      <c r="BK82" s="54">
        <f t="shared" si="270"/>
        <v>5</v>
      </c>
      <c r="BL82" s="54">
        <f t="shared" si="271"/>
        <v>2</v>
      </c>
      <c r="BM82" s="54">
        <f t="shared" si="272"/>
        <v>5</v>
      </c>
      <c r="BN82" s="54">
        <f t="shared" si="273"/>
        <v>2</v>
      </c>
      <c r="BO82" s="54">
        <f t="shared" si="274"/>
        <v>5</v>
      </c>
      <c r="BP82" s="54">
        <f t="shared" si="275"/>
        <v>2</v>
      </c>
      <c r="BQ82" s="54">
        <f t="shared" si="276"/>
        <v>5</v>
      </c>
      <c r="BR82" s="54">
        <f t="shared" si="277"/>
        <v>2</v>
      </c>
      <c r="BS82" s="54">
        <f t="shared" si="278"/>
        <v>5</v>
      </c>
      <c r="BT82" s="54">
        <f t="shared" si="279"/>
        <v>2</v>
      </c>
      <c r="BU82" s="54">
        <f t="shared" si="280"/>
        <v>5</v>
      </c>
      <c r="BV82" s="54">
        <f t="shared" si="281"/>
        <v>2</v>
      </c>
      <c r="BW82" s="54">
        <f t="shared" si="282"/>
        <v>5</v>
      </c>
      <c r="BX82" s="54">
        <f t="shared" si="283"/>
        <v>2</v>
      </c>
      <c r="BY82" s="54">
        <f t="shared" si="284"/>
        <v>5</v>
      </c>
      <c r="BZ82" s="54">
        <f t="shared" si="285"/>
        <v>2</v>
      </c>
      <c r="CA82" s="54">
        <f t="shared" si="286"/>
        <v>5</v>
      </c>
      <c r="CB82" s="54">
        <f t="shared" si="287"/>
        <v>2</v>
      </c>
      <c r="CC82" s="54">
        <f t="shared" si="288"/>
        <v>5</v>
      </c>
      <c r="CD82" s="54">
        <f t="shared" si="289"/>
        <v>2</v>
      </c>
      <c r="CE82" s="54">
        <f t="shared" si="290"/>
        <v>5</v>
      </c>
      <c r="CF82" s="54">
        <f t="shared" si="291"/>
        <v>2</v>
      </c>
      <c r="CG82" s="54">
        <f t="shared" si="292"/>
        <v>5</v>
      </c>
      <c r="CH82" s="54">
        <f t="shared" si="293"/>
        <v>2</v>
      </c>
      <c r="CI82" s="54">
        <f t="shared" si="294"/>
        <v>5</v>
      </c>
      <c r="CJ82" s="54">
        <f t="shared" si="295"/>
        <v>2</v>
      </c>
      <c r="CK82" s="54">
        <f t="shared" si="296"/>
        <v>5</v>
      </c>
      <c r="CL82" s="54">
        <f t="shared" si="297"/>
        <v>2</v>
      </c>
      <c r="CM82" s="54">
        <f t="shared" si="298"/>
        <v>5</v>
      </c>
      <c r="CN82" s="54">
        <f t="shared" si="299"/>
        <v>2</v>
      </c>
      <c r="CO82" s="54">
        <f t="shared" si="300"/>
        <v>5</v>
      </c>
      <c r="CP82" s="54">
        <f t="shared" si="301"/>
        <v>2</v>
      </c>
      <c r="CQ82" s="54">
        <f t="shared" si="302"/>
        <v>5</v>
      </c>
      <c r="CR82" s="54">
        <f t="shared" si="303"/>
        <v>2</v>
      </c>
      <c r="CS82" s="54">
        <f t="shared" si="304"/>
        <v>5</v>
      </c>
      <c r="CT82" s="54">
        <f t="shared" si="305"/>
        <v>2</v>
      </c>
      <c r="CU82" s="54">
        <f t="shared" si="306"/>
        <v>5</v>
      </c>
      <c r="CV82" s="54">
        <f t="shared" si="307"/>
        <v>2</v>
      </c>
      <c r="CW82" s="54">
        <f t="shared" si="308"/>
        <v>5</v>
      </c>
      <c r="CX82" s="54">
        <f t="shared" si="309"/>
        <v>2</v>
      </c>
      <c r="CY82" s="54">
        <f t="shared" si="310"/>
        <v>5</v>
      </c>
      <c r="CZ82" s="54">
        <f t="shared" si="311"/>
        <v>2</v>
      </c>
      <c r="DA82" s="54">
        <f t="shared" si="312"/>
        <v>5</v>
      </c>
      <c r="DB82" s="54">
        <f t="shared" si="313"/>
        <v>2</v>
      </c>
      <c r="DC82" s="54">
        <f t="shared" si="314"/>
        <v>5</v>
      </c>
      <c r="DD82" s="54">
        <f t="shared" si="315"/>
        <v>2</v>
      </c>
      <c r="DE82" s="54">
        <f t="shared" si="316"/>
        <v>5</v>
      </c>
      <c r="DF82" s="54">
        <f t="shared" si="317"/>
        <v>2</v>
      </c>
      <c r="DG82" s="54">
        <f t="shared" si="318"/>
        <v>5</v>
      </c>
      <c r="DH82" s="54">
        <f t="shared" si="319"/>
        <v>2</v>
      </c>
      <c r="DI82" s="54">
        <f t="shared" si="320"/>
        <v>5</v>
      </c>
      <c r="DJ82" s="54">
        <f t="shared" si="321"/>
        <v>2</v>
      </c>
      <c r="DK82" s="54">
        <f t="shared" si="322"/>
        <v>5</v>
      </c>
      <c r="DL82" s="54">
        <f t="shared" si="323"/>
        <v>2</v>
      </c>
      <c r="DM82" s="54">
        <f t="shared" si="324"/>
        <v>5</v>
      </c>
      <c r="DN82" s="54">
        <f t="shared" si="325"/>
        <v>2</v>
      </c>
      <c r="DO82" s="54">
        <f t="shared" si="326"/>
        <v>5</v>
      </c>
      <c r="DP82" s="54">
        <f t="shared" si="327"/>
        <v>2</v>
      </c>
      <c r="DQ82" s="54">
        <f t="shared" si="328"/>
        <v>5</v>
      </c>
      <c r="DR82" s="54">
        <f t="shared" si="329"/>
        <v>2</v>
      </c>
      <c r="DS82" s="54">
        <f t="shared" si="330"/>
        <v>5</v>
      </c>
      <c r="DT82" s="54">
        <f t="shared" si="331"/>
        <v>2</v>
      </c>
      <c r="DU82" s="54">
        <f t="shared" si="332"/>
        <v>5</v>
      </c>
      <c r="DV82" s="54">
        <f t="shared" si="333"/>
        <v>2</v>
      </c>
      <c r="DW82" s="54">
        <f t="shared" si="334"/>
        <v>5</v>
      </c>
      <c r="DX82" s="54">
        <f t="shared" si="335"/>
        <v>2</v>
      </c>
      <c r="DY82" s="54">
        <f t="shared" si="336"/>
        <v>5</v>
      </c>
      <c r="DZ82" s="54">
        <f t="shared" si="337"/>
        <v>2</v>
      </c>
      <c r="EA82" s="54">
        <f t="shared" si="336"/>
        <v>5</v>
      </c>
      <c r="EB82" s="54">
        <f t="shared" si="337"/>
        <v>2</v>
      </c>
      <c r="EC82" s="54">
        <f t="shared" si="337"/>
        <v>5</v>
      </c>
      <c r="ED82" s="54">
        <f t="shared" si="338"/>
        <v>2</v>
      </c>
      <c r="EE82" s="54">
        <f t="shared" si="339"/>
        <v>5</v>
      </c>
      <c r="EF82" s="54">
        <f t="shared" si="340"/>
        <v>2</v>
      </c>
      <c r="EG82" s="54">
        <f t="shared" ref="EG82:EN82" si="353">EG81</f>
        <v>5</v>
      </c>
      <c r="EH82" s="54">
        <f t="shared" si="353"/>
        <v>2</v>
      </c>
      <c r="EI82" s="54">
        <f t="shared" si="353"/>
        <v>5</v>
      </c>
      <c r="EJ82" s="54">
        <f t="shared" si="353"/>
        <v>2</v>
      </c>
      <c r="EK82" s="54">
        <f t="shared" si="353"/>
        <v>5</v>
      </c>
      <c r="EL82" s="54">
        <f t="shared" si="353"/>
        <v>2</v>
      </c>
      <c r="EM82" s="54">
        <f t="shared" si="353"/>
        <v>5</v>
      </c>
      <c r="EN82" s="54">
        <f t="shared" si="353"/>
        <v>2</v>
      </c>
      <c r="EO82" s="54">
        <f t="shared" si="209"/>
        <v>2</v>
      </c>
      <c r="EP82" s="54">
        <f t="shared" si="210"/>
        <v>2</v>
      </c>
    </row>
    <row r="83" spans="1:146" x14ac:dyDescent="0.2">
      <c r="A83" s="54"/>
      <c r="B83" t="s">
        <v>230</v>
      </c>
      <c r="C83" s="54">
        <f t="shared" si="211"/>
        <v>45474</v>
      </c>
      <c r="D83" s="54">
        <f t="shared" si="207"/>
        <v>1</v>
      </c>
      <c r="E83" s="54">
        <f t="shared" si="212"/>
        <v>4</v>
      </c>
      <c r="F83" s="54">
        <f t="shared" si="213"/>
        <v>2</v>
      </c>
      <c r="G83" s="54">
        <f t="shared" si="214"/>
        <v>5</v>
      </c>
      <c r="H83" s="54">
        <f t="shared" si="215"/>
        <v>2</v>
      </c>
      <c r="I83" s="54">
        <f t="shared" si="216"/>
        <v>5</v>
      </c>
      <c r="J83" s="54">
        <f t="shared" si="217"/>
        <v>2</v>
      </c>
      <c r="K83" s="54">
        <f t="shared" si="218"/>
        <v>5</v>
      </c>
      <c r="L83" s="54">
        <f t="shared" si="219"/>
        <v>2</v>
      </c>
      <c r="M83" s="54">
        <f t="shared" si="220"/>
        <v>5</v>
      </c>
      <c r="N83" s="54">
        <f t="shared" si="221"/>
        <v>2</v>
      </c>
      <c r="O83" s="54">
        <f t="shared" si="222"/>
        <v>5</v>
      </c>
      <c r="P83" s="54">
        <f t="shared" si="223"/>
        <v>2</v>
      </c>
      <c r="Q83" s="54">
        <f t="shared" si="224"/>
        <v>5</v>
      </c>
      <c r="R83" s="54">
        <f t="shared" si="225"/>
        <v>2</v>
      </c>
      <c r="S83" s="54">
        <f t="shared" si="226"/>
        <v>5</v>
      </c>
      <c r="T83" s="54">
        <f t="shared" si="227"/>
        <v>2</v>
      </c>
      <c r="U83" s="54">
        <f t="shared" si="228"/>
        <v>5</v>
      </c>
      <c r="V83" s="54">
        <f t="shared" si="229"/>
        <v>2</v>
      </c>
      <c r="W83" s="54">
        <f t="shared" si="230"/>
        <v>5</v>
      </c>
      <c r="X83" s="54">
        <f t="shared" si="231"/>
        <v>2</v>
      </c>
      <c r="Y83" s="54">
        <f t="shared" si="232"/>
        <v>5</v>
      </c>
      <c r="Z83" s="54">
        <f t="shared" si="233"/>
        <v>2</v>
      </c>
      <c r="AA83" s="54">
        <f t="shared" si="234"/>
        <v>5</v>
      </c>
      <c r="AB83" s="54">
        <f t="shared" si="235"/>
        <v>2</v>
      </c>
      <c r="AC83" s="54">
        <f t="shared" si="236"/>
        <v>5</v>
      </c>
      <c r="AD83" s="54">
        <f t="shared" si="237"/>
        <v>2</v>
      </c>
      <c r="AE83" s="54">
        <f t="shared" si="238"/>
        <v>5</v>
      </c>
      <c r="AF83" s="54">
        <f t="shared" si="239"/>
        <v>2</v>
      </c>
      <c r="AG83" s="54">
        <f t="shared" si="240"/>
        <v>5</v>
      </c>
      <c r="AH83" s="54">
        <f t="shared" si="241"/>
        <v>2</v>
      </c>
      <c r="AI83" s="54">
        <f t="shared" si="242"/>
        <v>5</v>
      </c>
      <c r="AJ83" s="54">
        <f t="shared" si="243"/>
        <v>2</v>
      </c>
      <c r="AK83" s="54">
        <f t="shared" si="244"/>
        <v>5</v>
      </c>
      <c r="AL83" s="54">
        <f t="shared" si="245"/>
        <v>2</v>
      </c>
      <c r="AM83" s="54">
        <f t="shared" si="246"/>
        <v>5</v>
      </c>
      <c r="AN83" s="54">
        <f t="shared" si="247"/>
        <v>2</v>
      </c>
      <c r="AO83" s="54">
        <f t="shared" si="248"/>
        <v>5</v>
      </c>
      <c r="AP83" s="54">
        <f t="shared" si="249"/>
        <v>2</v>
      </c>
      <c r="AQ83" s="54">
        <f t="shared" si="250"/>
        <v>5</v>
      </c>
      <c r="AR83" s="54">
        <f t="shared" si="251"/>
        <v>2</v>
      </c>
      <c r="AS83" s="54">
        <f t="shared" si="252"/>
        <v>5</v>
      </c>
      <c r="AT83" s="54">
        <f t="shared" si="253"/>
        <v>2</v>
      </c>
      <c r="AU83" s="54">
        <f t="shared" si="254"/>
        <v>5</v>
      </c>
      <c r="AV83" s="54">
        <f t="shared" si="255"/>
        <v>2</v>
      </c>
      <c r="AW83" s="54">
        <f t="shared" si="256"/>
        <v>5</v>
      </c>
      <c r="AX83" s="54">
        <f t="shared" si="257"/>
        <v>2</v>
      </c>
      <c r="AY83" s="54">
        <f t="shared" si="258"/>
        <v>5</v>
      </c>
      <c r="AZ83" s="54">
        <f t="shared" si="259"/>
        <v>2</v>
      </c>
      <c r="BA83" s="54">
        <f t="shared" si="260"/>
        <v>5</v>
      </c>
      <c r="BB83" s="54">
        <f t="shared" si="261"/>
        <v>2</v>
      </c>
      <c r="BC83" s="54">
        <f t="shared" si="262"/>
        <v>5</v>
      </c>
      <c r="BD83" s="54">
        <f t="shared" si="263"/>
        <v>2</v>
      </c>
      <c r="BE83" s="54">
        <f t="shared" si="264"/>
        <v>5</v>
      </c>
      <c r="BF83" s="54">
        <f t="shared" si="265"/>
        <v>2</v>
      </c>
      <c r="BG83" s="54">
        <f t="shared" si="266"/>
        <v>5</v>
      </c>
      <c r="BH83" s="54">
        <f t="shared" si="267"/>
        <v>2</v>
      </c>
      <c r="BI83" s="54">
        <f t="shared" si="268"/>
        <v>5</v>
      </c>
      <c r="BJ83" s="54">
        <f t="shared" si="269"/>
        <v>2</v>
      </c>
      <c r="BK83" s="54">
        <f t="shared" si="270"/>
        <v>5</v>
      </c>
      <c r="BL83" s="54">
        <f t="shared" si="271"/>
        <v>2</v>
      </c>
      <c r="BM83" s="54">
        <f t="shared" si="272"/>
        <v>5</v>
      </c>
      <c r="BN83" s="54">
        <f t="shared" si="273"/>
        <v>2</v>
      </c>
      <c r="BO83" s="54">
        <f t="shared" si="274"/>
        <v>5</v>
      </c>
      <c r="BP83" s="54">
        <f t="shared" si="275"/>
        <v>2</v>
      </c>
      <c r="BQ83" s="54">
        <f t="shared" si="276"/>
        <v>5</v>
      </c>
      <c r="BR83" s="54">
        <f t="shared" si="277"/>
        <v>2</v>
      </c>
      <c r="BS83" s="54">
        <f t="shared" si="278"/>
        <v>5</v>
      </c>
      <c r="BT83" s="54">
        <f t="shared" si="279"/>
        <v>2</v>
      </c>
      <c r="BU83" s="54">
        <f t="shared" si="280"/>
        <v>5</v>
      </c>
      <c r="BV83" s="54">
        <f t="shared" si="281"/>
        <v>2</v>
      </c>
      <c r="BW83" s="54">
        <f t="shared" si="282"/>
        <v>5</v>
      </c>
      <c r="BX83" s="54">
        <f t="shared" si="283"/>
        <v>2</v>
      </c>
      <c r="BY83" s="54">
        <f t="shared" si="284"/>
        <v>5</v>
      </c>
      <c r="BZ83" s="54">
        <f t="shared" si="285"/>
        <v>2</v>
      </c>
      <c r="CA83" s="54">
        <f t="shared" si="286"/>
        <v>5</v>
      </c>
      <c r="CB83" s="54">
        <f t="shared" si="287"/>
        <v>2</v>
      </c>
      <c r="CC83" s="54">
        <f t="shared" si="288"/>
        <v>5</v>
      </c>
      <c r="CD83" s="54">
        <f t="shared" si="289"/>
        <v>2</v>
      </c>
      <c r="CE83" s="54">
        <f t="shared" si="290"/>
        <v>5</v>
      </c>
      <c r="CF83" s="54">
        <f t="shared" si="291"/>
        <v>2</v>
      </c>
      <c r="CG83" s="54">
        <f t="shared" si="292"/>
        <v>5</v>
      </c>
      <c r="CH83" s="54">
        <f t="shared" si="293"/>
        <v>2</v>
      </c>
      <c r="CI83" s="54">
        <f t="shared" si="294"/>
        <v>5</v>
      </c>
      <c r="CJ83" s="54">
        <f t="shared" si="295"/>
        <v>2</v>
      </c>
      <c r="CK83" s="54">
        <f t="shared" si="296"/>
        <v>5</v>
      </c>
      <c r="CL83" s="54">
        <f t="shared" si="297"/>
        <v>2</v>
      </c>
      <c r="CM83" s="54">
        <f t="shared" si="298"/>
        <v>5</v>
      </c>
      <c r="CN83" s="54">
        <f t="shared" si="299"/>
        <v>2</v>
      </c>
      <c r="CO83" s="54">
        <f t="shared" si="300"/>
        <v>5</v>
      </c>
      <c r="CP83" s="54">
        <f t="shared" si="301"/>
        <v>2</v>
      </c>
      <c r="CQ83" s="54">
        <f t="shared" si="302"/>
        <v>5</v>
      </c>
      <c r="CR83" s="54">
        <f t="shared" si="303"/>
        <v>2</v>
      </c>
      <c r="CS83" s="54">
        <f t="shared" si="304"/>
        <v>5</v>
      </c>
      <c r="CT83" s="54">
        <f t="shared" si="305"/>
        <v>2</v>
      </c>
      <c r="CU83" s="54">
        <f t="shared" si="306"/>
        <v>5</v>
      </c>
      <c r="CV83" s="54">
        <f t="shared" si="307"/>
        <v>2</v>
      </c>
      <c r="CW83" s="54">
        <f t="shared" si="308"/>
        <v>5</v>
      </c>
      <c r="CX83" s="54">
        <f t="shared" si="309"/>
        <v>2</v>
      </c>
      <c r="CY83" s="54">
        <f t="shared" si="310"/>
        <v>5</v>
      </c>
      <c r="CZ83" s="54">
        <f t="shared" si="311"/>
        <v>2</v>
      </c>
      <c r="DA83" s="54">
        <f t="shared" si="312"/>
        <v>5</v>
      </c>
      <c r="DB83" s="54">
        <f t="shared" si="313"/>
        <v>2</v>
      </c>
      <c r="DC83" s="54">
        <f t="shared" si="314"/>
        <v>5</v>
      </c>
      <c r="DD83" s="54">
        <f t="shared" si="315"/>
        <v>2</v>
      </c>
      <c r="DE83" s="54">
        <f t="shared" si="316"/>
        <v>5</v>
      </c>
      <c r="DF83" s="54">
        <f t="shared" si="317"/>
        <v>2</v>
      </c>
      <c r="DG83" s="54">
        <f t="shared" si="318"/>
        <v>5</v>
      </c>
      <c r="DH83" s="54">
        <f t="shared" si="319"/>
        <v>2</v>
      </c>
      <c r="DI83" s="54">
        <f t="shared" si="320"/>
        <v>5</v>
      </c>
      <c r="DJ83" s="54">
        <f t="shared" si="321"/>
        <v>2</v>
      </c>
      <c r="DK83" s="54">
        <f t="shared" si="322"/>
        <v>5</v>
      </c>
      <c r="DL83" s="54">
        <f t="shared" si="323"/>
        <v>2</v>
      </c>
      <c r="DM83" s="54">
        <f t="shared" si="324"/>
        <v>5</v>
      </c>
      <c r="DN83" s="54">
        <f t="shared" si="325"/>
        <v>2</v>
      </c>
      <c r="DO83" s="54">
        <f t="shared" si="326"/>
        <v>5</v>
      </c>
      <c r="DP83" s="54">
        <f t="shared" si="327"/>
        <v>2</v>
      </c>
      <c r="DQ83" s="54">
        <f t="shared" si="328"/>
        <v>5</v>
      </c>
      <c r="DR83" s="54">
        <f t="shared" si="329"/>
        <v>2</v>
      </c>
      <c r="DS83" s="54">
        <f t="shared" si="330"/>
        <v>5</v>
      </c>
      <c r="DT83" s="54">
        <f t="shared" si="331"/>
        <v>2</v>
      </c>
      <c r="DU83" s="54">
        <f t="shared" si="332"/>
        <v>5</v>
      </c>
      <c r="DV83" s="54">
        <f t="shared" si="333"/>
        <v>2</v>
      </c>
      <c r="DW83" s="54">
        <f t="shared" si="334"/>
        <v>5</v>
      </c>
      <c r="DX83" s="54">
        <f t="shared" si="335"/>
        <v>2</v>
      </c>
      <c r="DY83" s="54">
        <f t="shared" si="336"/>
        <v>5</v>
      </c>
      <c r="DZ83" s="54">
        <f t="shared" si="337"/>
        <v>2</v>
      </c>
      <c r="EA83" s="54">
        <f t="shared" si="336"/>
        <v>5</v>
      </c>
      <c r="EB83" s="54">
        <f t="shared" si="337"/>
        <v>2</v>
      </c>
      <c r="EC83" s="54">
        <f t="shared" si="337"/>
        <v>5</v>
      </c>
      <c r="ED83" s="54">
        <f t="shared" si="338"/>
        <v>2</v>
      </c>
      <c r="EE83" s="54">
        <f t="shared" si="339"/>
        <v>5</v>
      </c>
      <c r="EF83" s="54">
        <f t="shared" si="340"/>
        <v>2</v>
      </c>
      <c r="EG83" s="54">
        <f t="shared" ref="EG83:EN83" si="354">EG82</f>
        <v>5</v>
      </c>
      <c r="EH83" s="54">
        <f t="shared" si="354"/>
        <v>2</v>
      </c>
      <c r="EI83" s="54">
        <f t="shared" si="354"/>
        <v>5</v>
      </c>
      <c r="EJ83" s="54">
        <f t="shared" si="354"/>
        <v>2</v>
      </c>
      <c r="EK83" s="54">
        <f t="shared" si="354"/>
        <v>5</v>
      </c>
      <c r="EL83" s="54">
        <f t="shared" si="354"/>
        <v>2</v>
      </c>
      <c r="EM83" s="54">
        <f t="shared" si="354"/>
        <v>5</v>
      </c>
      <c r="EN83" s="54">
        <f t="shared" si="354"/>
        <v>2</v>
      </c>
      <c r="EO83" s="54">
        <f t="shared" si="209"/>
        <v>2</v>
      </c>
      <c r="EP83" s="54">
        <f t="shared" si="210"/>
        <v>2</v>
      </c>
    </row>
    <row r="84" spans="1:146" x14ac:dyDescent="0.2">
      <c r="B84" t="s">
        <v>232</v>
      </c>
      <c r="C84" s="54">
        <f t="shared" si="211"/>
        <v>45474</v>
      </c>
      <c r="D84" s="54">
        <f t="shared" si="207"/>
        <v>1</v>
      </c>
      <c r="E84" s="54">
        <f t="shared" si="212"/>
        <v>4</v>
      </c>
      <c r="F84" s="54">
        <f t="shared" si="213"/>
        <v>2</v>
      </c>
      <c r="G84" s="54">
        <f t="shared" si="214"/>
        <v>5</v>
      </c>
      <c r="H84" s="54">
        <f t="shared" si="215"/>
        <v>2</v>
      </c>
      <c r="I84" s="54">
        <f t="shared" si="216"/>
        <v>5</v>
      </c>
      <c r="J84" s="54">
        <f t="shared" si="217"/>
        <v>2</v>
      </c>
      <c r="K84" s="54">
        <f t="shared" si="218"/>
        <v>5</v>
      </c>
      <c r="L84" s="54">
        <f t="shared" si="219"/>
        <v>2</v>
      </c>
      <c r="M84" s="54">
        <f t="shared" si="220"/>
        <v>5</v>
      </c>
      <c r="N84" s="54">
        <f t="shared" si="221"/>
        <v>2</v>
      </c>
      <c r="O84" s="54">
        <f t="shared" si="222"/>
        <v>5</v>
      </c>
      <c r="P84" s="54">
        <f t="shared" si="223"/>
        <v>2</v>
      </c>
      <c r="Q84" s="54">
        <f t="shared" si="224"/>
        <v>5</v>
      </c>
      <c r="R84" s="54">
        <f t="shared" si="225"/>
        <v>2</v>
      </c>
      <c r="S84" s="54">
        <f t="shared" si="226"/>
        <v>5</v>
      </c>
      <c r="T84" s="54">
        <f t="shared" si="227"/>
        <v>2</v>
      </c>
      <c r="U84" s="54">
        <f t="shared" si="228"/>
        <v>5</v>
      </c>
      <c r="V84" s="54">
        <f t="shared" si="229"/>
        <v>2</v>
      </c>
      <c r="W84" s="54">
        <f t="shared" si="230"/>
        <v>5</v>
      </c>
      <c r="X84" s="54">
        <f t="shared" si="231"/>
        <v>2</v>
      </c>
      <c r="Y84" s="54">
        <f t="shared" si="232"/>
        <v>5</v>
      </c>
      <c r="Z84" s="54">
        <f t="shared" si="233"/>
        <v>2</v>
      </c>
      <c r="AA84" s="54">
        <f t="shared" si="234"/>
        <v>5</v>
      </c>
      <c r="AB84" s="54">
        <f t="shared" si="235"/>
        <v>2</v>
      </c>
      <c r="AC84" s="54">
        <f t="shared" si="236"/>
        <v>5</v>
      </c>
      <c r="AD84" s="54">
        <f t="shared" si="237"/>
        <v>2</v>
      </c>
      <c r="AE84" s="54">
        <f t="shared" si="238"/>
        <v>5</v>
      </c>
      <c r="AF84" s="54">
        <f t="shared" si="239"/>
        <v>2</v>
      </c>
      <c r="AG84" s="54">
        <f t="shared" si="240"/>
        <v>5</v>
      </c>
      <c r="AH84" s="54">
        <f t="shared" si="241"/>
        <v>2</v>
      </c>
      <c r="AI84" s="54">
        <f t="shared" si="242"/>
        <v>5</v>
      </c>
      <c r="AJ84" s="54">
        <f t="shared" si="243"/>
        <v>2</v>
      </c>
      <c r="AK84" s="54">
        <f t="shared" si="244"/>
        <v>5</v>
      </c>
      <c r="AL84" s="54">
        <f t="shared" si="245"/>
        <v>2</v>
      </c>
      <c r="AM84" s="54">
        <f t="shared" si="246"/>
        <v>5</v>
      </c>
      <c r="AN84" s="54">
        <f t="shared" si="247"/>
        <v>2</v>
      </c>
      <c r="AO84" s="54">
        <f t="shared" si="248"/>
        <v>5</v>
      </c>
      <c r="AP84" s="54">
        <f t="shared" si="249"/>
        <v>2</v>
      </c>
      <c r="AQ84" s="54">
        <f t="shared" si="250"/>
        <v>5</v>
      </c>
      <c r="AR84" s="54">
        <f t="shared" si="251"/>
        <v>2</v>
      </c>
      <c r="AS84" s="54">
        <f t="shared" si="252"/>
        <v>5</v>
      </c>
      <c r="AT84" s="54">
        <f t="shared" si="253"/>
        <v>2</v>
      </c>
      <c r="AU84" s="54">
        <f t="shared" si="254"/>
        <v>5</v>
      </c>
      <c r="AV84" s="54">
        <f t="shared" si="255"/>
        <v>2</v>
      </c>
      <c r="AW84" s="54">
        <f t="shared" si="256"/>
        <v>5</v>
      </c>
      <c r="AX84" s="54">
        <f t="shared" si="257"/>
        <v>2</v>
      </c>
      <c r="AY84" s="54">
        <f t="shared" si="258"/>
        <v>5</v>
      </c>
      <c r="AZ84" s="54">
        <f t="shared" si="259"/>
        <v>2</v>
      </c>
      <c r="BA84" s="54">
        <f t="shared" si="260"/>
        <v>5</v>
      </c>
      <c r="BB84" s="54">
        <f t="shared" si="261"/>
        <v>2</v>
      </c>
      <c r="BC84" s="54">
        <f t="shared" si="262"/>
        <v>5</v>
      </c>
      <c r="BD84" s="54">
        <f t="shared" si="263"/>
        <v>2</v>
      </c>
      <c r="BE84" s="54">
        <f t="shared" si="264"/>
        <v>5</v>
      </c>
      <c r="BF84" s="54">
        <f t="shared" si="265"/>
        <v>2</v>
      </c>
      <c r="BG84" s="54">
        <f t="shared" si="266"/>
        <v>5</v>
      </c>
      <c r="BH84" s="54">
        <f t="shared" si="267"/>
        <v>2</v>
      </c>
      <c r="BI84" s="54">
        <f t="shared" si="268"/>
        <v>5</v>
      </c>
      <c r="BJ84" s="54">
        <f t="shared" si="269"/>
        <v>2</v>
      </c>
      <c r="BK84" s="54">
        <f t="shared" si="270"/>
        <v>5</v>
      </c>
      <c r="BL84" s="54">
        <f t="shared" si="271"/>
        <v>2</v>
      </c>
      <c r="BM84" s="54">
        <f t="shared" si="272"/>
        <v>5</v>
      </c>
      <c r="BN84" s="54">
        <f t="shared" si="273"/>
        <v>2</v>
      </c>
      <c r="BO84" s="54">
        <f t="shared" si="274"/>
        <v>5</v>
      </c>
      <c r="BP84" s="54">
        <f t="shared" si="275"/>
        <v>2</v>
      </c>
      <c r="BQ84" s="54">
        <f t="shared" si="276"/>
        <v>5</v>
      </c>
      <c r="BR84" s="54">
        <f t="shared" si="277"/>
        <v>2</v>
      </c>
      <c r="BS84" s="54">
        <f t="shared" si="278"/>
        <v>5</v>
      </c>
      <c r="BT84" s="54">
        <f t="shared" si="279"/>
        <v>2</v>
      </c>
      <c r="BU84" s="54">
        <f t="shared" si="280"/>
        <v>5</v>
      </c>
      <c r="BV84" s="54">
        <f t="shared" si="281"/>
        <v>2</v>
      </c>
      <c r="BW84" s="54">
        <f t="shared" si="282"/>
        <v>5</v>
      </c>
      <c r="BX84" s="54">
        <f t="shared" si="283"/>
        <v>2</v>
      </c>
      <c r="BY84" s="54">
        <f t="shared" si="284"/>
        <v>5</v>
      </c>
      <c r="BZ84" s="54">
        <f t="shared" si="285"/>
        <v>2</v>
      </c>
      <c r="CA84" s="54">
        <f t="shared" si="286"/>
        <v>5</v>
      </c>
      <c r="CB84" s="54">
        <f t="shared" si="287"/>
        <v>2</v>
      </c>
      <c r="CC84" s="54">
        <f t="shared" si="288"/>
        <v>5</v>
      </c>
      <c r="CD84" s="54">
        <f t="shared" si="289"/>
        <v>2</v>
      </c>
      <c r="CE84" s="54">
        <f t="shared" si="290"/>
        <v>5</v>
      </c>
      <c r="CF84" s="54">
        <f t="shared" si="291"/>
        <v>2</v>
      </c>
      <c r="CG84" s="54">
        <f t="shared" si="292"/>
        <v>5</v>
      </c>
      <c r="CH84" s="54">
        <f t="shared" si="293"/>
        <v>2</v>
      </c>
      <c r="CI84" s="54">
        <f t="shared" si="294"/>
        <v>5</v>
      </c>
      <c r="CJ84" s="54">
        <f t="shared" si="295"/>
        <v>2</v>
      </c>
      <c r="CK84" s="54">
        <f t="shared" si="296"/>
        <v>5</v>
      </c>
      <c r="CL84" s="54">
        <f t="shared" si="297"/>
        <v>2</v>
      </c>
      <c r="CM84" s="54">
        <f t="shared" si="298"/>
        <v>5</v>
      </c>
      <c r="CN84" s="54">
        <f t="shared" si="299"/>
        <v>2</v>
      </c>
      <c r="CO84" s="54">
        <f t="shared" si="300"/>
        <v>5</v>
      </c>
      <c r="CP84" s="54">
        <f t="shared" si="301"/>
        <v>2</v>
      </c>
      <c r="CQ84" s="54">
        <f t="shared" si="302"/>
        <v>5</v>
      </c>
      <c r="CR84" s="54">
        <f t="shared" si="303"/>
        <v>2</v>
      </c>
      <c r="CS84" s="54">
        <f t="shared" si="304"/>
        <v>5</v>
      </c>
      <c r="CT84" s="54">
        <f t="shared" si="305"/>
        <v>2</v>
      </c>
      <c r="CU84" s="54">
        <f t="shared" si="306"/>
        <v>5</v>
      </c>
      <c r="CV84" s="54">
        <f t="shared" si="307"/>
        <v>2</v>
      </c>
      <c r="CW84" s="54">
        <f t="shared" si="308"/>
        <v>5</v>
      </c>
      <c r="CX84" s="54">
        <f t="shared" si="309"/>
        <v>2</v>
      </c>
      <c r="CY84" s="54">
        <f t="shared" si="310"/>
        <v>5</v>
      </c>
      <c r="CZ84" s="54">
        <f t="shared" si="311"/>
        <v>2</v>
      </c>
      <c r="DA84" s="54">
        <f t="shared" si="312"/>
        <v>5</v>
      </c>
      <c r="DB84" s="54">
        <f t="shared" si="313"/>
        <v>2</v>
      </c>
      <c r="DC84" s="54">
        <f t="shared" si="314"/>
        <v>5</v>
      </c>
      <c r="DD84" s="54">
        <f t="shared" si="315"/>
        <v>2</v>
      </c>
      <c r="DE84" s="54">
        <f t="shared" si="316"/>
        <v>5</v>
      </c>
      <c r="DF84" s="54">
        <f t="shared" si="317"/>
        <v>2</v>
      </c>
      <c r="DG84" s="54">
        <f t="shared" si="318"/>
        <v>5</v>
      </c>
      <c r="DH84" s="54">
        <f t="shared" si="319"/>
        <v>2</v>
      </c>
      <c r="DI84" s="54">
        <f t="shared" si="320"/>
        <v>5</v>
      </c>
      <c r="DJ84" s="54">
        <f t="shared" si="321"/>
        <v>2</v>
      </c>
      <c r="DK84" s="54">
        <f t="shared" si="322"/>
        <v>5</v>
      </c>
      <c r="DL84" s="54">
        <f t="shared" si="323"/>
        <v>2</v>
      </c>
      <c r="DM84" s="54">
        <f t="shared" si="324"/>
        <v>5</v>
      </c>
      <c r="DN84" s="54">
        <f t="shared" si="325"/>
        <v>2</v>
      </c>
      <c r="DO84" s="54">
        <f t="shared" si="326"/>
        <v>5</v>
      </c>
      <c r="DP84" s="54">
        <f t="shared" si="327"/>
        <v>2</v>
      </c>
      <c r="DQ84" s="54">
        <f t="shared" si="328"/>
        <v>5</v>
      </c>
      <c r="DR84" s="54">
        <f t="shared" si="329"/>
        <v>2</v>
      </c>
      <c r="DS84" s="54">
        <f t="shared" si="330"/>
        <v>5</v>
      </c>
      <c r="DT84" s="54">
        <f t="shared" si="331"/>
        <v>2</v>
      </c>
      <c r="DU84" s="54">
        <f t="shared" si="332"/>
        <v>5</v>
      </c>
      <c r="DV84" s="54">
        <f t="shared" si="333"/>
        <v>2</v>
      </c>
      <c r="DW84" s="54">
        <f t="shared" si="334"/>
        <v>5</v>
      </c>
      <c r="DX84" s="54">
        <f t="shared" si="335"/>
        <v>2</v>
      </c>
      <c r="DY84" s="54">
        <f t="shared" si="336"/>
        <v>5</v>
      </c>
      <c r="DZ84" s="54">
        <f t="shared" si="337"/>
        <v>2</v>
      </c>
      <c r="EA84" s="54">
        <f t="shared" si="336"/>
        <v>5</v>
      </c>
      <c r="EB84" s="54">
        <f t="shared" si="337"/>
        <v>2</v>
      </c>
      <c r="EC84" s="54">
        <f t="shared" si="337"/>
        <v>5</v>
      </c>
      <c r="ED84" s="54">
        <f t="shared" si="338"/>
        <v>2</v>
      </c>
      <c r="EE84" s="54">
        <f t="shared" si="339"/>
        <v>5</v>
      </c>
      <c r="EF84" s="54">
        <f t="shared" si="340"/>
        <v>2</v>
      </c>
      <c r="EG84" s="54">
        <f t="shared" ref="EG84:EN84" si="355">EG83</f>
        <v>5</v>
      </c>
      <c r="EH84" s="54">
        <f t="shared" si="355"/>
        <v>2</v>
      </c>
      <c r="EI84" s="54">
        <f t="shared" si="355"/>
        <v>5</v>
      </c>
      <c r="EJ84" s="54">
        <f t="shared" si="355"/>
        <v>2</v>
      </c>
      <c r="EK84" s="54">
        <f t="shared" si="355"/>
        <v>5</v>
      </c>
      <c r="EL84" s="54">
        <f t="shared" si="355"/>
        <v>2</v>
      </c>
      <c r="EM84" s="54">
        <f t="shared" si="355"/>
        <v>5</v>
      </c>
      <c r="EN84" s="54">
        <f t="shared" si="355"/>
        <v>2</v>
      </c>
      <c r="EO84" s="54">
        <f t="shared" si="209"/>
        <v>2</v>
      </c>
      <c r="EP84" s="54">
        <f t="shared" si="210"/>
        <v>2</v>
      </c>
    </row>
    <row r="86" spans="1:146" s="58" customFormat="1" x14ac:dyDescent="0.2">
      <c r="C86" s="58">
        <v>44440</v>
      </c>
      <c r="E86" s="58">
        <f>SUM(C84:E84)</f>
        <v>45479</v>
      </c>
    </row>
  </sheetData>
  <customSheetViews>
    <customSheetView guid="{DDEB736A-B1E5-4264-A8F3-A2685B0B4EEB}">
      <selection activeCell="B8" sqref="B8:F9"/>
      <pageMargins left="0" right="0" top="0" bottom="0" header="0" footer="0"/>
      <pageSetup orientation="portrait" horizontalDpi="90" verticalDpi="90" r:id="rId1"/>
    </customSheetView>
    <customSheetView guid="{9A8FD2B6-2858-4C09-9320-6AA22D95851B}">
      <selection activeCell="B8" sqref="B8:F9"/>
      <pageMargins left="0" right="0" top="0" bottom="0" header="0" footer="0"/>
      <pageSetup orientation="portrait" horizontalDpi="90" verticalDpi="90" r:id="rId2"/>
    </customSheetView>
  </customSheetViews>
  <pageMargins left="0.7" right="0.7" top="0.75" bottom="0.75" header="0.3" footer="0.3"/>
  <pageSetup orientation="portrait" horizontalDpi="90" verticalDpi="90"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24" ma:contentTypeDescription="Create a new document." ma:contentTypeScope="" ma:versionID="c9a0db8d86688ab35e6b7e190dc0db6c">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7337039f24e18e436373ab105beda0c4"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DB" minOccurs="0"/>
                <xsd:element ref="ns2:Date" minOccurs="0"/>
                <xsd:element ref="ns3:EC_ARES_NUMBER" minOccurs="0"/>
                <xsd:element ref="ns3:EC_ARES_DATE_TRANSFERRED" minOccurs="0"/>
                <xsd:element ref="ns3:EC_ARES_TRANSFERRED_BY" minOccurs="0"/>
                <xsd:element ref="ns2:Da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DB" ma:index="25" nillable="true" ma:displayName="DB" ma:description="Database. All Excel files used to create graphs. May contain a 'Questionnaire' folder with all cleaned national Excel fiches " ma:format="Dropdown" ma:internalName="DB">
      <xsd:simpleType>
        <xsd:restriction base="dms:Note">
          <xsd:maxLength value="255"/>
        </xsd:restriction>
      </xsd:simpleType>
    </xsd:element>
    <xsd:element name="Date" ma:index="26" nillable="true" ma:displayName="Date" ma:format="Dropdown" ma:internalName="Date">
      <xsd:simpleType>
        <xsd:restriction base="dms:Text">
          <xsd:maxLength value="255"/>
        </xsd:restriction>
      </xsd:simpleType>
    </xsd:element>
    <xsd:element name="Dates" ma:index="30" nillable="true" ma:displayName="Dates" ma:format="DateOnly" ma:internalName="Dates">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fa71d90-cee4-4941-9830-466fdaa68746}" ma:internalName="TaxCatchAll" ma:showField="CatchAllData" ma:web="150bf796-665d-42d8-bec5-8541ade97521">
      <xsd:complexType>
        <xsd:complexContent>
          <xsd:extension base="dms:MultiChoiceLookup">
            <xsd:sequence>
              <xsd:element name="Value" type="dms:Lookup" maxOccurs="unbounded" minOccurs="0" nillable="true"/>
            </xsd:sequence>
          </xsd:extension>
        </xsd:complexContent>
      </xsd:complexType>
    </xsd:element>
    <xsd:element name="EC_ARES_NUMBER" ma:index="27" nillable="true" ma:displayName="Ares Number" ma:format="Hyperlink" ma:hidden="true" ma:internalName="EC_ARES_NUMBER">
      <xsd:complexType>
        <xsd:complexContent>
          <xsd:extension base="dms:URL">
            <xsd:sequence>
              <xsd:element name="Url" type="dms:ValidUrl" minOccurs="0" nillable="true"/>
              <xsd:element name="Description" type="xsd:string" nillable="true"/>
            </xsd:sequence>
          </xsd:extension>
        </xsd:complexContent>
      </xsd:complexType>
    </xsd:element>
    <xsd:element name="EC_ARES_DATE_TRANSFERRED" ma:index="28" nillable="true" ma:displayName="Transferred to Ares" ma:format="DateTime" ma:hidden="true" ma:internalName="EC_ARES_DATE_TRANSFERRED">
      <xsd:simpleType>
        <xsd:restriction base="dms:DateTime"/>
      </xsd:simpleType>
    </xsd:element>
    <xsd:element name="EC_ARES_TRANSFERRED_BY" ma:index="29" nillable="true" ma:displayName="Transferred By" ma:hidden="true" ma:internalName="EC_ARES_TRANSFERRED_B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9b9b01-a41b-4cdd-ba34-21bb9c415350">
      <Terms xmlns="http://schemas.microsoft.com/office/infopath/2007/PartnerControls"/>
    </lcf76f155ced4ddcb4097134ff3c332f>
    <TaxCatchAll xmlns="150bf796-665d-42d8-bec5-8541ade97521" xsi:nil="true"/>
    <DB xmlns="b29b9b01-a41b-4cdd-ba34-21bb9c415350" xsi:nil="true"/>
    <Date xmlns="b29b9b01-a41b-4cdd-ba34-21bb9c415350" xsi:nil="true"/>
    <EC_ARES_TRANSFERRED_BY xmlns="150bf796-665d-42d8-bec5-8541ade97521" xsi:nil="true"/>
    <EC_ARES_NUMBER xmlns="150bf796-665d-42d8-bec5-8541ade97521">
      <Url xsi:nil="true"/>
      <Description xsi:nil="true"/>
    </EC_ARES_NUMBER>
    <EC_ARES_DATE_TRANSFERRED xmlns="150bf796-665d-42d8-bec5-8541ade97521" xsi:nil="true"/>
    <Dates xmlns="b29b9b01-a41b-4cdd-ba34-21bb9c415350" xsi:nil="true"/>
  </documentManagement>
</p:properties>
</file>

<file path=customXml/itemProps1.xml><?xml version="1.0" encoding="utf-8"?>
<ds:datastoreItem xmlns:ds="http://schemas.openxmlformats.org/officeDocument/2006/customXml" ds:itemID="{6BFC2181-D089-41EE-A003-11D2E154FCCD}">
  <ds:schemaRefs>
    <ds:schemaRef ds:uri="http://schemas.microsoft.com/sharepoint/v3/contenttype/forms"/>
  </ds:schemaRefs>
</ds:datastoreItem>
</file>

<file path=customXml/itemProps2.xml><?xml version="1.0" encoding="utf-8"?>
<ds:datastoreItem xmlns:ds="http://schemas.openxmlformats.org/officeDocument/2006/customXml" ds:itemID="{4457B71F-34A1-4807-90D0-31953BCF91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B911D2-F702-4CF2-8E42-E35636809A52}">
  <ds:schemaRefs>
    <ds:schemaRef ds:uri="http://schemas.microsoft.com/office/2006/metadata/properties"/>
    <ds:schemaRef ds:uri="http://schemas.microsoft.com/office/infopath/2007/PartnerControls"/>
    <ds:schemaRef ds:uri="b29b9b01-a41b-4cdd-ba34-21bb9c415350"/>
    <ds:schemaRef ds:uri="150bf796-665d-42d8-bec5-8541ade975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Data</vt:lpstr>
      <vt:lpstr>Test_Month</vt:lpstr>
      <vt:lpstr>Test_WE</vt:lpstr>
      <vt:lpstr>DaB</vt:lpstr>
      <vt:lpstr>Illust</vt:lpstr>
      <vt:lpstr>WE</vt:lpstr>
      <vt:lpstr>Data!Print_Area</vt:lpstr>
      <vt:lpstr>Data!Print_Titles</vt:lpstr>
    </vt:vector>
  </TitlesOfParts>
  <Manager/>
  <Company>fecb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pb</dc:creator>
  <cp:keywords/>
  <dc:description/>
  <cp:lastModifiedBy>BALCON Marie-Pascale (EACEA)</cp:lastModifiedBy>
  <cp:revision/>
  <cp:lastPrinted>2025-09-07T18:20:16Z</cp:lastPrinted>
  <dcterms:created xsi:type="dcterms:W3CDTF">1998-01-21T08:58:45Z</dcterms:created>
  <dcterms:modified xsi:type="dcterms:W3CDTF">2025-09-08T11:37:25Z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2022-05-04T12:41:53Z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085590b0-f72f-46ca-89c0-50b3951a4683</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y fmtid="{D5CDD505-2E9C-101B-9397-08002B2CF9AE}" pid="10" name="MediaServiceImageTags">
    <vt:lpwstr/>
  </property>
</Properties>
</file>